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embeddings/oleObject17.bin" ContentType="application/vnd.openxmlformats-officedocument.oleObject"/>
  <Override PartName="/xl/embeddings/oleObject18.bin" ContentType="application/vnd.openxmlformats-officedocument.oleObject"/>
  <Override PartName="/xl/embeddings/oleObject19.bin" ContentType="application/vnd.openxmlformats-officedocument.oleObject"/>
  <Override PartName="/xl/embeddings/oleObject20.bin" ContentType="application/vnd.openxmlformats-officedocument.oleObject"/>
  <Override PartName="/xl/embeddings/oleObject21.bin" ContentType="application/vnd.openxmlformats-officedocument.oleObject"/>
  <Override PartName="/xl/embeddings/oleObject22.bin" ContentType="application/vnd.openxmlformats-officedocument.oleObject"/>
  <Override PartName="/xl/embeddings/oleObject23.bin" ContentType="application/vnd.openxmlformats-officedocument.oleObject"/>
  <Override PartName="/xl/embeddings/oleObject24.bin" ContentType="application/vnd.openxmlformats-officedocument.oleObject"/>
  <Override PartName="/xl/embeddings/oleObject25.bin" ContentType="application/vnd.openxmlformats-officedocument.oleObject"/>
  <Override PartName="/xl/embeddings/oleObject26.bin" ContentType="application/vnd.openxmlformats-officedocument.oleObject"/>
  <Override PartName="/xl/embeddings/oleObject27.bin" ContentType="application/vnd.openxmlformats-officedocument.oleObject"/>
  <Override PartName="/xl/embeddings/oleObject28.bin" ContentType="application/vnd.openxmlformats-officedocument.oleObject"/>
  <Override PartName="/xl/embeddings/oleObject29.bin" ContentType="application/vnd.openxmlformats-officedocument.oleObject"/>
  <Override PartName="/xl/embeddings/oleObject30.bin" ContentType="application/vnd.openxmlformats-officedocument.oleObject"/>
  <Override PartName="/xl/embeddings/oleObject31.bin" ContentType="application/vnd.openxmlformats-officedocument.oleObject"/>
  <Override PartName="/xl/embeddings/oleObject32.bin" ContentType="application/vnd.openxmlformats-officedocument.oleObject"/>
  <Override PartName="/xl/embeddings/oleObject33.bin" ContentType="application/vnd.openxmlformats-officedocument.oleObject"/>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30131" codeName="{26A90621-87C4-6C01-FD6A-EE6E7C140903}"/>
  <workbookPr codeName="ThisWorkbook" defaultThemeVersion="124226"/>
  <mc:AlternateContent xmlns:mc="http://schemas.openxmlformats.org/markup-compatibility/2006">
    <mc:Choice Requires="x15">
      <x15ac:absPath xmlns:x15ac="http://schemas.microsoft.com/office/spreadsheetml/2010/11/ac" url="https://egisfr-my.sharepoint.com/personal/m_morillot_elioth_fr/Documents/Bureau/PFE_V0/reference/excels/"/>
    </mc:Choice>
  </mc:AlternateContent>
  <xr:revisionPtr revIDLastSave="44" documentId="13_ncr:1_{92357E92-408D-413F-A84B-9651D414ECFE}" xr6:coauthVersionLast="47" xr6:coauthVersionMax="47" xr10:uidLastSave="{5C32D59E-61C4-455B-9285-1E280E8C44DD}"/>
  <bookViews>
    <workbookView xWindow="-110" yWindow="-110" windowWidth="25820" windowHeight="15500" tabRatio="851" activeTab="1" xr2:uid="{00000000-000D-0000-FFFF-FFFF00000000}"/>
  </bookViews>
  <sheets>
    <sheet name="Suivi modif" sheetId="11" r:id="rId1"/>
    <sheet name="Calcul" sheetId="1" r:id="rId2"/>
    <sheet name="Abaques annexe F" sheetId="9" r:id="rId3"/>
    <sheet name="Calcul classe" sheetId="10" r:id="rId4"/>
    <sheet name="IPE" sheetId="2" r:id="rId5"/>
    <sheet name="IPN" sheetId="6" r:id="rId6"/>
    <sheet name="HD" sheetId="7" r:id="rId7"/>
    <sheet name="HE" sheetId="5" r:id="rId8"/>
    <sheet name="CHS" sheetId="3" r:id="rId9"/>
    <sheet name="RHS" sheetId="4" r:id="rId10"/>
    <sheet name="Custom" sheetId="8" r:id="rId11"/>
  </sheets>
  <externalReferences>
    <externalReference r:id="rId12"/>
  </externalReferences>
  <definedNames>
    <definedName name="_r">Calcul!$AC$32</definedName>
    <definedName name="A">Calcul!$AC$16</definedName>
    <definedName name="agy">Calcul!$AW$3</definedName>
    <definedName name="agz">Calcul!$AT$3</definedName>
    <definedName name="aqy">Calcul!$AW$5</definedName>
    <definedName name="aqz">Calcul!$AT$5</definedName>
    <definedName name="Avy">Calcul!$AC$31</definedName>
    <definedName name="Avz">Calcul!$AC$21</definedName>
    <definedName name="b">Calcul!$AC$13</definedName>
    <definedName name="bgy">Calcul!$AW$4</definedName>
    <definedName name="bgz">Calcul!$AT$4</definedName>
    <definedName name="bqy">Calcul!$AW$6</definedName>
    <definedName name="bqz">Calcul!$AT$6</definedName>
    <definedName name="classe">Calcul!$W$3</definedName>
    <definedName name="E">Calcul!$W$16</definedName>
    <definedName name="fy">Calcul!$AH$2</definedName>
    <definedName name="G">Calcul!$W$17</definedName>
    <definedName name="gM0">Calcul!$W$13</definedName>
    <definedName name="gM0.">Calcul!$W$13</definedName>
    <definedName name="h">Calcul!$AC$12</definedName>
    <definedName name="It">Calcul!$AC$29</definedName>
    <definedName name="Iw">Calcul!$AC$30</definedName>
    <definedName name="Iy">Calcul!$AC$17</definedName>
    <definedName name="Iz">Calcul!$AC$22</definedName>
    <definedName name="k">Calcul!$P$30</definedName>
    <definedName name="kw">Calcul!$P$31</definedName>
    <definedName name="Lo">Calcul!$G$14</definedName>
    <definedName name="Mcr">Calcul!$W$73</definedName>
    <definedName name="_xlnm.Print_Area" localSheetId="1">Calcul!$B$1:$Z$113</definedName>
    <definedName name="_xlnm.Print_Area" localSheetId="4">IPE!$B$1:$Z$11</definedName>
    <definedName name="Profiel">[1]!Profiel</definedName>
    <definedName name="SVy">Calcul!$AC$36</definedName>
    <definedName name="SVz">Calcul!$AC$35</definedName>
    <definedName name="tf">Calcul!$AC$15</definedName>
    <definedName name="tw">Calcul!$AC$14</definedName>
    <definedName name="Wyel">Calcul!$AC$18</definedName>
    <definedName name="Wypl">Calcul!$AC$19</definedName>
    <definedName name="Wzel">Calcul!$AC$23</definedName>
    <definedName name="Wzpl">Calcul!$AC$24</definedName>
    <definedName name="zg">Calcul!$P$34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28" i="8" l="1"/>
  <c r="O28" i="8"/>
  <c r="K28" i="8"/>
  <c r="J28" i="8"/>
  <c r="I28" i="8"/>
  <c r="D28" i="8"/>
  <c r="T26" i="8"/>
  <c r="P26" i="8"/>
  <c r="O26" i="8"/>
  <c r="K26" i="8"/>
  <c r="J26" i="8"/>
  <c r="I26" i="8"/>
  <c r="D26" i="8"/>
  <c r="T24" i="8"/>
  <c r="P24" i="8"/>
  <c r="O24" i="8"/>
  <c r="K24" i="8"/>
  <c r="J24" i="8"/>
  <c r="I24" i="8"/>
  <c r="D24" i="8"/>
  <c r="V22" i="8"/>
  <c r="T22" i="8"/>
  <c r="R22" i="8"/>
  <c r="Q22" i="8"/>
  <c r="P22" i="8"/>
  <c r="O22" i="8"/>
  <c r="N22" i="8"/>
  <c r="M22" i="8"/>
  <c r="L22" i="8"/>
  <c r="K22" i="8"/>
  <c r="J22" i="8"/>
  <c r="I22" i="8"/>
  <c r="D22" i="8"/>
  <c r="V21" i="8"/>
  <c r="T21" i="8"/>
  <c r="R21" i="8"/>
  <c r="Q21" i="8"/>
  <c r="P21" i="8"/>
  <c r="O21" i="8"/>
  <c r="N21" i="8"/>
  <c r="M21" i="8"/>
  <c r="L21" i="8"/>
  <c r="K21" i="8"/>
  <c r="J21" i="8"/>
  <c r="I21" i="8"/>
  <c r="D21" i="8"/>
  <c r="V16" i="8"/>
  <c r="N16" i="8"/>
  <c r="D16" i="8"/>
  <c r="V11" i="8"/>
  <c r="N11" i="8"/>
  <c r="D11" i="8"/>
  <c r="AA7" i="8"/>
  <c r="V7" i="8"/>
  <c r="R7" i="8"/>
  <c r="O7" i="8"/>
  <c r="N7" i="8"/>
  <c r="J7" i="8"/>
  <c r="I7" i="8"/>
  <c r="D7" i="8"/>
  <c r="AA5" i="8"/>
  <c r="V5" i="8"/>
  <c r="T5" i="8"/>
  <c r="R5" i="8"/>
  <c r="Q5" i="8"/>
  <c r="P5" i="8"/>
  <c r="O5" i="8"/>
  <c r="N5" i="8"/>
  <c r="M5" i="8"/>
  <c r="L5" i="8"/>
  <c r="K5" i="8"/>
  <c r="J5" i="8"/>
  <c r="I5" i="8"/>
  <c r="D5" i="8"/>
  <c r="AA4" i="8"/>
  <c r="V4" i="8"/>
  <c r="R4" i="8"/>
  <c r="O4" i="8"/>
  <c r="N4" i="8"/>
  <c r="M4" i="8"/>
  <c r="I4" i="8"/>
  <c r="D4" i="8"/>
  <c r="V3" i="8"/>
  <c r="T3" i="8"/>
  <c r="R3" i="8"/>
  <c r="Q3" i="8"/>
  <c r="P3" i="8"/>
  <c r="O3" i="8"/>
  <c r="N3" i="8"/>
  <c r="M3" i="8"/>
  <c r="L3" i="8"/>
  <c r="K3" i="8"/>
  <c r="J3" i="8"/>
  <c r="I3" i="8"/>
  <c r="H3" i="8"/>
  <c r="G3" i="8"/>
  <c r="F3" i="8"/>
  <c r="E3" i="8"/>
  <c r="D3" i="8"/>
  <c r="AA584" i="4"/>
  <c r="Z584" i="4"/>
  <c r="Y584" i="4"/>
  <c r="X584" i="4"/>
  <c r="V584" i="4"/>
  <c r="N584" i="4"/>
  <c r="AA583" i="4"/>
  <c r="Z583" i="4"/>
  <c r="Y583" i="4"/>
  <c r="X583" i="4"/>
  <c r="V583" i="4"/>
  <c r="N583" i="4"/>
  <c r="AA582" i="4"/>
  <c r="Z582" i="4"/>
  <c r="Y582" i="4"/>
  <c r="X582" i="4"/>
  <c r="V582" i="4"/>
  <c r="N582" i="4"/>
  <c r="AA581" i="4"/>
  <c r="Z581" i="4"/>
  <c r="Y581" i="4"/>
  <c r="X581" i="4"/>
  <c r="V581" i="4"/>
  <c r="N581" i="4"/>
  <c r="AA580" i="4"/>
  <c r="Z580" i="4"/>
  <c r="Y580" i="4"/>
  <c r="X580" i="4"/>
  <c r="V580" i="4"/>
  <c r="N580" i="4"/>
  <c r="AA579" i="4"/>
  <c r="Z579" i="4"/>
  <c r="Y579" i="4"/>
  <c r="X579" i="4"/>
  <c r="V579" i="4"/>
  <c r="N579" i="4"/>
  <c r="AA578" i="4"/>
  <c r="Z578" i="4"/>
  <c r="Y578" i="4"/>
  <c r="X578" i="4"/>
  <c r="V578" i="4"/>
  <c r="N578" i="4"/>
  <c r="AA577" i="4"/>
  <c r="Z577" i="4"/>
  <c r="Y577" i="4"/>
  <c r="X577" i="4"/>
  <c r="V577" i="4"/>
  <c r="N577" i="4"/>
  <c r="AA576" i="4"/>
  <c r="Z576" i="4"/>
  <c r="Y576" i="4"/>
  <c r="X576" i="4"/>
  <c r="V576" i="4"/>
  <c r="N576" i="4"/>
  <c r="AA575" i="4"/>
  <c r="Z575" i="4"/>
  <c r="Y575" i="4"/>
  <c r="X575" i="4"/>
  <c r="V575" i="4"/>
  <c r="N575" i="4"/>
  <c r="AA574" i="4"/>
  <c r="Z574" i="4"/>
  <c r="Y574" i="4"/>
  <c r="X574" i="4"/>
  <c r="V574" i="4"/>
  <c r="N574" i="4"/>
  <c r="AA573" i="4"/>
  <c r="Z573" i="4"/>
  <c r="Y573" i="4"/>
  <c r="X573" i="4"/>
  <c r="V573" i="4"/>
  <c r="N573" i="4"/>
  <c r="AA572" i="4"/>
  <c r="Z572" i="4"/>
  <c r="Y572" i="4"/>
  <c r="X572" i="4"/>
  <c r="V572" i="4"/>
  <c r="N572" i="4"/>
  <c r="AA571" i="4"/>
  <c r="Z571" i="4"/>
  <c r="Y571" i="4"/>
  <c r="X571" i="4"/>
  <c r="V571" i="4"/>
  <c r="N571" i="4"/>
  <c r="AA570" i="4"/>
  <c r="Z570" i="4"/>
  <c r="Y570" i="4"/>
  <c r="X570" i="4"/>
  <c r="V570" i="4"/>
  <c r="N570" i="4"/>
  <c r="AA569" i="4"/>
  <c r="Z569" i="4"/>
  <c r="Y569" i="4"/>
  <c r="X569" i="4"/>
  <c r="V569" i="4"/>
  <c r="N569" i="4"/>
  <c r="AA568" i="4"/>
  <c r="Z568" i="4"/>
  <c r="Y568" i="4"/>
  <c r="X568" i="4"/>
  <c r="V568" i="4"/>
  <c r="N568" i="4"/>
  <c r="AA567" i="4"/>
  <c r="Z567" i="4"/>
  <c r="Y567" i="4"/>
  <c r="X567" i="4"/>
  <c r="V567" i="4"/>
  <c r="N567" i="4"/>
  <c r="AA566" i="4"/>
  <c r="Z566" i="4"/>
  <c r="Y566" i="4"/>
  <c r="X566" i="4"/>
  <c r="V566" i="4"/>
  <c r="N566" i="4"/>
  <c r="AA565" i="4"/>
  <c r="Z565" i="4"/>
  <c r="Y565" i="4"/>
  <c r="X565" i="4"/>
  <c r="V565" i="4"/>
  <c r="N565" i="4"/>
  <c r="AA564" i="4"/>
  <c r="Z564" i="4"/>
  <c r="Y564" i="4"/>
  <c r="X564" i="4"/>
  <c r="V564" i="4"/>
  <c r="N564" i="4"/>
  <c r="AA563" i="4"/>
  <c r="Z563" i="4"/>
  <c r="Y563" i="4"/>
  <c r="X563" i="4"/>
  <c r="V563" i="4"/>
  <c r="N563" i="4"/>
  <c r="AA562" i="4"/>
  <c r="Z562" i="4"/>
  <c r="Y562" i="4"/>
  <c r="X562" i="4"/>
  <c r="V562" i="4"/>
  <c r="N562" i="4"/>
  <c r="AA561" i="4"/>
  <c r="Z561" i="4"/>
  <c r="Y561" i="4"/>
  <c r="X561" i="4"/>
  <c r="V561" i="4"/>
  <c r="N561" i="4"/>
  <c r="AA560" i="4"/>
  <c r="Z560" i="4"/>
  <c r="Y560" i="4"/>
  <c r="X560" i="4"/>
  <c r="V560" i="4"/>
  <c r="N560" i="4"/>
  <c r="AA559" i="4"/>
  <c r="Z559" i="4"/>
  <c r="Y559" i="4"/>
  <c r="X559" i="4"/>
  <c r="V559" i="4"/>
  <c r="N559" i="4"/>
  <c r="AA558" i="4"/>
  <c r="Z558" i="4"/>
  <c r="Y558" i="4"/>
  <c r="X558" i="4"/>
  <c r="V558" i="4"/>
  <c r="N558" i="4"/>
  <c r="AA557" i="4"/>
  <c r="Z557" i="4"/>
  <c r="Y557" i="4"/>
  <c r="X557" i="4"/>
  <c r="V557" i="4"/>
  <c r="N557" i="4"/>
  <c r="AA556" i="4"/>
  <c r="Z556" i="4"/>
  <c r="Y556" i="4"/>
  <c r="X556" i="4"/>
  <c r="V556" i="4"/>
  <c r="N556" i="4"/>
  <c r="AA555" i="4"/>
  <c r="Z555" i="4"/>
  <c r="Y555" i="4"/>
  <c r="X555" i="4"/>
  <c r="V555" i="4"/>
  <c r="N555" i="4"/>
  <c r="AA554" i="4"/>
  <c r="Z554" i="4"/>
  <c r="Y554" i="4"/>
  <c r="X554" i="4"/>
  <c r="V554" i="4"/>
  <c r="N554" i="4"/>
  <c r="AA553" i="4"/>
  <c r="Z553" i="4"/>
  <c r="Y553" i="4"/>
  <c r="X553" i="4"/>
  <c r="V553" i="4"/>
  <c r="N553" i="4"/>
  <c r="AA552" i="4"/>
  <c r="Z552" i="4"/>
  <c r="Y552" i="4"/>
  <c r="X552" i="4"/>
  <c r="V552" i="4"/>
  <c r="N552" i="4"/>
  <c r="AA551" i="4"/>
  <c r="Z551" i="4"/>
  <c r="Y551" i="4"/>
  <c r="X551" i="4"/>
  <c r="V551" i="4"/>
  <c r="N551" i="4"/>
  <c r="AA550" i="4"/>
  <c r="Z550" i="4"/>
  <c r="Y550" i="4"/>
  <c r="X550" i="4"/>
  <c r="V550" i="4"/>
  <c r="N550" i="4"/>
  <c r="AA549" i="4"/>
  <c r="Z549" i="4"/>
  <c r="Y549" i="4"/>
  <c r="X549" i="4"/>
  <c r="V549" i="4"/>
  <c r="N549" i="4"/>
  <c r="AA548" i="4"/>
  <c r="Z548" i="4"/>
  <c r="Y548" i="4"/>
  <c r="X548" i="4"/>
  <c r="V548" i="4"/>
  <c r="N548" i="4"/>
  <c r="AA547" i="4"/>
  <c r="Z547" i="4"/>
  <c r="Y547" i="4"/>
  <c r="X547" i="4"/>
  <c r="V547" i="4"/>
  <c r="N547" i="4"/>
  <c r="AA546" i="4"/>
  <c r="Z546" i="4"/>
  <c r="Y546" i="4"/>
  <c r="X546" i="4"/>
  <c r="V546" i="4"/>
  <c r="N546" i="4"/>
  <c r="AA545" i="4"/>
  <c r="Z545" i="4"/>
  <c r="Y545" i="4"/>
  <c r="X545" i="4"/>
  <c r="V545" i="4"/>
  <c r="N545" i="4"/>
  <c r="AA544" i="4"/>
  <c r="Z544" i="4"/>
  <c r="Y544" i="4"/>
  <c r="X544" i="4"/>
  <c r="V544" i="4"/>
  <c r="N544" i="4"/>
  <c r="AA543" i="4"/>
  <c r="Z543" i="4"/>
  <c r="Y543" i="4"/>
  <c r="X543" i="4"/>
  <c r="V543" i="4"/>
  <c r="N543" i="4"/>
  <c r="AA542" i="4"/>
  <c r="Z542" i="4"/>
  <c r="Y542" i="4"/>
  <c r="X542" i="4"/>
  <c r="V542" i="4"/>
  <c r="N542" i="4"/>
  <c r="AA541" i="4"/>
  <c r="Z541" i="4"/>
  <c r="Y541" i="4"/>
  <c r="X541" i="4"/>
  <c r="V541" i="4"/>
  <c r="N541" i="4"/>
  <c r="AA540" i="4"/>
  <c r="Z540" i="4"/>
  <c r="Y540" i="4"/>
  <c r="X540" i="4"/>
  <c r="V540" i="4"/>
  <c r="N540" i="4"/>
  <c r="AA539" i="4"/>
  <c r="Z539" i="4"/>
  <c r="Y539" i="4"/>
  <c r="X539" i="4"/>
  <c r="V539" i="4"/>
  <c r="N539" i="4"/>
  <c r="AA538" i="4"/>
  <c r="Z538" i="4"/>
  <c r="Y538" i="4"/>
  <c r="X538" i="4"/>
  <c r="V538" i="4"/>
  <c r="N538" i="4"/>
  <c r="AA537" i="4"/>
  <c r="Z537" i="4"/>
  <c r="Y537" i="4"/>
  <c r="X537" i="4"/>
  <c r="V537" i="4"/>
  <c r="N537" i="4"/>
  <c r="AA536" i="4"/>
  <c r="Z536" i="4"/>
  <c r="Y536" i="4"/>
  <c r="X536" i="4"/>
  <c r="V536" i="4"/>
  <c r="N536" i="4"/>
  <c r="AA535" i="4"/>
  <c r="Z535" i="4"/>
  <c r="Y535" i="4"/>
  <c r="X535" i="4"/>
  <c r="V535" i="4"/>
  <c r="N535" i="4"/>
  <c r="AA534" i="4"/>
  <c r="Z534" i="4"/>
  <c r="Y534" i="4"/>
  <c r="X534" i="4"/>
  <c r="V534" i="4"/>
  <c r="N534" i="4"/>
  <c r="AA533" i="4"/>
  <c r="Z533" i="4"/>
  <c r="Y533" i="4"/>
  <c r="X533" i="4"/>
  <c r="V533" i="4"/>
  <c r="N533" i="4"/>
  <c r="AA532" i="4"/>
  <c r="Z532" i="4"/>
  <c r="Y532" i="4"/>
  <c r="X532" i="4"/>
  <c r="V532" i="4"/>
  <c r="N532" i="4"/>
  <c r="AA531" i="4"/>
  <c r="Z531" i="4"/>
  <c r="Y531" i="4"/>
  <c r="X531" i="4"/>
  <c r="V531" i="4"/>
  <c r="N531" i="4"/>
  <c r="AA530" i="4"/>
  <c r="Z530" i="4"/>
  <c r="Y530" i="4"/>
  <c r="X530" i="4"/>
  <c r="V530" i="4"/>
  <c r="N530" i="4"/>
  <c r="AA529" i="4"/>
  <c r="Z529" i="4"/>
  <c r="Y529" i="4"/>
  <c r="X529" i="4"/>
  <c r="V529" i="4"/>
  <c r="N529" i="4"/>
  <c r="AA528" i="4"/>
  <c r="Z528" i="4"/>
  <c r="Y528" i="4"/>
  <c r="X528" i="4"/>
  <c r="V528" i="4"/>
  <c r="N528" i="4"/>
  <c r="AA527" i="4"/>
  <c r="Z527" i="4"/>
  <c r="Y527" i="4"/>
  <c r="X527" i="4"/>
  <c r="V527" i="4"/>
  <c r="N527" i="4"/>
  <c r="AA526" i="4"/>
  <c r="Z526" i="4"/>
  <c r="Y526" i="4"/>
  <c r="X526" i="4"/>
  <c r="V526" i="4"/>
  <c r="N526" i="4"/>
  <c r="AA525" i="4"/>
  <c r="Z525" i="4"/>
  <c r="Y525" i="4"/>
  <c r="X525" i="4"/>
  <c r="V525" i="4"/>
  <c r="N525" i="4"/>
  <c r="AA524" i="4"/>
  <c r="Z524" i="4"/>
  <c r="Y524" i="4"/>
  <c r="X524" i="4"/>
  <c r="V524" i="4"/>
  <c r="N524" i="4"/>
  <c r="AA523" i="4"/>
  <c r="Z523" i="4"/>
  <c r="Y523" i="4"/>
  <c r="X523" i="4"/>
  <c r="V523" i="4"/>
  <c r="N523" i="4"/>
  <c r="AA522" i="4"/>
  <c r="Z522" i="4"/>
  <c r="Y522" i="4"/>
  <c r="X522" i="4"/>
  <c r="V522" i="4"/>
  <c r="N522" i="4"/>
  <c r="AA521" i="4"/>
  <c r="Z521" i="4"/>
  <c r="Y521" i="4"/>
  <c r="X521" i="4"/>
  <c r="V521" i="4"/>
  <c r="N521" i="4"/>
  <c r="AA520" i="4"/>
  <c r="Z520" i="4"/>
  <c r="Y520" i="4"/>
  <c r="X520" i="4"/>
  <c r="V520" i="4"/>
  <c r="N520" i="4"/>
  <c r="AA519" i="4"/>
  <c r="Z519" i="4"/>
  <c r="Y519" i="4"/>
  <c r="X519" i="4"/>
  <c r="V519" i="4"/>
  <c r="N519" i="4"/>
  <c r="AA518" i="4"/>
  <c r="Z518" i="4"/>
  <c r="Y518" i="4"/>
  <c r="X518" i="4"/>
  <c r="V518" i="4"/>
  <c r="N518" i="4"/>
  <c r="AA517" i="4"/>
  <c r="Z517" i="4"/>
  <c r="Y517" i="4"/>
  <c r="X517" i="4"/>
  <c r="V517" i="4"/>
  <c r="N517" i="4"/>
  <c r="AA516" i="4"/>
  <c r="Z516" i="4"/>
  <c r="Y516" i="4"/>
  <c r="X516" i="4"/>
  <c r="V516" i="4"/>
  <c r="N516" i="4"/>
  <c r="AA515" i="4"/>
  <c r="Z515" i="4"/>
  <c r="Y515" i="4"/>
  <c r="X515" i="4"/>
  <c r="V515" i="4"/>
  <c r="N515" i="4"/>
  <c r="AA514" i="4"/>
  <c r="Z514" i="4"/>
  <c r="Y514" i="4"/>
  <c r="X514" i="4"/>
  <c r="V514" i="4"/>
  <c r="N514" i="4"/>
  <c r="AA513" i="4"/>
  <c r="Z513" i="4"/>
  <c r="Y513" i="4"/>
  <c r="X513" i="4"/>
  <c r="V513" i="4"/>
  <c r="N513" i="4"/>
  <c r="AA512" i="4"/>
  <c r="Z512" i="4"/>
  <c r="Y512" i="4"/>
  <c r="X512" i="4"/>
  <c r="V512" i="4"/>
  <c r="N512" i="4"/>
  <c r="AA511" i="4"/>
  <c r="Z511" i="4"/>
  <c r="Y511" i="4"/>
  <c r="X511" i="4"/>
  <c r="V511" i="4"/>
  <c r="N511" i="4"/>
  <c r="AA510" i="4"/>
  <c r="Z510" i="4"/>
  <c r="Y510" i="4"/>
  <c r="X510" i="4"/>
  <c r="V510" i="4"/>
  <c r="N510" i="4"/>
  <c r="AA509" i="4"/>
  <c r="Z509" i="4"/>
  <c r="Y509" i="4"/>
  <c r="X509" i="4"/>
  <c r="V509" i="4"/>
  <c r="N509" i="4"/>
  <c r="AA508" i="4"/>
  <c r="Z508" i="4"/>
  <c r="Y508" i="4"/>
  <c r="X508" i="4"/>
  <c r="V508" i="4"/>
  <c r="N508" i="4"/>
  <c r="AA507" i="4"/>
  <c r="Z507" i="4"/>
  <c r="Y507" i="4"/>
  <c r="X507" i="4"/>
  <c r="V507" i="4"/>
  <c r="N507" i="4"/>
  <c r="AA506" i="4"/>
  <c r="Z506" i="4"/>
  <c r="Y506" i="4"/>
  <c r="X506" i="4"/>
  <c r="V506" i="4"/>
  <c r="N506" i="4"/>
  <c r="AA505" i="4"/>
  <c r="Z505" i="4"/>
  <c r="Y505" i="4"/>
  <c r="X505" i="4"/>
  <c r="V505" i="4"/>
  <c r="N505" i="4"/>
  <c r="AA504" i="4"/>
  <c r="Z504" i="4"/>
  <c r="Y504" i="4"/>
  <c r="X504" i="4"/>
  <c r="V504" i="4"/>
  <c r="N504" i="4"/>
  <c r="AA503" i="4"/>
  <c r="Z503" i="4"/>
  <c r="Y503" i="4"/>
  <c r="X503" i="4"/>
  <c r="V503" i="4"/>
  <c r="N503" i="4"/>
  <c r="AA502" i="4"/>
  <c r="Z502" i="4"/>
  <c r="Y502" i="4"/>
  <c r="X502" i="4"/>
  <c r="V502" i="4"/>
  <c r="N502" i="4"/>
  <c r="AA501" i="4"/>
  <c r="Z501" i="4"/>
  <c r="Y501" i="4"/>
  <c r="X501" i="4"/>
  <c r="V501" i="4"/>
  <c r="N501" i="4"/>
  <c r="AA500" i="4"/>
  <c r="Z500" i="4"/>
  <c r="Y500" i="4"/>
  <c r="X500" i="4"/>
  <c r="V500" i="4"/>
  <c r="N500" i="4"/>
  <c r="AA499" i="4"/>
  <c r="Z499" i="4"/>
  <c r="Y499" i="4"/>
  <c r="X499" i="4"/>
  <c r="V499" i="4"/>
  <c r="N499" i="4"/>
  <c r="AA498" i="4"/>
  <c r="Z498" i="4"/>
  <c r="Y498" i="4"/>
  <c r="X498" i="4"/>
  <c r="V498" i="4"/>
  <c r="N498" i="4"/>
  <c r="AA497" i="4"/>
  <c r="Z497" i="4"/>
  <c r="Y497" i="4"/>
  <c r="X497" i="4"/>
  <c r="V497" i="4"/>
  <c r="N497" i="4"/>
  <c r="AA496" i="4"/>
  <c r="Z496" i="4"/>
  <c r="Y496" i="4"/>
  <c r="X496" i="4"/>
  <c r="V496" i="4"/>
  <c r="N496" i="4"/>
  <c r="AA495" i="4"/>
  <c r="Z495" i="4"/>
  <c r="Y495" i="4"/>
  <c r="X495" i="4"/>
  <c r="V495" i="4"/>
  <c r="N495" i="4"/>
  <c r="AA494" i="4"/>
  <c r="Z494" i="4"/>
  <c r="Y494" i="4"/>
  <c r="X494" i="4"/>
  <c r="V494" i="4"/>
  <c r="N494" i="4"/>
  <c r="AA493" i="4"/>
  <c r="Z493" i="4"/>
  <c r="Y493" i="4"/>
  <c r="X493" i="4"/>
  <c r="V493" i="4"/>
  <c r="N493" i="4"/>
  <c r="AA492" i="4"/>
  <c r="Z492" i="4"/>
  <c r="Y492" i="4"/>
  <c r="X492" i="4"/>
  <c r="V492" i="4"/>
  <c r="N492" i="4"/>
  <c r="AA491" i="4"/>
  <c r="Z491" i="4"/>
  <c r="Y491" i="4"/>
  <c r="X491" i="4"/>
  <c r="V491" i="4"/>
  <c r="N491" i="4"/>
  <c r="AA490" i="4"/>
  <c r="Z490" i="4"/>
  <c r="Y490" i="4"/>
  <c r="X490" i="4"/>
  <c r="V490" i="4"/>
  <c r="N490" i="4"/>
  <c r="AA489" i="4"/>
  <c r="Z489" i="4"/>
  <c r="Y489" i="4"/>
  <c r="X489" i="4"/>
  <c r="V489" i="4"/>
  <c r="N489" i="4"/>
  <c r="AA488" i="4"/>
  <c r="Z488" i="4"/>
  <c r="Y488" i="4"/>
  <c r="X488" i="4"/>
  <c r="V488" i="4"/>
  <c r="N488" i="4"/>
  <c r="AA487" i="4"/>
  <c r="Z487" i="4"/>
  <c r="Y487" i="4"/>
  <c r="X487" i="4"/>
  <c r="V487" i="4"/>
  <c r="N487" i="4"/>
  <c r="AA486" i="4"/>
  <c r="Z486" i="4"/>
  <c r="Y486" i="4"/>
  <c r="X486" i="4"/>
  <c r="V486" i="4"/>
  <c r="N486" i="4"/>
  <c r="AA485" i="4"/>
  <c r="Z485" i="4"/>
  <c r="Y485" i="4"/>
  <c r="X485" i="4"/>
  <c r="V485" i="4"/>
  <c r="N485" i="4"/>
  <c r="AA484" i="4"/>
  <c r="Z484" i="4"/>
  <c r="Y484" i="4"/>
  <c r="X484" i="4"/>
  <c r="V484" i="4"/>
  <c r="N484" i="4"/>
  <c r="AA483" i="4"/>
  <c r="Z483" i="4"/>
  <c r="Y483" i="4"/>
  <c r="X483" i="4"/>
  <c r="V483" i="4"/>
  <c r="N483" i="4"/>
  <c r="AA482" i="4"/>
  <c r="Z482" i="4"/>
  <c r="Y482" i="4"/>
  <c r="X482" i="4"/>
  <c r="V482" i="4"/>
  <c r="N482" i="4"/>
  <c r="AA481" i="4"/>
  <c r="Z481" i="4"/>
  <c r="Y481" i="4"/>
  <c r="X481" i="4"/>
  <c r="V481" i="4"/>
  <c r="N481" i="4"/>
  <c r="AA480" i="4"/>
  <c r="Z480" i="4"/>
  <c r="Y480" i="4"/>
  <c r="X480" i="4"/>
  <c r="V480" i="4"/>
  <c r="N480" i="4"/>
  <c r="AA479" i="4"/>
  <c r="Z479" i="4"/>
  <c r="Y479" i="4"/>
  <c r="X479" i="4"/>
  <c r="V479" i="4"/>
  <c r="N479" i="4"/>
  <c r="AA478" i="4"/>
  <c r="Z478" i="4"/>
  <c r="Y478" i="4"/>
  <c r="X478" i="4"/>
  <c r="V478" i="4"/>
  <c r="N478" i="4"/>
  <c r="AA477" i="4"/>
  <c r="Z477" i="4"/>
  <c r="Y477" i="4"/>
  <c r="X477" i="4"/>
  <c r="V477" i="4"/>
  <c r="N477" i="4"/>
  <c r="AA476" i="4"/>
  <c r="Z476" i="4"/>
  <c r="Y476" i="4"/>
  <c r="X476" i="4"/>
  <c r="V476" i="4"/>
  <c r="N476" i="4"/>
  <c r="AA475" i="4"/>
  <c r="Z475" i="4"/>
  <c r="Y475" i="4"/>
  <c r="X475" i="4"/>
  <c r="V475" i="4"/>
  <c r="N475" i="4"/>
  <c r="AA474" i="4"/>
  <c r="Z474" i="4"/>
  <c r="Y474" i="4"/>
  <c r="X474" i="4"/>
  <c r="V474" i="4"/>
  <c r="N474" i="4"/>
  <c r="AA473" i="4"/>
  <c r="Z473" i="4"/>
  <c r="Y473" i="4"/>
  <c r="X473" i="4"/>
  <c r="V473" i="4"/>
  <c r="N473" i="4"/>
  <c r="AA472" i="4"/>
  <c r="Z472" i="4"/>
  <c r="Y472" i="4"/>
  <c r="X472" i="4"/>
  <c r="V472" i="4"/>
  <c r="N472" i="4"/>
  <c r="AA471" i="4"/>
  <c r="Z471" i="4"/>
  <c r="Y471" i="4"/>
  <c r="X471" i="4"/>
  <c r="V471" i="4"/>
  <c r="N471" i="4"/>
  <c r="AA470" i="4"/>
  <c r="Z470" i="4"/>
  <c r="Y470" i="4"/>
  <c r="X470" i="4"/>
  <c r="V470" i="4"/>
  <c r="N470" i="4"/>
  <c r="AA469" i="4"/>
  <c r="Z469" i="4"/>
  <c r="Y469" i="4"/>
  <c r="X469" i="4"/>
  <c r="V469" i="4"/>
  <c r="N469" i="4"/>
  <c r="AA468" i="4"/>
  <c r="Z468" i="4"/>
  <c r="Y468" i="4"/>
  <c r="X468" i="4"/>
  <c r="V468" i="4"/>
  <c r="N468" i="4"/>
  <c r="AA467" i="4"/>
  <c r="Z467" i="4"/>
  <c r="Y467" i="4"/>
  <c r="X467" i="4"/>
  <c r="V467" i="4"/>
  <c r="N467" i="4"/>
  <c r="AA466" i="4"/>
  <c r="Z466" i="4"/>
  <c r="Y466" i="4"/>
  <c r="X466" i="4"/>
  <c r="V466" i="4"/>
  <c r="N466" i="4"/>
  <c r="AA465" i="4"/>
  <c r="Z465" i="4"/>
  <c r="Y465" i="4"/>
  <c r="X465" i="4"/>
  <c r="V465" i="4"/>
  <c r="N465" i="4"/>
  <c r="AA464" i="4"/>
  <c r="Z464" i="4"/>
  <c r="Y464" i="4"/>
  <c r="X464" i="4"/>
  <c r="V464" i="4"/>
  <c r="N464" i="4"/>
  <c r="AA463" i="4"/>
  <c r="Z463" i="4"/>
  <c r="Y463" i="4"/>
  <c r="X463" i="4"/>
  <c r="V463" i="4"/>
  <c r="N463" i="4"/>
  <c r="AA462" i="4"/>
  <c r="Z462" i="4"/>
  <c r="Y462" i="4"/>
  <c r="X462" i="4"/>
  <c r="V462" i="4"/>
  <c r="N462" i="4"/>
  <c r="AA461" i="4"/>
  <c r="Z461" i="4"/>
  <c r="Y461" i="4"/>
  <c r="X461" i="4"/>
  <c r="V461" i="4"/>
  <c r="N461" i="4"/>
  <c r="AA460" i="4"/>
  <c r="Z460" i="4"/>
  <c r="Y460" i="4"/>
  <c r="X460" i="4"/>
  <c r="V460" i="4"/>
  <c r="N460" i="4"/>
  <c r="AA459" i="4"/>
  <c r="Z459" i="4"/>
  <c r="Y459" i="4"/>
  <c r="X459" i="4"/>
  <c r="V459" i="4"/>
  <c r="N459" i="4"/>
  <c r="AA458" i="4"/>
  <c r="Z458" i="4"/>
  <c r="Y458" i="4"/>
  <c r="X458" i="4"/>
  <c r="V458" i="4"/>
  <c r="N458" i="4"/>
  <c r="AA457" i="4"/>
  <c r="Z457" i="4"/>
  <c r="Y457" i="4"/>
  <c r="X457" i="4"/>
  <c r="V457" i="4"/>
  <c r="N457" i="4"/>
  <c r="AA456" i="4"/>
  <c r="Z456" i="4"/>
  <c r="Y456" i="4"/>
  <c r="X456" i="4"/>
  <c r="V456" i="4"/>
  <c r="N456" i="4"/>
  <c r="AA455" i="4"/>
  <c r="Z455" i="4"/>
  <c r="Y455" i="4"/>
  <c r="X455" i="4"/>
  <c r="V455" i="4"/>
  <c r="N455" i="4"/>
  <c r="AA454" i="4"/>
  <c r="Z454" i="4"/>
  <c r="Y454" i="4"/>
  <c r="X454" i="4"/>
  <c r="V454" i="4"/>
  <c r="N454" i="4"/>
  <c r="AA453" i="4"/>
  <c r="Z453" i="4"/>
  <c r="Y453" i="4"/>
  <c r="X453" i="4"/>
  <c r="V453" i="4"/>
  <c r="N453" i="4"/>
  <c r="AA452" i="4"/>
  <c r="Z452" i="4"/>
  <c r="Y452" i="4"/>
  <c r="X452" i="4"/>
  <c r="V452" i="4"/>
  <c r="N452" i="4"/>
  <c r="AA451" i="4"/>
  <c r="Z451" i="4"/>
  <c r="Y451" i="4"/>
  <c r="X451" i="4"/>
  <c r="V451" i="4"/>
  <c r="N451" i="4"/>
  <c r="AA450" i="4"/>
  <c r="Z450" i="4"/>
  <c r="Y450" i="4"/>
  <c r="X450" i="4"/>
  <c r="V450" i="4"/>
  <c r="N450" i="4"/>
  <c r="AA449" i="4"/>
  <c r="Z449" i="4"/>
  <c r="Y449" i="4"/>
  <c r="X449" i="4"/>
  <c r="V449" i="4"/>
  <c r="N449" i="4"/>
  <c r="AA448" i="4"/>
  <c r="Z448" i="4"/>
  <c r="Y448" i="4"/>
  <c r="X448" i="4"/>
  <c r="V448" i="4"/>
  <c r="N448" i="4"/>
  <c r="AA447" i="4"/>
  <c r="Z447" i="4"/>
  <c r="Y447" i="4"/>
  <c r="X447" i="4"/>
  <c r="V447" i="4"/>
  <c r="N447" i="4"/>
  <c r="AA446" i="4"/>
  <c r="Z446" i="4"/>
  <c r="Y446" i="4"/>
  <c r="X446" i="4"/>
  <c r="V446" i="4"/>
  <c r="N446" i="4"/>
  <c r="AA445" i="4"/>
  <c r="Z445" i="4"/>
  <c r="Y445" i="4"/>
  <c r="X445" i="4"/>
  <c r="V445" i="4"/>
  <c r="N445" i="4"/>
  <c r="AA444" i="4"/>
  <c r="Z444" i="4"/>
  <c r="Y444" i="4"/>
  <c r="X444" i="4"/>
  <c r="V444" i="4"/>
  <c r="N444" i="4"/>
  <c r="AA443" i="4"/>
  <c r="Z443" i="4"/>
  <c r="Y443" i="4"/>
  <c r="X443" i="4"/>
  <c r="V443" i="4"/>
  <c r="N443" i="4"/>
  <c r="AA442" i="4"/>
  <c r="Z442" i="4"/>
  <c r="Y442" i="4"/>
  <c r="X442" i="4"/>
  <c r="V442" i="4"/>
  <c r="N442" i="4"/>
  <c r="AA441" i="4"/>
  <c r="Z441" i="4"/>
  <c r="Y441" i="4"/>
  <c r="X441" i="4"/>
  <c r="V441" i="4"/>
  <c r="N441" i="4"/>
  <c r="AA440" i="4"/>
  <c r="Z440" i="4"/>
  <c r="Y440" i="4"/>
  <c r="X440" i="4"/>
  <c r="V440" i="4"/>
  <c r="N440" i="4"/>
  <c r="AA439" i="4"/>
  <c r="Z439" i="4"/>
  <c r="Y439" i="4"/>
  <c r="X439" i="4"/>
  <c r="V439" i="4"/>
  <c r="N439" i="4"/>
  <c r="AA438" i="4"/>
  <c r="Z438" i="4"/>
  <c r="Y438" i="4"/>
  <c r="X438" i="4"/>
  <c r="V438" i="4"/>
  <c r="N438" i="4"/>
  <c r="AA437" i="4"/>
  <c r="Z437" i="4"/>
  <c r="Y437" i="4"/>
  <c r="X437" i="4"/>
  <c r="V437" i="4"/>
  <c r="N437" i="4"/>
  <c r="AA436" i="4"/>
  <c r="Z436" i="4"/>
  <c r="Y436" i="4"/>
  <c r="X436" i="4"/>
  <c r="V436" i="4"/>
  <c r="N436" i="4"/>
  <c r="AA435" i="4"/>
  <c r="Z435" i="4"/>
  <c r="Y435" i="4"/>
  <c r="X435" i="4"/>
  <c r="V435" i="4"/>
  <c r="N435" i="4"/>
  <c r="AA434" i="4"/>
  <c r="Z434" i="4"/>
  <c r="Y434" i="4"/>
  <c r="X434" i="4"/>
  <c r="V434" i="4"/>
  <c r="N434" i="4"/>
  <c r="AA433" i="4"/>
  <c r="Z433" i="4"/>
  <c r="Y433" i="4"/>
  <c r="X433" i="4"/>
  <c r="V433" i="4"/>
  <c r="N433" i="4"/>
  <c r="AA432" i="4"/>
  <c r="Z432" i="4"/>
  <c r="Y432" i="4"/>
  <c r="X432" i="4"/>
  <c r="V432" i="4"/>
  <c r="N432" i="4"/>
  <c r="AA431" i="4"/>
  <c r="Z431" i="4"/>
  <c r="Y431" i="4"/>
  <c r="X431" i="4"/>
  <c r="V431" i="4"/>
  <c r="N431" i="4"/>
  <c r="AA430" i="4"/>
  <c r="Z430" i="4"/>
  <c r="Y430" i="4"/>
  <c r="X430" i="4"/>
  <c r="V430" i="4"/>
  <c r="N430" i="4"/>
  <c r="AA429" i="4"/>
  <c r="Z429" i="4"/>
  <c r="Y429" i="4"/>
  <c r="X429" i="4"/>
  <c r="V429" i="4"/>
  <c r="N429" i="4"/>
  <c r="AA428" i="4"/>
  <c r="Z428" i="4"/>
  <c r="Y428" i="4"/>
  <c r="X428" i="4"/>
  <c r="V428" i="4"/>
  <c r="N428" i="4"/>
  <c r="AA427" i="4"/>
  <c r="Z427" i="4"/>
  <c r="Y427" i="4"/>
  <c r="X427" i="4"/>
  <c r="V427" i="4"/>
  <c r="N427" i="4"/>
  <c r="AA426" i="4"/>
  <c r="Z426" i="4"/>
  <c r="Y426" i="4"/>
  <c r="X426" i="4"/>
  <c r="V426" i="4"/>
  <c r="N426" i="4"/>
  <c r="AA425" i="4"/>
  <c r="Z425" i="4"/>
  <c r="Y425" i="4"/>
  <c r="X425" i="4"/>
  <c r="V425" i="4"/>
  <c r="N425" i="4"/>
  <c r="AA424" i="4"/>
  <c r="Z424" i="4"/>
  <c r="Y424" i="4"/>
  <c r="X424" i="4"/>
  <c r="V424" i="4"/>
  <c r="N424" i="4"/>
  <c r="AA423" i="4"/>
  <c r="Z423" i="4"/>
  <c r="Y423" i="4"/>
  <c r="X423" i="4"/>
  <c r="V423" i="4"/>
  <c r="N423" i="4"/>
  <c r="AA422" i="4"/>
  <c r="Z422" i="4"/>
  <c r="Y422" i="4"/>
  <c r="X422" i="4"/>
  <c r="V422" i="4"/>
  <c r="N422" i="4"/>
  <c r="AA421" i="4"/>
  <c r="Z421" i="4"/>
  <c r="Y421" i="4"/>
  <c r="X421" i="4"/>
  <c r="V421" i="4"/>
  <c r="N421" i="4"/>
  <c r="AA420" i="4"/>
  <c r="Z420" i="4"/>
  <c r="Y420" i="4"/>
  <c r="X420" i="4"/>
  <c r="V420" i="4"/>
  <c r="N420" i="4"/>
  <c r="AA419" i="4"/>
  <c r="Z419" i="4"/>
  <c r="Y419" i="4"/>
  <c r="X419" i="4"/>
  <c r="V419" i="4"/>
  <c r="N419" i="4"/>
  <c r="AA418" i="4"/>
  <c r="Z418" i="4"/>
  <c r="Y418" i="4"/>
  <c r="X418" i="4"/>
  <c r="V418" i="4"/>
  <c r="N418" i="4"/>
  <c r="AA417" i="4"/>
  <c r="Z417" i="4"/>
  <c r="Y417" i="4"/>
  <c r="X417" i="4"/>
  <c r="V417" i="4"/>
  <c r="N417" i="4"/>
  <c r="AA416" i="4"/>
  <c r="Z416" i="4"/>
  <c r="Y416" i="4"/>
  <c r="X416" i="4"/>
  <c r="V416" i="4"/>
  <c r="N416" i="4"/>
  <c r="AA415" i="4"/>
  <c r="Z415" i="4"/>
  <c r="Y415" i="4"/>
  <c r="X415" i="4"/>
  <c r="V415" i="4"/>
  <c r="N415" i="4"/>
  <c r="AA414" i="4"/>
  <c r="Z414" i="4"/>
  <c r="Y414" i="4"/>
  <c r="X414" i="4"/>
  <c r="V414" i="4"/>
  <c r="N414" i="4"/>
  <c r="AA413" i="4"/>
  <c r="Z413" i="4"/>
  <c r="Y413" i="4"/>
  <c r="X413" i="4"/>
  <c r="V413" i="4"/>
  <c r="N413" i="4"/>
  <c r="AA412" i="4"/>
  <c r="Z412" i="4"/>
  <c r="Y412" i="4"/>
  <c r="X412" i="4"/>
  <c r="V412" i="4"/>
  <c r="N412" i="4"/>
  <c r="AA411" i="4"/>
  <c r="Z411" i="4"/>
  <c r="Y411" i="4"/>
  <c r="X411" i="4"/>
  <c r="V411" i="4"/>
  <c r="N411" i="4"/>
  <c r="AA410" i="4"/>
  <c r="Z410" i="4"/>
  <c r="Y410" i="4"/>
  <c r="X410" i="4"/>
  <c r="V410" i="4"/>
  <c r="N410" i="4"/>
  <c r="AA409" i="4"/>
  <c r="Z409" i="4"/>
  <c r="Y409" i="4"/>
  <c r="X409" i="4"/>
  <c r="V409" i="4"/>
  <c r="N409" i="4"/>
  <c r="AA408" i="4"/>
  <c r="Z408" i="4"/>
  <c r="Y408" i="4"/>
  <c r="X408" i="4"/>
  <c r="V408" i="4"/>
  <c r="N408" i="4"/>
  <c r="AA407" i="4"/>
  <c r="Z407" i="4"/>
  <c r="Y407" i="4"/>
  <c r="X407" i="4"/>
  <c r="V407" i="4"/>
  <c r="N407" i="4"/>
  <c r="AA406" i="4"/>
  <c r="Z406" i="4"/>
  <c r="Y406" i="4"/>
  <c r="X406" i="4"/>
  <c r="V406" i="4"/>
  <c r="N406" i="4"/>
  <c r="AA405" i="4"/>
  <c r="Z405" i="4"/>
  <c r="Y405" i="4"/>
  <c r="X405" i="4"/>
  <c r="V405" i="4"/>
  <c r="N405" i="4"/>
  <c r="AA404" i="4"/>
  <c r="Z404" i="4"/>
  <c r="Y404" i="4"/>
  <c r="X404" i="4"/>
  <c r="V404" i="4"/>
  <c r="N404" i="4"/>
  <c r="AA403" i="4"/>
  <c r="Z403" i="4"/>
  <c r="Y403" i="4"/>
  <c r="X403" i="4"/>
  <c r="V403" i="4"/>
  <c r="N403" i="4"/>
  <c r="AA402" i="4"/>
  <c r="Z402" i="4"/>
  <c r="Y402" i="4"/>
  <c r="X402" i="4"/>
  <c r="V402" i="4"/>
  <c r="N402" i="4"/>
  <c r="AA401" i="4"/>
  <c r="Z401" i="4"/>
  <c r="Y401" i="4"/>
  <c r="X401" i="4"/>
  <c r="V401" i="4"/>
  <c r="N401" i="4"/>
  <c r="AA400" i="4"/>
  <c r="Z400" i="4"/>
  <c r="Y400" i="4"/>
  <c r="X400" i="4"/>
  <c r="V400" i="4"/>
  <c r="N400" i="4"/>
  <c r="AA399" i="4"/>
  <c r="Z399" i="4"/>
  <c r="Y399" i="4"/>
  <c r="X399" i="4"/>
  <c r="V399" i="4"/>
  <c r="N399" i="4"/>
  <c r="AA398" i="4"/>
  <c r="Z398" i="4"/>
  <c r="Y398" i="4"/>
  <c r="X398" i="4"/>
  <c r="V398" i="4"/>
  <c r="N398" i="4"/>
  <c r="AA397" i="4"/>
  <c r="Z397" i="4"/>
  <c r="Y397" i="4"/>
  <c r="X397" i="4"/>
  <c r="V397" i="4"/>
  <c r="N397" i="4"/>
  <c r="AA396" i="4"/>
  <c r="Z396" i="4"/>
  <c r="Y396" i="4"/>
  <c r="X396" i="4"/>
  <c r="V396" i="4"/>
  <c r="N396" i="4"/>
  <c r="AA395" i="4"/>
  <c r="Z395" i="4"/>
  <c r="Y395" i="4"/>
  <c r="X395" i="4"/>
  <c r="V395" i="4"/>
  <c r="N395" i="4"/>
  <c r="AA394" i="4"/>
  <c r="Z394" i="4"/>
  <c r="Y394" i="4"/>
  <c r="X394" i="4"/>
  <c r="V394" i="4"/>
  <c r="N394" i="4"/>
  <c r="AA393" i="4"/>
  <c r="Z393" i="4"/>
  <c r="Y393" i="4"/>
  <c r="X393" i="4"/>
  <c r="V393" i="4"/>
  <c r="N393" i="4"/>
  <c r="AA392" i="4"/>
  <c r="Z392" i="4"/>
  <c r="Y392" i="4"/>
  <c r="X392" i="4"/>
  <c r="V392" i="4"/>
  <c r="N392" i="4"/>
  <c r="AA391" i="4"/>
  <c r="Z391" i="4"/>
  <c r="Y391" i="4"/>
  <c r="X391" i="4"/>
  <c r="V391" i="4"/>
  <c r="N391" i="4"/>
  <c r="AA390" i="4"/>
  <c r="Z390" i="4"/>
  <c r="Y390" i="4"/>
  <c r="X390" i="4"/>
  <c r="V390" i="4"/>
  <c r="N390" i="4"/>
  <c r="AA389" i="4"/>
  <c r="Z389" i="4"/>
  <c r="Y389" i="4"/>
  <c r="X389" i="4"/>
  <c r="V389" i="4"/>
  <c r="N389" i="4"/>
  <c r="AA388" i="4"/>
  <c r="Z388" i="4"/>
  <c r="Y388" i="4"/>
  <c r="X388" i="4"/>
  <c r="V388" i="4"/>
  <c r="N388" i="4"/>
  <c r="AA387" i="4"/>
  <c r="Z387" i="4"/>
  <c r="Y387" i="4"/>
  <c r="X387" i="4"/>
  <c r="V387" i="4"/>
  <c r="N387" i="4"/>
  <c r="AA386" i="4"/>
  <c r="Z386" i="4"/>
  <c r="Y386" i="4"/>
  <c r="X386" i="4"/>
  <c r="V386" i="4"/>
  <c r="N386" i="4"/>
  <c r="AA385" i="4"/>
  <c r="Z385" i="4"/>
  <c r="Y385" i="4"/>
  <c r="X385" i="4"/>
  <c r="V385" i="4"/>
  <c r="N385" i="4"/>
  <c r="AA384" i="4"/>
  <c r="Z384" i="4"/>
  <c r="Y384" i="4"/>
  <c r="X384" i="4"/>
  <c r="V384" i="4"/>
  <c r="N384" i="4"/>
  <c r="AA383" i="4"/>
  <c r="Z383" i="4"/>
  <c r="Y383" i="4"/>
  <c r="X383" i="4"/>
  <c r="V383" i="4"/>
  <c r="N383" i="4"/>
  <c r="AA382" i="4"/>
  <c r="Z382" i="4"/>
  <c r="Y382" i="4"/>
  <c r="X382" i="4"/>
  <c r="V382" i="4"/>
  <c r="N382" i="4"/>
  <c r="AA381" i="4"/>
  <c r="Z381" i="4"/>
  <c r="Y381" i="4"/>
  <c r="X381" i="4"/>
  <c r="V381" i="4"/>
  <c r="N381" i="4"/>
  <c r="AA380" i="4"/>
  <c r="Z380" i="4"/>
  <c r="Y380" i="4"/>
  <c r="X380" i="4"/>
  <c r="V380" i="4"/>
  <c r="N380" i="4"/>
  <c r="AA379" i="4"/>
  <c r="Z379" i="4"/>
  <c r="Y379" i="4"/>
  <c r="X379" i="4"/>
  <c r="V379" i="4"/>
  <c r="N379" i="4"/>
  <c r="AA378" i="4"/>
  <c r="Z378" i="4"/>
  <c r="Y378" i="4"/>
  <c r="X378" i="4"/>
  <c r="V378" i="4"/>
  <c r="N378" i="4"/>
  <c r="AA377" i="4"/>
  <c r="Z377" i="4"/>
  <c r="Y377" i="4"/>
  <c r="X377" i="4"/>
  <c r="V377" i="4"/>
  <c r="N377" i="4"/>
  <c r="AA376" i="4"/>
  <c r="Z376" i="4"/>
  <c r="Y376" i="4"/>
  <c r="X376" i="4"/>
  <c r="V376" i="4"/>
  <c r="N376" i="4"/>
  <c r="AA375" i="4"/>
  <c r="Z375" i="4"/>
  <c r="Y375" i="4"/>
  <c r="X375" i="4"/>
  <c r="V375" i="4"/>
  <c r="N375" i="4"/>
  <c r="AA374" i="4"/>
  <c r="Z374" i="4"/>
  <c r="Y374" i="4"/>
  <c r="X374" i="4"/>
  <c r="V374" i="4"/>
  <c r="N374" i="4"/>
  <c r="AA373" i="4"/>
  <c r="Z373" i="4"/>
  <c r="Y373" i="4"/>
  <c r="X373" i="4"/>
  <c r="V373" i="4"/>
  <c r="N373" i="4"/>
  <c r="AA372" i="4"/>
  <c r="Z372" i="4"/>
  <c r="Y372" i="4"/>
  <c r="X372" i="4"/>
  <c r="V372" i="4"/>
  <c r="N372" i="4"/>
  <c r="AA371" i="4"/>
  <c r="Z371" i="4"/>
  <c r="Y371" i="4"/>
  <c r="X371" i="4"/>
  <c r="V371" i="4"/>
  <c r="N371" i="4"/>
  <c r="AA370" i="4"/>
  <c r="Z370" i="4"/>
  <c r="Y370" i="4"/>
  <c r="X370" i="4"/>
  <c r="V370" i="4"/>
  <c r="N370" i="4"/>
  <c r="AA369" i="4"/>
  <c r="Z369" i="4"/>
  <c r="Y369" i="4"/>
  <c r="X369" i="4"/>
  <c r="V369" i="4"/>
  <c r="N369" i="4"/>
  <c r="AA368" i="4"/>
  <c r="Z368" i="4"/>
  <c r="Y368" i="4"/>
  <c r="X368" i="4"/>
  <c r="V368" i="4"/>
  <c r="N368" i="4"/>
  <c r="AA367" i="4"/>
  <c r="Z367" i="4"/>
  <c r="Y367" i="4"/>
  <c r="X367" i="4"/>
  <c r="V367" i="4"/>
  <c r="N367" i="4"/>
  <c r="AA366" i="4"/>
  <c r="Z366" i="4"/>
  <c r="Y366" i="4"/>
  <c r="X366" i="4"/>
  <c r="V366" i="4"/>
  <c r="N366" i="4"/>
  <c r="AA365" i="4"/>
  <c r="Z365" i="4"/>
  <c r="Y365" i="4"/>
  <c r="X365" i="4"/>
  <c r="V365" i="4"/>
  <c r="N365" i="4"/>
  <c r="AA364" i="4"/>
  <c r="Z364" i="4"/>
  <c r="Y364" i="4"/>
  <c r="X364" i="4"/>
  <c r="V364" i="4"/>
  <c r="N364" i="4"/>
  <c r="AA363" i="4"/>
  <c r="Z363" i="4"/>
  <c r="Y363" i="4"/>
  <c r="X363" i="4"/>
  <c r="V363" i="4"/>
  <c r="N363" i="4"/>
  <c r="AA362" i="4"/>
  <c r="Z362" i="4"/>
  <c r="Y362" i="4"/>
  <c r="X362" i="4"/>
  <c r="V362" i="4"/>
  <c r="N362" i="4"/>
  <c r="AA361" i="4"/>
  <c r="Z361" i="4"/>
  <c r="Y361" i="4"/>
  <c r="X361" i="4"/>
  <c r="V361" i="4"/>
  <c r="N361" i="4"/>
  <c r="AA360" i="4"/>
  <c r="Z360" i="4"/>
  <c r="Y360" i="4"/>
  <c r="X360" i="4"/>
  <c r="V360" i="4"/>
  <c r="N360" i="4"/>
  <c r="AA359" i="4"/>
  <c r="Z359" i="4"/>
  <c r="Y359" i="4"/>
  <c r="X359" i="4"/>
  <c r="V359" i="4"/>
  <c r="N359" i="4"/>
  <c r="AA358" i="4"/>
  <c r="Z358" i="4"/>
  <c r="Y358" i="4"/>
  <c r="X358" i="4"/>
  <c r="V358" i="4"/>
  <c r="N358" i="4"/>
  <c r="AA357" i="4"/>
  <c r="Z357" i="4"/>
  <c r="Y357" i="4"/>
  <c r="X357" i="4"/>
  <c r="V357" i="4"/>
  <c r="N357" i="4"/>
  <c r="AA356" i="4"/>
  <c r="Z356" i="4"/>
  <c r="Y356" i="4"/>
  <c r="X356" i="4"/>
  <c r="V356" i="4"/>
  <c r="N356" i="4"/>
  <c r="AA355" i="4"/>
  <c r="Z355" i="4"/>
  <c r="Y355" i="4"/>
  <c r="X355" i="4"/>
  <c r="V355" i="4"/>
  <c r="N355" i="4"/>
  <c r="AA354" i="4"/>
  <c r="Z354" i="4"/>
  <c r="Y354" i="4"/>
  <c r="X354" i="4"/>
  <c r="V354" i="4"/>
  <c r="N354" i="4"/>
  <c r="AA353" i="4"/>
  <c r="Z353" i="4"/>
  <c r="Y353" i="4"/>
  <c r="X353" i="4"/>
  <c r="V353" i="4"/>
  <c r="N353" i="4"/>
  <c r="AA352" i="4"/>
  <c r="Z352" i="4"/>
  <c r="Y352" i="4"/>
  <c r="X352" i="4"/>
  <c r="V352" i="4"/>
  <c r="N352" i="4"/>
  <c r="AA351" i="4"/>
  <c r="Z351" i="4"/>
  <c r="Y351" i="4"/>
  <c r="X351" i="4"/>
  <c r="V351" i="4"/>
  <c r="N351" i="4"/>
  <c r="AA350" i="4"/>
  <c r="Z350" i="4"/>
  <c r="Y350" i="4"/>
  <c r="X350" i="4"/>
  <c r="V350" i="4"/>
  <c r="N350" i="4"/>
  <c r="AA349" i="4"/>
  <c r="Z349" i="4"/>
  <c r="Y349" i="4"/>
  <c r="X349" i="4"/>
  <c r="V349" i="4"/>
  <c r="N349" i="4"/>
  <c r="AA348" i="4"/>
  <c r="Z348" i="4"/>
  <c r="Y348" i="4"/>
  <c r="X348" i="4"/>
  <c r="V348" i="4"/>
  <c r="N348" i="4"/>
  <c r="AA347" i="4"/>
  <c r="Z347" i="4"/>
  <c r="Y347" i="4"/>
  <c r="X347" i="4"/>
  <c r="V347" i="4"/>
  <c r="N347" i="4"/>
  <c r="AA346" i="4"/>
  <c r="Z346" i="4"/>
  <c r="Y346" i="4"/>
  <c r="X346" i="4"/>
  <c r="V346" i="4"/>
  <c r="N346" i="4"/>
  <c r="AA345" i="4"/>
  <c r="Z345" i="4"/>
  <c r="Y345" i="4"/>
  <c r="X345" i="4"/>
  <c r="V345" i="4"/>
  <c r="N345" i="4"/>
  <c r="AA344" i="4"/>
  <c r="Z344" i="4"/>
  <c r="Y344" i="4"/>
  <c r="X344" i="4"/>
  <c r="V344" i="4"/>
  <c r="N344" i="4"/>
  <c r="AA343" i="4"/>
  <c r="Z343" i="4"/>
  <c r="Y343" i="4"/>
  <c r="X343" i="4"/>
  <c r="V343" i="4"/>
  <c r="N343" i="4"/>
  <c r="AA342" i="4"/>
  <c r="Z342" i="4"/>
  <c r="Y342" i="4"/>
  <c r="X342" i="4"/>
  <c r="V342" i="4"/>
  <c r="N342" i="4"/>
  <c r="AA341" i="4"/>
  <c r="Z341" i="4"/>
  <c r="Y341" i="4"/>
  <c r="X341" i="4"/>
  <c r="V341" i="4"/>
  <c r="N341" i="4"/>
  <c r="AA340" i="4"/>
  <c r="Z340" i="4"/>
  <c r="Y340" i="4"/>
  <c r="X340" i="4"/>
  <c r="V340" i="4"/>
  <c r="N340" i="4"/>
  <c r="AA339" i="4"/>
  <c r="Z339" i="4"/>
  <c r="Y339" i="4"/>
  <c r="X339" i="4"/>
  <c r="V339" i="4"/>
  <c r="N339" i="4"/>
  <c r="AA338" i="4"/>
  <c r="Z338" i="4"/>
  <c r="Y338" i="4"/>
  <c r="X338" i="4"/>
  <c r="V338" i="4"/>
  <c r="N338" i="4"/>
  <c r="AA337" i="4"/>
  <c r="Z337" i="4"/>
  <c r="Y337" i="4"/>
  <c r="X337" i="4"/>
  <c r="V337" i="4"/>
  <c r="N337" i="4"/>
  <c r="AA336" i="4"/>
  <c r="Z336" i="4"/>
  <c r="Y336" i="4"/>
  <c r="X336" i="4"/>
  <c r="V336" i="4"/>
  <c r="N336" i="4"/>
  <c r="AA335" i="4"/>
  <c r="Z335" i="4"/>
  <c r="Y335" i="4"/>
  <c r="X335" i="4"/>
  <c r="V335" i="4"/>
  <c r="N335" i="4"/>
  <c r="AA334" i="4"/>
  <c r="Z334" i="4"/>
  <c r="Y334" i="4"/>
  <c r="X334" i="4"/>
  <c r="V334" i="4"/>
  <c r="N334" i="4"/>
  <c r="AA333" i="4"/>
  <c r="Z333" i="4"/>
  <c r="Y333" i="4"/>
  <c r="X333" i="4"/>
  <c r="V333" i="4"/>
  <c r="N333" i="4"/>
  <c r="AA332" i="4"/>
  <c r="Z332" i="4"/>
  <c r="Y332" i="4"/>
  <c r="X332" i="4"/>
  <c r="V332" i="4"/>
  <c r="N332" i="4"/>
  <c r="AA331" i="4"/>
  <c r="Z331" i="4"/>
  <c r="Y331" i="4"/>
  <c r="X331" i="4"/>
  <c r="V331" i="4"/>
  <c r="N331" i="4"/>
  <c r="AA330" i="4"/>
  <c r="Z330" i="4"/>
  <c r="Y330" i="4"/>
  <c r="X330" i="4"/>
  <c r="V330" i="4"/>
  <c r="N330" i="4"/>
  <c r="AA329" i="4"/>
  <c r="Z329" i="4"/>
  <c r="Y329" i="4"/>
  <c r="X329" i="4"/>
  <c r="V329" i="4"/>
  <c r="N329" i="4"/>
  <c r="AA328" i="4"/>
  <c r="Z328" i="4"/>
  <c r="Y328" i="4"/>
  <c r="X328" i="4"/>
  <c r="V328" i="4"/>
  <c r="N328" i="4"/>
  <c r="AA327" i="4"/>
  <c r="Z327" i="4"/>
  <c r="Y327" i="4"/>
  <c r="X327" i="4"/>
  <c r="V327" i="4"/>
  <c r="N327" i="4"/>
  <c r="AA326" i="4"/>
  <c r="Z326" i="4"/>
  <c r="Y326" i="4"/>
  <c r="X326" i="4"/>
  <c r="V326" i="4"/>
  <c r="N326" i="4"/>
  <c r="AA325" i="4"/>
  <c r="Z325" i="4"/>
  <c r="Y325" i="4"/>
  <c r="X325" i="4"/>
  <c r="V325" i="4"/>
  <c r="N325" i="4"/>
  <c r="AA324" i="4"/>
  <c r="Z324" i="4"/>
  <c r="Y324" i="4"/>
  <c r="X324" i="4"/>
  <c r="V324" i="4"/>
  <c r="N324" i="4"/>
  <c r="AA323" i="4"/>
  <c r="Z323" i="4"/>
  <c r="Y323" i="4"/>
  <c r="X323" i="4"/>
  <c r="V323" i="4"/>
  <c r="N323" i="4"/>
  <c r="AA322" i="4"/>
  <c r="Z322" i="4"/>
  <c r="Y322" i="4"/>
  <c r="X322" i="4"/>
  <c r="V322" i="4"/>
  <c r="N322" i="4"/>
  <c r="AA321" i="4"/>
  <c r="Z321" i="4"/>
  <c r="Y321" i="4"/>
  <c r="X321" i="4"/>
  <c r="V321" i="4"/>
  <c r="N321" i="4"/>
  <c r="AA320" i="4"/>
  <c r="Z320" i="4"/>
  <c r="Y320" i="4"/>
  <c r="X320" i="4"/>
  <c r="V320" i="4"/>
  <c r="N320" i="4"/>
  <c r="AA319" i="4"/>
  <c r="Z319" i="4"/>
  <c r="Y319" i="4"/>
  <c r="X319" i="4"/>
  <c r="V319" i="4"/>
  <c r="N319" i="4"/>
  <c r="AA318" i="4"/>
  <c r="Z318" i="4"/>
  <c r="Y318" i="4"/>
  <c r="X318" i="4"/>
  <c r="V318" i="4"/>
  <c r="N318" i="4"/>
  <c r="AA317" i="4"/>
  <c r="Z317" i="4"/>
  <c r="Y317" i="4"/>
  <c r="X317" i="4"/>
  <c r="V317" i="4"/>
  <c r="N317" i="4"/>
  <c r="AA316" i="4"/>
  <c r="Z316" i="4"/>
  <c r="Y316" i="4"/>
  <c r="X316" i="4"/>
  <c r="V316" i="4"/>
  <c r="N316" i="4"/>
  <c r="AA315" i="4"/>
  <c r="Z315" i="4"/>
  <c r="Y315" i="4"/>
  <c r="X315" i="4"/>
  <c r="V315" i="4"/>
  <c r="N315" i="4"/>
  <c r="AA314" i="4"/>
  <c r="Z314" i="4"/>
  <c r="Y314" i="4"/>
  <c r="X314" i="4"/>
  <c r="V314" i="4"/>
  <c r="N314" i="4"/>
  <c r="AA313" i="4"/>
  <c r="Z313" i="4"/>
  <c r="Y313" i="4"/>
  <c r="X313" i="4"/>
  <c r="V313" i="4"/>
  <c r="N313" i="4"/>
  <c r="AA312" i="4"/>
  <c r="Z312" i="4"/>
  <c r="Y312" i="4"/>
  <c r="X312" i="4"/>
  <c r="V312" i="4"/>
  <c r="N312" i="4"/>
  <c r="AA311" i="4"/>
  <c r="Z311" i="4"/>
  <c r="Y311" i="4"/>
  <c r="X311" i="4"/>
  <c r="V311" i="4"/>
  <c r="N311" i="4"/>
  <c r="AA310" i="4"/>
  <c r="Z310" i="4"/>
  <c r="Y310" i="4"/>
  <c r="X310" i="4"/>
  <c r="V310" i="4"/>
  <c r="N310" i="4"/>
  <c r="AA309" i="4"/>
  <c r="Z309" i="4"/>
  <c r="Y309" i="4"/>
  <c r="X309" i="4"/>
  <c r="V309" i="4"/>
  <c r="N309" i="4"/>
  <c r="AA308" i="4"/>
  <c r="Z308" i="4"/>
  <c r="Y308" i="4"/>
  <c r="X308" i="4"/>
  <c r="V308" i="4"/>
  <c r="N308" i="4"/>
  <c r="AA307" i="4"/>
  <c r="Z307" i="4"/>
  <c r="Y307" i="4"/>
  <c r="X307" i="4"/>
  <c r="V307" i="4"/>
  <c r="N307" i="4"/>
  <c r="AA306" i="4"/>
  <c r="Z306" i="4"/>
  <c r="Y306" i="4"/>
  <c r="X306" i="4"/>
  <c r="V306" i="4"/>
  <c r="N306" i="4"/>
  <c r="AA305" i="4"/>
  <c r="Z305" i="4"/>
  <c r="Y305" i="4"/>
  <c r="X305" i="4"/>
  <c r="V305" i="4"/>
  <c r="N305" i="4"/>
  <c r="AA304" i="4"/>
  <c r="Z304" i="4"/>
  <c r="Y304" i="4"/>
  <c r="X304" i="4"/>
  <c r="V304" i="4"/>
  <c r="N304" i="4"/>
  <c r="AA303" i="4"/>
  <c r="Z303" i="4"/>
  <c r="Y303" i="4"/>
  <c r="X303" i="4"/>
  <c r="V303" i="4"/>
  <c r="N303" i="4"/>
  <c r="AA302" i="4"/>
  <c r="Z302" i="4"/>
  <c r="Y302" i="4"/>
  <c r="X302" i="4"/>
  <c r="V302" i="4"/>
  <c r="N302" i="4"/>
  <c r="AA301" i="4"/>
  <c r="Z301" i="4"/>
  <c r="Y301" i="4"/>
  <c r="X301" i="4"/>
  <c r="V301" i="4"/>
  <c r="N301" i="4"/>
  <c r="AA300" i="4"/>
  <c r="Z300" i="4"/>
  <c r="Y300" i="4"/>
  <c r="X300" i="4"/>
  <c r="V300" i="4"/>
  <c r="N300" i="4"/>
  <c r="AA299" i="4"/>
  <c r="Z299" i="4"/>
  <c r="Y299" i="4"/>
  <c r="X299" i="4"/>
  <c r="V299" i="4"/>
  <c r="N299" i="4"/>
  <c r="AA298" i="4"/>
  <c r="Z298" i="4"/>
  <c r="Y298" i="4"/>
  <c r="X298" i="4"/>
  <c r="V298" i="4"/>
  <c r="N298" i="4"/>
  <c r="AA297" i="4"/>
  <c r="Z297" i="4"/>
  <c r="Y297" i="4"/>
  <c r="X297" i="4"/>
  <c r="V297" i="4"/>
  <c r="N297" i="4"/>
  <c r="AA296" i="4"/>
  <c r="Z296" i="4"/>
  <c r="Y296" i="4"/>
  <c r="X296" i="4"/>
  <c r="V296" i="4"/>
  <c r="N296" i="4"/>
  <c r="AA295" i="4"/>
  <c r="Z295" i="4"/>
  <c r="Y295" i="4"/>
  <c r="X295" i="4"/>
  <c r="V295" i="4"/>
  <c r="N295" i="4"/>
  <c r="AA294" i="4"/>
  <c r="Z294" i="4"/>
  <c r="Y294" i="4"/>
  <c r="X294" i="4"/>
  <c r="V294" i="4"/>
  <c r="N294" i="4"/>
  <c r="AA293" i="4"/>
  <c r="Z293" i="4"/>
  <c r="Y293" i="4"/>
  <c r="X293" i="4"/>
  <c r="V293" i="4"/>
  <c r="N293" i="4"/>
  <c r="AA292" i="4"/>
  <c r="Z292" i="4"/>
  <c r="Y292" i="4"/>
  <c r="X292" i="4"/>
  <c r="V292" i="4"/>
  <c r="N292" i="4"/>
  <c r="AA291" i="4"/>
  <c r="Z291" i="4"/>
  <c r="Y291" i="4"/>
  <c r="X291" i="4"/>
  <c r="V291" i="4"/>
  <c r="N291" i="4"/>
  <c r="AA290" i="4"/>
  <c r="Z290" i="4"/>
  <c r="Y290" i="4"/>
  <c r="X290" i="4"/>
  <c r="V290" i="4"/>
  <c r="N290" i="4"/>
  <c r="AA289" i="4"/>
  <c r="Z289" i="4"/>
  <c r="Y289" i="4"/>
  <c r="X289" i="4"/>
  <c r="V289" i="4"/>
  <c r="N289" i="4"/>
  <c r="AA288" i="4"/>
  <c r="Z288" i="4"/>
  <c r="Y288" i="4"/>
  <c r="X288" i="4"/>
  <c r="V288" i="4"/>
  <c r="N288" i="4"/>
  <c r="AA287" i="4"/>
  <c r="Z287" i="4"/>
  <c r="Y287" i="4"/>
  <c r="X287" i="4"/>
  <c r="V287" i="4"/>
  <c r="N287" i="4"/>
  <c r="AA286" i="4"/>
  <c r="Z286" i="4"/>
  <c r="Y286" i="4"/>
  <c r="X286" i="4"/>
  <c r="V286" i="4"/>
  <c r="N286" i="4"/>
  <c r="AA285" i="4"/>
  <c r="Z285" i="4"/>
  <c r="Y285" i="4"/>
  <c r="X285" i="4"/>
  <c r="V285" i="4"/>
  <c r="N285" i="4"/>
  <c r="AA284" i="4"/>
  <c r="Z284" i="4"/>
  <c r="Y284" i="4"/>
  <c r="X284" i="4"/>
  <c r="V284" i="4"/>
  <c r="N284" i="4"/>
  <c r="AA283" i="4"/>
  <c r="Z283" i="4"/>
  <c r="Y283" i="4"/>
  <c r="X283" i="4"/>
  <c r="V283" i="4"/>
  <c r="N283" i="4"/>
  <c r="AA282" i="4"/>
  <c r="Z282" i="4"/>
  <c r="Y282" i="4"/>
  <c r="X282" i="4"/>
  <c r="V282" i="4"/>
  <c r="N282" i="4"/>
  <c r="AA281" i="4"/>
  <c r="Z281" i="4"/>
  <c r="Y281" i="4"/>
  <c r="X281" i="4"/>
  <c r="V281" i="4"/>
  <c r="N281" i="4"/>
  <c r="AA280" i="4"/>
  <c r="Z280" i="4"/>
  <c r="Y280" i="4"/>
  <c r="X280" i="4"/>
  <c r="V280" i="4"/>
  <c r="N280" i="4"/>
  <c r="AA279" i="4"/>
  <c r="Z279" i="4"/>
  <c r="Y279" i="4"/>
  <c r="X279" i="4"/>
  <c r="V279" i="4"/>
  <c r="N279" i="4"/>
  <c r="AA278" i="4"/>
  <c r="Z278" i="4"/>
  <c r="Y278" i="4"/>
  <c r="X278" i="4"/>
  <c r="V278" i="4"/>
  <c r="N278" i="4"/>
  <c r="AA277" i="4"/>
  <c r="Z277" i="4"/>
  <c r="Y277" i="4"/>
  <c r="X277" i="4"/>
  <c r="V277" i="4"/>
  <c r="N277" i="4"/>
  <c r="AA276" i="4"/>
  <c r="Z276" i="4"/>
  <c r="Y276" i="4"/>
  <c r="X276" i="4"/>
  <c r="V276" i="4"/>
  <c r="N276" i="4"/>
  <c r="AA275" i="4"/>
  <c r="Z275" i="4"/>
  <c r="Y275" i="4"/>
  <c r="X275" i="4"/>
  <c r="V275" i="4"/>
  <c r="N275" i="4"/>
  <c r="AA274" i="4"/>
  <c r="Z274" i="4"/>
  <c r="Y274" i="4"/>
  <c r="X274" i="4"/>
  <c r="V274" i="4"/>
  <c r="N274" i="4"/>
  <c r="AA273" i="4"/>
  <c r="Z273" i="4"/>
  <c r="Y273" i="4"/>
  <c r="X273" i="4"/>
  <c r="V273" i="4"/>
  <c r="N273" i="4"/>
  <c r="AA272" i="4"/>
  <c r="Z272" i="4"/>
  <c r="Y272" i="4"/>
  <c r="X272" i="4"/>
  <c r="V272" i="4"/>
  <c r="N272" i="4"/>
  <c r="AA271" i="4"/>
  <c r="Z271" i="4"/>
  <c r="Y271" i="4"/>
  <c r="X271" i="4"/>
  <c r="V271" i="4"/>
  <c r="N271" i="4"/>
  <c r="AA270" i="4"/>
  <c r="Z270" i="4"/>
  <c r="Y270" i="4"/>
  <c r="X270" i="4"/>
  <c r="V270" i="4"/>
  <c r="N270" i="4"/>
  <c r="AA269" i="4"/>
  <c r="Z269" i="4"/>
  <c r="Y269" i="4"/>
  <c r="X269" i="4"/>
  <c r="V269" i="4"/>
  <c r="N269" i="4"/>
  <c r="AA268" i="4"/>
  <c r="Z268" i="4"/>
  <c r="Y268" i="4"/>
  <c r="X268" i="4"/>
  <c r="V268" i="4"/>
  <c r="N268" i="4"/>
  <c r="AA267" i="4"/>
  <c r="Z267" i="4"/>
  <c r="Y267" i="4"/>
  <c r="X267" i="4"/>
  <c r="V267" i="4"/>
  <c r="N267" i="4"/>
  <c r="AA266" i="4"/>
  <c r="Z266" i="4"/>
  <c r="Y266" i="4"/>
  <c r="X266" i="4"/>
  <c r="V266" i="4"/>
  <c r="N266" i="4"/>
  <c r="AA265" i="4"/>
  <c r="Z265" i="4"/>
  <c r="Y265" i="4"/>
  <c r="X265" i="4"/>
  <c r="V265" i="4"/>
  <c r="N265" i="4"/>
  <c r="AA264" i="4"/>
  <c r="Z264" i="4"/>
  <c r="Y264" i="4"/>
  <c r="X264" i="4"/>
  <c r="V264" i="4"/>
  <c r="N264" i="4"/>
  <c r="AA263" i="4"/>
  <c r="Z263" i="4"/>
  <c r="Y263" i="4"/>
  <c r="X263" i="4"/>
  <c r="V263" i="4"/>
  <c r="N263" i="4"/>
  <c r="AA262" i="4"/>
  <c r="Z262" i="4"/>
  <c r="Y262" i="4"/>
  <c r="X262" i="4"/>
  <c r="V262" i="4"/>
  <c r="N262" i="4"/>
  <c r="AA261" i="4"/>
  <c r="Z261" i="4"/>
  <c r="Y261" i="4"/>
  <c r="X261" i="4"/>
  <c r="V261" i="4"/>
  <c r="N261" i="4"/>
  <c r="AA260" i="4"/>
  <c r="Z260" i="4"/>
  <c r="Y260" i="4"/>
  <c r="X260" i="4"/>
  <c r="V260" i="4"/>
  <c r="N260" i="4"/>
  <c r="AA259" i="4"/>
  <c r="Z259" i="4"/>
  <c r="Y259" i="4"/>
  <c r="X259" i="4"/>
  <c r="V259" i="4"/>
  <c r="N259" i="4"/>
  <c r="AA258" i="4"/>
  <c r="Z258" i="4"/>
  <c r="Y258" i="4"/>
  <c r="X258" i="4"/>
  <c r="V258" i="4"/>
  <c r="N258" i="4"/>
  <c r="AA257" i="4"/>
  <c r="Z257" i="4"/>
  <c r="Y257" i="4"/>
  <c r="X257" i="4"/>
  <c r="V257" i="4"/>
  <c r="N257" i="4"/>
  <c r="AA256" i="4"/>
  <c r="Z256" i="4"/>
  <c r="Y256" i="4"/>
  <c r="X256" i="4"/>
  <c r="V256" i="4"/>
  <c r="N256" i="4"/>
  <c r="AA255" i="4"/>
  <c r="Z255" i="4"/>
  <c r="Y255" i="4"/>
  <c r="X255" i="4"/>
  <c r="V255" i="4"/>
  <c r="N255" i="4"/>
  <c r="AA254" i="4"/>
  <c r="Z254" i="4"/>
  <c r="Y254" i="4"/>
  <c r="X254" i="4"/>
  <c r="V254" i="4"/>
  <c r="N254" i="4"/>
  <c r="AA253" i="4"/>
  <c r="Z253" i="4"/>
  <c r="Y253" i="4"/>
  <c r="X253" i="4"/>
  <c r="V253" i="4"/>
  <c r="N253" i="4"/>
  <c r="AA252" i="4"/>
  <c r="Z252" i="4"/>
  <c r="Y252" i="4"/>
  <c r="X252" i="4"/>
  <c r="V252" i="4"/>
  <c r="N252" i="4"/>
  <c r="AA251" i="4"/>
  <c r="Z251" i="4"/>
  <c r="Y251" i="4"/>
  <c r="X251" i="4"/>
  <c r="V251" i="4"/>
  <c r="N251" i="4"/>
  <c r="AA250" i="4"/>
  <c r="Z250" i="4"/>
  <c r="Y250" i="4"/>
  <c r="X250" i="4"/>
  <c r="V250" i="4"/>
  <c r="N250" i="4"/>
  <c r="AA249" i="4"/>
  <c r="Z249" i="4"/>
  <c r="Y249" i="4"/>
  <c r="X249" i="4"/>
  <c r="V249" i="4"/>
  <c r="N249" i="4"/>
  <c r="AA248" i="4"/>
  <c r="Z248" i="4"/>
  <c r="Y248" i="4"/>
  <c r="X248" i="4"/>
  <c r="V248" i="4"/>
  <c r="N248" i="4"/>
  <c r="AA247" i="4"/>
  <c r="Z247" i="4"/>
  <c r="Y247" i="4"/>
  <c r="X247" i="4"/>
  <c r="V247" i="4"/>
  <c r="N247" i="4"/>
  <c r="AA246" i="4"/>
  <c r="Z246" i="4"/>
  <c r="Y246" i="4"/>
  <c r="X246" i="4"/>
  <c r="V246" i="4"/>
  <c r="N246" i="4"/>
  <c r="AA245" i="4"/>
  <c r="Z245" i="4"/>
  <c r="Y245" i="4"/>
  <c r="X245" i="4"/>
  <c r="V245" i="4"/>
  <c r="N245" i="4"/>
  <c r="AA244" i="4"/>
  <c r="Z244" i="4"/>
  <c r="Y244" i="4"/>
  <c r="X244" i="4"/>
  <c r="V244" i="4"/>
  <c r="N244" i="4"/>
  <c r="AA243" i="4"/>
  <c r="Z243" i="4"/>
  <c r="Y243" i="4"/>
  <c r="X243" i="4"/>
  <c r="V243" i="4"/>
  <c r="N243" i="4"/>
  <c r="AA242" i="4"/>
  <c r="Z242" i="4"/>
  <c r="Y242" i="4"/>
  <c r="X242" i="4"/>
  <c r="V242" i="4"/>
  <c r="N242" i="4"/>
  <c r="AA241" i="4"/>
  <c r="Z241" i="4"/>
  <c r="Y241" i="4"/>
  <c r="X241" i="4"/>
  <c r="V241" i="4"/>
  <c r="N241" i="4"/>
  <c r="AA240" i="4"/>
  <c r="Z240" i="4"/>
  <c r="Y240" i="4"/>
  <c r="X240" i="4"/>
  <c r="V240" i="4"/>
  <c r="N240" i="4"/>
  <c r="AA239" i="4"/>
  <c r="Z239" i="4"/>
  <c r="Y239" i="4"/>
  <c r="X239" i="4"/>
  <c r="V239" i="4"/>
  <c r="N239" i="4"/>
  <c r="AA238" i="4"/>
  <c r="Z238" i="4"/>
  <c r="Y238" i="4"/>
  <c r="X238" i="4"/>
  <c r="V238" i="4"/>
  <c r="N238" i="4"/>
  <c r="AA237" i="4"/>
  <c r="Z237" i="4"/>
  <c r="Y237" i="4"/>
  <c r="X237" i="4"/>
  <c r="V237" i="4"/>
  <c r="N237" i="4"/>
  <c r="AA236" i="4"/>
  <c r="Z236" i="4"/>
  <c r="Y236" i="4"/>
  <c r="X236" i="4"/>
  <c r="V236" i="4"/>
  <c r="N236" i="4"/>
  <c r="AA235" i="4"/>
  <c r="Z235" i="4"/>
  <c r="Y235" i="4"/>
  <c r="X235" i="4"/>
  <c r="V235" i="4"/>
  <c r="N235" i="4"/>
  <c r="AA234" i="4"/>
  <c r="Z234" i="4"/>
  <c r="Y234" i="4"/>
  <c r="X234" i="4"/>
  <c r="V234" i="4"/>
  <c r="N234" i="4"/>
  <c r="AA233" i="4"/>
  <c r="Z233" i="4"/>
  <c r="Y233" i="4"/>
  <c r="X233" i="4"/>
  <c r="V233" i="4"/>
  <c r="N233" i="4"/>
  <c r="AA232" i="4"/>
  <c r="Z232" i="4"/>
  <c r="Y232" i="4"/>
  <c r="X232" i="4"/>
  <c r="V232" i="4"/>
  <c r="N232" i="4"/>
  <c r="AA231" i="4"/>
  <c r="Z231" i="4"/>
  <c r="Y231" i="4"/>
  <c r="X231" i="4"/>
  <c r="V231" i="4"/>
  <c r="N231" i="4"/>
  <c r="AA230" i="4"/>
  <c r="Z230" i="4"/>
  <c r="Y230" i="4"/>
  <c r="X230" i="4"/>
  <c r="V230" i="4"/>
  <c r="N230" i="4"/>
  <c r="AA229" i="4"/>
  <c r="Z229" i="4"/>
  <c r="Y229" i="4"/>
  <c r="X229" i="4"/>
  <c r="V229" i="4"/>
  <c r="N229" i="4"/>
  <c r="AA228" i="4"/>
  <c r="Z228" i="4"/>
  <c r="Y228" i="4"/>
  <c r="X228" i="4"/>
  <c r="V228" i="4"/>
  <c r="N228" i="4"/>
  <c r="AA227" i="4"/>
  <c r="Z227" i="4"/>
  <c r="Y227" i="4"/>
  <c r="X227" i="4"/>
  <c r="V227" i="4"/>
  <c r="N227" i="4"/>
  <c r="AA226" i="4"/>
  <c r="Z226" i="4"/>
  <c r="Y226" i="4"/>
  <c r="X226" i="4"/>
  <c r="V226" i="4"/>
  <c r="N226" i="4"/>
  <c r="AA225" i="4"/>
  <c r="Z225" i="4"/>
  <c r="Y225" i="4"/>
  <c r="X225" i="4"/>
  <c r="V225" i="4"/>
  <c r="N225" i="4"/>
  <c r="AA224" i="4"/>
  <c r="Z224" i="4"/>
  <c r="Y224" i="4"/>
  <c r="X224" i="4"/>
  <c r="V224" i="4"/>
  <c r="N224" i="4"/>
  <c r="AA223" i="4"/>
  <c r="Z223" i="4"/>
  <c r="Y223" i="4"/>
  <c r="X223" i="4"/>
  <c r="V223" i="4"/>
  <c r="N223" i="4"/>
  <c r="AA222" i="4"/>
  <c r="Z222" i="4"/>
  <c r="Y222" i="4"/>
  <c r="X222" i="4"/>
  <c r="V222" i="4"/>
  <c r="N222" i="4"/>
  <c r="AA221" i="4"/>
  <c r="Z221" i="4"/>
  <c r="Y221" i="4"/>
  <c r="X221" i="4"/>
  <c r="V221" i="4"/>
  <c r="N221" i="4"/>
  <c r="AA220" i="4"/>
  <c r="Z220" i="4"/>
  <c r="Y220" i="4"/>
  <c r="X220" i="4"/>
  <c r="V220" i="4"/>
  <c r="N220" i="4"/>
  <c r="AA219" i="4"/>
  <c r="Z219" i="4"/>
  <c r="Y219" i="4"/>
  <c r="X219" i="4"/>
  <c r="V219" i="4"/>
  <c r="N219" i="4"/>
  <c r="AA218" i="4"/>
  <c r="Z218" i="4"/>
  <c r="Y218" i="4"/>
  <c r="X218" i="4"/>
  <c r="V218" i="4"/>
  <c r="N218" i="4"/>
  <c r="AA217" i="4"/>
  <c r="Z217" i="4"/>
  <c r="Y217" i="4"/>
  <c r="X217" i="4"/>
  <c r="V217" i="4"/>
  <c r="N217" i="4"/>
  <c r="AA216" i="4"/>
  <c r="Z216" i="4"/>
  <c r="Y216" i="4"/>
  <c r="X216" i="4"/>
  <c r="V216" i="4"/>
  <c r="N216" i="4"/>
  <c r="AA215" i="4"/>
  <c r="Z215" i="4"/>
  <c r="Y215" i="4"/>
  <c r="X215" i="4"/>
  <c r="V215" i="4"/>
  <c r="N215" i="4"/>
  <c r="AA214" i="4"/>
  <c r="Z214" i="4"/>
  <c r="Y214" i="4"/>
  <c r="X214" i="4"/>
  <c r="V214" i="4"/>
  <c r="N214" i="4"/>
  <c r="AA213" i="4"/>
  <c r="Z213" i="4"/>
  <c r="Y213" i="4"/>
  <c r="X213" i="4"/>
  <c r="V213" i="4"/>
  <c r="N213" i="4"/>
  <c r="AA212" i="4"/>
  <c r="Z212" i="4"/>
  <c r="Y212" i="4"/>
  <c r="X212" i="4"/>
  <c r="V212" i="4"/>
  <c r="N212" i="4"/>
  <c r="AA211" i="4"/>
  <c r="Z211" i="4"/>
  <c r="Y211" i="4"/>
  <c r="X211" i="4"/>
  <c r="V211" i="4"/>
  <c r="N211" i="4"/>
  <c r="AA210" i="4"/>
  <c r="Z210" i="4"/>
  <c r="Y210" i="4"/>
  <c r="X210" i="4"/>
  <c r="V210" i="4"/>
  <c r="N210" i="4"/>
  <c r="AA209" i="4"/>
  <c r="Z209" i="4"/>
  <c r="Y209" i="4"/>
  <c r="X209" i="4"/>
  <c r="V209" i="4"/>
  <c r="N209" i="4"/>
  <c r="AA208" i="4"/>
  <c r="Z208" i="4"/>
  <c r="Y208" i="4"/>
  <c r="X208" i="4"/>
  <c r="V208" i="4"/>
  <c r="N208" i="4"/>
  <c r="AA207" i="4"/>
  <c r="Z207" i="4"/>
  <c r="Y207" i="4"/>
  <c r="X207" i="4"/>
  <c r="V207" i="4"/>
  <c r="N207" i="4"/>
  <c r="AA206" i="4"/>
  <c r="Z206" i="4"/>
  <c r="Y206" i="4"/>
  <c r="X206" i="4"/>
  <c r="V206" i="4"/>
  <c r="N206" i="4"/>
  <c r="AA205" i="4"/>
  <c r="Z205" i="4"/>
  <c r="Y205" i="4"/>
  <c r="X205" i="4"/>
  <c r="V205" i="4"/>
  <c r="N205" i="4"/>
  <c r="AA204" i="4"/>
  <c r="Z204" i="4"/>
  <c r="Y204" i="4"/>
  <c r="X204" i="4"/>
  <c r="V204" i="4"/>
  <c r="N204" i="4"/>
  <c r="AA203" i="4"/>
  <c r="Z203" i="4"/>
  <c r="Y203" i="4"/>
  <c r="X203" i="4"/>
  <c r="V203" i="4"/>
  <c r="N203" i="4"/>
  <c r="AA202" i="4"/>
  <c r="Z202" i="4"/>
  <c r="Y202" i="4"/>
  <c r="X202" i="4"/>
  <c r="V202" i="4"/>
  <c r="N202" i="4"/>
  <c r="AA201" i="4"/>
  <c r="Z201" i="4"/>
  <c r="Y201" i="4"/>
  <c r="X201" i="4"/>
  <c r="V201" i="4"/>
  <c r="N201" i="4"/>
  <c r="AA200" i="4"/>
  <c r="Z200" i="4"/>
  <c r="Y200" i="4"/>
  <c r="X200" i="4"/>
  <c r="V200" i="4"/>
  <c r="N200" i="4"/>
  <c r="AA199" i="4"/>
  <c r="Z199" i="4"/>
  <c r="Y199" i="4"/>
  <c r="X199" i="4"/>
  <c r="V199" i="4"/>
  <c r="N199" i="4"/>
  <c r="AA198" i="4"/>
  <c r="Z198" i="4"/>
  <c r="Y198" i="4"/>
  <c r="X198" i="4"/>
  <c r="V198" i="4"/>
  <c r="N198" i="4"/>
  <c r="AA197" i="4"/>
  <c r="Z197" i="4"/>
  <c r="Y197" i="4"/>
  <c r="X197" i="4"/>
  <c r="V197" i="4"/>
  <c r="N197" i="4"/>
  <c r="AA196" i="4"/>
  <c r="Z196" i="4"/>
  <c r="Y196" i="4"/>
  <c r="X196" i="4"/>
  <c r="V196" i="4"/>
  <c r="N196" i="4"/>
  <c r="AA195" i="4"/>
  <c r="Z195" i="4"/>
  <c r="Y195" i="4"/>
  <c r="X195" i="4"/>
  <c r="V195" i="4"/>
  <c r="N195" i="4"/>
  <c r="AA194" i="4"/>
  <c r="Z194" i="4"/>
  <c r="Y194" i="4"/>
  <c r="X194" i="4"/>
  <c r="V194" i="4"/>
  <c r="N194" i="4"/>
  <c r="AA193" i="4"/>
  <c r="Z193" i="4"/>
  <c r="Y193" i="4"/>
  <c r="X193" i="4"/>
  <c r="V193" i="4"/>
  <c r="N193" i="4"/>
  <c r="AA192" i="4"/>
  <c r="Z192" i="4"/>
  <c r="Y192" i="4"/>
  <c r="X192" i="4"/>
  <c r="V192" i="4"/>
  <c r="N192" i="4"/>
  <c r="AA191" i="4"/>
  <c r="Z191" i="4"/>
  <c r="Y191" i="4"/>
  <c r="X191" i="4"/>
  <c r="V191" i="4"/>
  <c r="N191" i="4"/>
  <c r="AA190" i="4"/>
  <c r="Z190" i="4"/>
  <c r="Y190" i="4"/>
  <c r="X190" i="4"/>
  <c r="V190" i="4"/>
  <c r="N190" i="4"/>
  <c r="AA189" i="4"/>
  <c r="Z189" i="4"/>
  <c r="Y189" i="4"/>
  <c r="X189" i="4"/>
  <c r="V189" i="4"/>
  <c r="N189" i="4"/>
  <c r="AA188" i="4"/>
  <c r="Z188" i="4"/>
  <c r="Y188" i="4"/>
  <c r="X188" i="4"/>
  <c r="V188" i="4"/>
  <c r="N188" i="4"/>
  <c r="AA187" i="4"/>
  <c r="Z187" i="4"/>
  <c r="Y187" i="4"/>
  <c r="X187" i="4"/>
  <c r="V187" i="4"/>
  <c r="N187" i="4"/>
  <c r="AA186" i="4"/>
  <c r="Z186" i="4"/>
  <c r="Y186" i="4"/>
  <c r="X186" i="4"/>
  <c r="V186" i="4"/>
  <c r="N186" i="4"/>
  <c r="AA185" i="4"/>
  <c r="Z185" i="4"/>
  <c r="Y185" i="4"/>
  <c r="X185" i="4"/>
  <c r="V185" i="4"/>
  <c r="N185" i="4"/>
  <c r="AA184" i="4"/>
  <c r="Z184" i="4"/>
  <c r="Y184" i="4"/>
  <c r="X184" i="4"/>
  <c r="V184" i="4"/>
  <c r="N184" i="4"/>
  <c r="AA183" i="4"/>
  <c r="Z183" i="4"/>
  <c r="Y183" i="4"/>
  <c r="X183" i="4"/>
  <c r="V183" i="4"/>
  <c r="N183" i="4"/>
  <c r="AA182" i="4"/>
  <c r="Z182" i="4"/>
  <c r="Y182" i="4"/>
  <c r="X182" i="4"/>
  <c r="V182" i="4"/>
  <c r="N182" i="4"/>
  <c r="AA181" i="4"/>
  <c r="Z181" i="4"/>
  <c r="Y181" i="4"/>
  <c r="X181" i="4"/>
  <c r="V181" i="4"/>
  <c r="N181" i="4"/>
  <c r="AA180" i="4"/>
  <c r="Z180" i="4"/>
  <c r="Y180" i="4"/>
  <c r="X180" i="4"/>
  <c r="V180" i="4"/>
  <c r="N180" i="4"/>
  <c r="AA179" i="4"/>
  <c r="Z179" i="4"/>
  <c r="Y179" i="4"/>
  <c r="X179" i="4"/>
  <c r="V179" i="4"/>
  <c r="N179" i="4"/>
  <c r="AA178" i="4"/>
  <c r="Z178" i="4"/>
  <c r="Y178" i="4"/>
  <c r="X178" i="4"/>
  <c r="V178" i="4"/>
  <c r="N178" i="4"/>
  <c r="AA177" i="4"/>
  <c r="Z177" i="4"/>
  <c r="Y177" i="4"/>
  <c r="X177" i="4"/>
  <c r="V177" i="4"/>
  <c r="N177" i="4"/>
  <c r="AA176" i="4"/>
  <c r="Z176" i="4"/>
  <c r="Y176" i="4"/>
  <c r="X176" i="4"/>
  <c r="V176" i="4"/>
  <c r="N176" i="4"/>
  <c r="AA175" i="4"/>
  <c r="Z175" i="4"/>
  <c r="Y175" i="4"/>
  <c r="X175" i="4"/>
  <c r="V175" i="4"/>
  <c r="N175" i="4"/>
  <c r="AA174" i="4"/>
  <c r="Z174" i="4"/>
  <c r="Y174" i="4"/>
  <c r="X174" i="4"/>
  <c r="V174" i="4"/>
  <c r="N174" i="4"/>
  <c r="AA173" i="4"/>
  <c r="Z173" i="4"/>
  <c r="Y173" i="4"/>
  <c r="X173" i="4"/>
  <c r="V173" i="4"/>
  <c r="N173" i="4"/>
  <c r="AA172" i="4"/>
  <c r="Z172" i="4"/>
  <c r="Y172" i="4"/>
  <c r="X172" i="4"/>
  <c r="V172" i="4"/>
  <c r="N172" i="4"/>
  <c r="AA171" i="4"/>
  <c r="Z171" i="4"/>
  <c r="Y171" i="4"/>
  <c r="X171" i="4"/>
  <c r="V171" i="4"/>
  <c r="N171" i="4"/>
  <c r="AA170" i="4"/>
  <c r="Z170" i="4"/>
  <c r="Y170" i="4"/>
  <c r="X170" i="4"/>
  <c r="V170" i="4"/>
  <c r="N170" i="4"/>
  <c r="AA169" i="4"/>
  <c r="Z169" i="4"/>
  <c r="Y169" i="4"/>
  <c r="X169" i="4"/>
  <c r="V169" i="4"/>
  <c r="N169" i="4"/>
  <c r="AA168" i="4"/>
  <c r="Z168" i="4"/>
  <c r="Y168" i="4"/>
  <c r="X168" i="4"/>
  <c r="V168" i="4"/>
  <c r="N168" i="4"/>
  <c r="AA167" i="4"/>
  <c r="Z167" i="4"/>
  <c r="Y167" i="4"/>
  <c r="X167" i="4"/>
  <c r="V167" i="4"/>
  <c r="N167" i="4"/>
  <c r="AA166" i="4"/>
  <c r="Z166" i="4"/>
  <c r="Y166" i="4"/>
  <c r="X166" i="4"/>
  <c r="V166" i="4"/>
  <c r="N166" i="4"/>
  <c r="AA165" i="4"/>
  <c r="Z165" i="4"/>
  <c r="Y165" i="4"/>
  <c r="X165" i="4"/>
  <c r="V165" i="4"/>
  <c r="N165" i="4"/>
  <c r="AA164" i="4"/>
  <c r="Z164" i="4"/>
  <c r="Y164" i="4"/>
  <c r="X164" i="4"/>
  <c r="V164" i="4"/>
  <c r="N164" i="4"/>
  <c r="AA163" i="4"/>
  <c r="Z163" i="4"/>
  <c r="Y163" i="4"/>
  <c r="X163" i="4"/>
  <c r="V163" i="4"/>
  <c r="N163" i="4"/>
  <c r="AA162" i="4"/>
  <c r="Z162" i="4"/>
  <c r="Y162" i="4"/>
  <c r="X162" i="4"/>
  <c r="V162" i="4"/>
  <c r="N162" i="4"/>
  <c r="AA161" i="4"/>
  <c r="Z161" i="4"/>
  <c r="Y161" i="4"/>
  <c r="X161" i="4"/>
  <c r="V161" i="4"/>
  <c r="N161" i="4"/>
  <c r="AA160" i="4"/>
  <c r="Z160" i="4"/>
  <c r="Y160" i="4"/>
  <c r="X160" i="4"/>
  <c r="V160" i="4"/>
  <c r="N160" i="4"/>
  <c r="AA159" i="4"/>
  <c r="Z159" i="4"/>
  <c r="Y159" i="4"/>
  <c r="X159" i="4"/>
  <c r="V159" i="4"/>
  <c r="N159" i="4"/>
  <c r="AA158" i="4"/>
  <c r="Z158" i="4"/>
  <c r="Y158" i="4"/>
  <c r="X158" i="4"/>
  <c r="V158" i="4"/>
  <c r="N158" i="4"/>
  <c r="AA157" i="4"/>
  <c r="Z157" i="4"/>
  <c r="Y157" i="4"/>
  <c r="X157" i="4"/>
  <c r="V157" i="4"/>
  <c r="N157" i="4"/>
  <c r="AA156" i="4"/>
  <c r="Z156" i="4"/>
  <c r="Y156" i="4"/>
  <c r="X156" i="4"/>
  <c r="V156" i="4"/>
  <c r="N156" i="4"/>
  <c r="AA155" i="4"/>
  <c r="Z155" i="4"/>
  <c r="Y155" i="4"/>
  <c r="X155" i="4"/>
  <c r="V155" i="4"/>
  <c r="N155" i="4"/>
  <c r="AA154" i="4"/>
  <c r="Z154" i="4"/>
  <c r="Y154" i="4"/>
  <c r="X154" i="4"/>
  <c r="V154" i="4"/>
  <c r="N154" i="4"/>
  <c r="AA153" i="4"/>
  <c r="Z153" i="4"/>
  <c r="Y153" i="4"/>
  <c r="X153" i="4"/>
  <c r="V153" i="4"/>
  <c r="N153" i="4"/>
  <c r="AA152" i="4"/>
  <c r="Z152" i="4"/>
  <c r="Y152" i="4"/>
  <c r="X152" i="4"/>
  <c r="V152" i="4"/>
  <c r="N152" i="4"/>
  <c r="AA151" i="4"/>
  <c r="Z151" i="4"/>
  <c r="Y151" i="4"/>
  <c r="X151" i="4"/>
  <c r="V151" i="4"/>
  <c r="N151" i="4"/>
  <c r="AA150" i="4"/>
  <c r="Z150" i="4"/>
  <c r="Y150" i="4"/>
  <c r="X150" i="4"/>
  <c r="V150" i="4"/>
  <c r="N150" i="4"/>
  <c r="AA149" i="4"/>
  <c r="Z149" i="4"/>
  <c r="Y149" i="4"/>
  <c r="X149" i="4"/>
  <c r="V149" i="4"/>
  <c r="N149" i="4"/>
  <c r="AA148" i="4"/>
  <c r="Z148" i="4"/>
  <c r="Y148" i="4"/>
  <c r="X148" i="4"/>
  <c r="V148" i="4"/>
  <c r="N148" i="4"/>
  <c r="AA147" i="4"/>
  <c r="Z147" i="4"/>
  <c r="Y147" i="4"/>
  <c r="X147" i="4"/>
  <c r="V147" i="4"/>
  <c r="N147" i="4"/>
  <c r="AA146" i="4"/>
  <c r="Z146" i="4"/>
  <c r="Y146" i="4"/>
  <c r="X146" i="4"/>
  <c r="V146" i="4"/>
  <c r="N146" i="4"/>
  <c r="AA145" i="4"/>
  <c r="Z145" i="4"/>
  <c r="Y145" i="4"/>
  <c r="X145" i="4"/>
  <c r="V145" i="4"/>
  <c r="N145" i="4"/>
  <c r="AA144" i="4"/>
  <c r="Z144" i="4"/>
  <c r="Y144" i="4"/>
  <c r="X144" i="4"/>
  <c r="V144" i="4"/>
  <c r="N144" i="4"/>
  <c r="AA143" i="4"/>
  <c r="Z143" i="4"/>
  <c r="Y143" i="4"/>
  <c r="X143" i="4"/>
  <c r="V143" i="4"/>
  <c r="N143" i="4"/>
  <c r="AA142" i="4"/>
  <c r="Z142" i="4"/>
  <c r="Y142" i="4"/>
  <c r="X142" i="4"/>
  <c r="V142" i="4"/>
  <c r="N142" i="4"/>
  <c r="AA141" i="4"/>
  <c r="Z141" i="4"/>
  <c r="Y141" i="4"/>
  <c r="X141" i="4"/>
  <c r="V141" i="4"/>
  <c r="N141" i="4"/>
  <c r="AA140" i="4"/>
  <c r="Z140" i="4"/>
  <c r="Y140" i="4"/>
  <c r="X140" i="4"/>
  <c r="V140" i="4"/>
  <c r="N140" i="4"/>
  <c r="AA139" i="4"/>
  <c r="Z139" i="4"/>
  <c r="Y139" i="4"/>
  <c r="X139" i="4"/>
  <c r="V139" i="4"/>
  <c r="N139" i="4"/>
  <c r="AA138" i="4"/>
  <c r="Z138" i="4"/>
  <c r="Y138" i="4"/>
  <c r="X138" i="4"/>
  <c r="V138" i="4"/>
  <c r="N138" i="4"/>
  <c r="AA137" i="4"/>
  <c r="Z137" i="4"/>
  <c r="Y137" i="4"/>
  <c r="X137" i="4"/>
  <c r="V137" i="4"/>
  <c r="N137" i="4"/>
  <c r="AA136" i="4"/>
  <c r="Z136" i="4"/>
  <c r="Y136" i="4"/>
  <c r="X136" i="4"/>
  <c r="V136" i="4"/>
  <c r="N136" i="4"/>
  <c r="AA135" i="4"/>
  <c r="Z135" i="4"/>
  <c r="Y135" i="4"/>
  <c r="X135" i="4"/>
  <c r="V135" i="4"/>
  <c r="N135" i="4"/>
  <c r="AA134" i="4"/>
  <c r="Z134" i="4"/>
  <c r="Y134" i="4"/>
  <c r="X134" i="4"/>
  <c r="V134" i="4"/>
  <c r="N134" i="4"/>
  <c r="AA133" i="4"/>
  <c r="Z133" i="4"/>
  <c r="Y133" i="4"/>
  <c r="X133" i="4"/>
  <c r="V133" i="4"/>
  <c r="N133" i="4"/>
  <c r="AA132" i="4"/>
  <c r="Z132" i="4"/>
  <c r="Y132" i="4"/>
  <c r="X132" i="4"/>
  <c r="V132" i="4"/>
  <c r="N132" i="4"/>
  <c r="AA131" i="4"/>
  <c r="Z131" i="4"/>
  <c r="Y131" i="4"/>
  <c r="X131" i="4"/>
  <c r="V131" i="4"/>
  <c r="N131" i="4"/>
  <c r="AA130" i="4"/>
  <c r="Z130" i="4"/>
  <c r="Y130" i="4"/>
  <c r="X130" i="4"/>
  <c r="V130" i="4"/>
  <c r="N130" i="4"/>
  <c r="AA129" i="4"/>
  <c r="Z129" i="4"/>
  <c r="Y129" i="4"/>
  <c r="X129" i="4"/>
  <c r="V129" i="4"/>
  <c r="N129" i="4"/>
  <c r="AA128" i="4"/>
  <c r="Z128" i="4"/>
  <c r="Y128" i="4"/>
  <c r="X128" i="4"/>
  <c r="V128" i="4"/>
  <c r="N128" i="4"/>
  <c r="AA127" i="4"/>
  <c r="Z127" i="4"/>
  <c r="Y127" i="4"/>
  <c r="X127" i="4"/>
  <c r="V127" i="4"/>
  <c r="N127" i="4"/>
  <c r="AA126" i="4"/>
  <c r="Z126" i="4"/>
  <c r="Y126" i="4"/>
  <c r="X126" i="4"/>
  <c r="V126" i="4"/>
  <c r="N126" i="4"/>
  <c r="AA125" i="4"/>
  <c r="Z125" i="4"/>
  <c r="Y125" i="4"/>
  <c r="X125" i="4"/>
  <c r="V125" i="4"/>
  <c r="N125" i="4"/>
  <c r="AA124" i="4"/>
  <c r="Z124" i="4"/>
  <c r="Y124" i="4"/>
  <c r="X124" i="4"/>
  <c r="V124" i="4"/>
  <c r="N124" i="4"/>
  <c r="AA123" i="4"/>
  <c r="Z123" i="4"/>
  <c r="Y123" i="4"/>
  <c r="X123" i="4"/>
  <c r="V123" i="4"/>
  <c r="N123" i="4"/>
  <c r="AA122" i="4"/>
  <c r="Z122" i="4"/>
  <c r="Y122" i="4"/>
  <c r="X122" i="4"/>
  <c r="V122" i="4"/>
  <c r="N122" i="4"/>
  <c r="AA121" i="4"/>
  <c r="Z121" i="4"/>
  <c r="Y121" i="4"/>
  <c r="X121" i="4"/>
  <c r="V121" i="4"/>
  <c r="N121" i="4"/>
  <c r="AA120" i="4"/>
  <c r="Z120" i="4"/>
  <c r="Y120" i="4"/>
  <c r="X120" i="4"/>
  <c r="V120" i="4"/>
  <c r="N120" i="4"/>
  <c r="AA119" i="4"/>
  <c r="Z119" i="4"/>
  <c r="Y119" i="4"/>
  <c r="X119" i="4"/>
  <c r="V119" i="4"/>
  <c r="N119" i="4"/>
  <c r="AA118" i="4"/>
  <c r="Z118" i="4"/>
  <c r="Y118" i="4"/>
  <c r="X118" i="4"/>
  <c r="V118" i="4"/>
  <c r="N118" i="4"/>
  <c r="AA117" i="4"/>
  <c r="Z117" i="4"/>
  <c r="Y117" i="4"/>
  <c r="X117" i="4"/>
  <c r="V117" i="4"/>
  <c r="N117" i="4"/>
  <c r="AA116" i="4"/>
  <c r="Z116" i="4"/>
  <c r="Y116" i="4"/>
  <c r="X116" i="4"/>
  <c r="V116" i="4"/>
  <c r="N116" i="4"/>
  <c r="AA115" i="4"/>
  <c r="Z115" i="4"/>
  <c r="Y115" i="4"/>
  <c r="X115" i="4"/>
  <c r="V115" i="4"/>
  <c r="N115" i="4"/>
  <c r="AA114" i="4"/>
  <c r="Z114" i="4"/>
  <c r="Y114" i="4"/>
  <c r="X114" i="4"/>
  <c r="V114" i="4"/>
  <c r="N114" i="4"/>
  <c r="AA113" i="4"/>
  <c r="Z113" i="4"/>
  <c r="Y113" i="4"/>
  <c r="X113" i="4"/>
  <c r="V113" i="4"/>
  <c r="N113" i="4"/>
  <c r="AA112" i="4"/>
  <c r="Z112" i="4"/>
  <c r="Y112" i="4"/>
  <c r="X112" i="4"/>
  <c r="V112" i="4"/>
  <c r="N112" i="4"/>
  <c r="AA111" i="4"/>
  <c r="Z111" i="4"/>
  <c r="Y111" i="4"/>
  <c r="X111" i="4"/>
  <c r="V111" i="4"/>
  <c r="N111" i="4"/>
  <c r="AA110" i="4"/>
  <c r="Z110" i="4"/>
  <c r="Y110" i="4"/>
  <c r="X110" i="4"/>
  <c r="V110" i="4"/>
  <c r="N110" i="4"/>
  <c r="AA109" i="4"/>
  <c r="Z109" i="4"/>
  <c r="Y109" i="4"/>
  <c r="X109" i="4"/>
  <c r="V109" i="4"/>
  <c r="N109" i="4"/>
  <c r="AA108" i="4"/>
  <c r="Z108" i="4"/>
  <c r="Y108" i="4"/>
  <c r="X108" i="4"/>
  <c r="V108" i="4"/>
  <c r="N108" i="4"/>
  <c r="AA107" i="4"/>
  <c r="Z107" i="4"/>
  <c r="Y107" i="4"/>
  <c r="X107" i="4"/>
  <c r="V107" i="4"/>
  <c r="N107" i="4"/>
  <c r="AA106" i="4"/>
  <c r="Z106" i="4"/>
  <c r="Y106" i="4"/>
  <c r="X106" i="4"/>
  <c r="V106" i="4"/>
  <c r="N106" i="4"/>
  <c r="AA105" i="4"/>
  <c r="Z105" i="4"/>
  <c r="Y105" i="4"/>
  <c r="X105" i="4"/>
  <c r="V105" i="4"/>
  <c r="N105" i="4"/>
  <c r="AA104" i="4"/>
  <c r="Z104" i="4"/>
  <c r="Y104" i="4"/>
  <c r="X104" i="4"/>
  <c r="V104" i="4"/>
  <c r="N104" i="4"/>
  <c r="AA103" i="4"/>
  <c r="Z103" i="4"/>
  <c r="Y103" i="4"/>
  <c r="X103" i="4"/>
  <c r="V103" i="4"/>
  <c r="N103" i="4"/>
  <c r="AA102" i="4"/>
  <c r="Z102" i="4"/>
  <c r="Y102" i="4"/>
  <c r="X102" i="4"/>
  <c r="V102" i="4"/>
  <c r="N102" i="4"/>
  <c r="AA101" i="4"/>
  <c r="Z101" i="4"/>
  <c r="Y101" i="4"/>
  <c r="X101" i="4"/>
  <c r="V101" i="4"/>
  <c r="N101" i="4"/>
  <c r="AA100" i="4"/>
  <c r="Z100" i="4"/>
  <c r="Y100" i="4"/>
  <c r="X100" i="4"/>
  <c r="V100" i="4"/>
  <c r="N100" i="4"/>
  <c r="AA99" i="4"/>
  <c r="Z99" i="4"/>
  <c r="Y99" i="4"/>
  <c r="X99" i="4"/>
  <c r="V99" i="4"/>
  <c r="N99" i="4"/>
  <c r="AA98" i="4"/>
  <c r="Z98" i="4"/>
  <c r="Y98" i="4"/>
  <c r="X98" i="4"/>
  <c r="V98" i="4"/>
  <c r="N98" i="4"/>
  <c r="AA97" i="4"/>
  <c r="Z97" i="4"/>
  <c r="Y97" i="4"/>
  <c r="X97" i="4"/>
  <c r="V97" i="4"/>
  <c r="N97" i="4"/>
  <c r="AA96" i="4"/>
  <c r="Z96" i="4"/>
  <c r="Y96" i="4"/>
  <c r="X96" i="4"/>
  <c r="V96" i="4"/>
  <c r="N96" i="4"/>
  <c r="AA95" i="4"/>
  <c r="Z95" i="4"/>
  <c r="Y95" i="4"/>
  <c r="X95" i="4"/>
  <c r="V95" i="4"/>
  <c r="N95" i="4"/>
  <c r="AA94" i="4"/>
  <c r="Z94" i="4"/>
  <c r="Y94" i="4"/>
  <c r="X94" i="4"/>
  <c r="V94" i="4"/>
  <c r="N94" i="4"/>
  <c r="AA93" i="4"/>
  <c r="Z93" i="4"/>
  <c r="Y93" i="4"/>
  <c r="X93" i="4"/>
  <c r="V93" i="4"/>
  <c r="N93" i="4"/>
  <c r="AA92" i="4"/>
  <c r="Z92" i="4"/>
  <c r="Y92" i="4"/>
  <c r="X92" i="4"/>
  <c r="V92" i="4"/>
  <c r="N92" i="4"/>
  <c r="AA91" i="4"/>
  <c r="Z91" i="4"/>
  <c r="Y91" i="4"/>
  <c r="X91" i="4"/>
  <c r="V91" i="4"/>
  <c r="N91" i="4"/>
  <c r="AA90" i="4"/>
  <c r="Z90" i="4"/>
  <c r="Y90" i="4"/>
  <c r="X90" i="4"/>
  <c r="V90" i="4"/>
  <c r="N90" i="4"/>
  <c r="AA89" i="4"/>
  <c r="Z89" i="4"/>
  <c r="Y89" i="4"/>
  <c r="X89" i="4"/>
  <c r="V89" i="4"/>
  <c r="N89" i="4"/>
  <c r="AA88" i="4"/>
  <c r="Z88" i="4"/>
  <c r="Y88" i="4"/>
  <c r="X88" i="4"/>
  <c r="V88" i="4"/>
  <c r="N88" i="4"/>
  <c r="AA87" i="4"/>
  <c r="Z87" i="4"/>
  <c r="Y87" i="4"/>
  <c r="X87" i="4"/>
  <c r="V87" i="4"/>
  <c r="N87" i="4"/>
  <c r="AA86" i="4"/>
  <c r="Z86" i="4"/>
  <c r="Y86" i="4"/>
  <c r="X86" i="4"/>
  <c r="V86" i="4"/>
  <c r="N86" i="4"/>
  <c r="AA85" i="4"/>
  <c r="Z85" i="4"/>
  <c r="Y85" i="4"/>
  <c r="X85" i="4"/>
  <c r="V85" i="4"/>
  <c r="N85" i="4"/>
  <c r="AA84" i="4"/>
  <c r="Z84" i="4"/>
  <c r="Y84" i="4"/>
  <c r="X84" i="4"/>
  <c r="V84" i="4"/>
  <c r="N84" i="4"/>
  <c r="AA83" i="4"/>
  <c r="Z83" i="4"/>
  <c r="Y83" i="4"/>
  <c r="X83" i="4"/>
  <c r="V83" i="4"/>
  <c r="N83" i="4"/>
  <c r="AA82" i="4"/>
  <c r="Z82" i="4"/>
  <c r="Y82" i="4"/>
  <c r="X82" i="4"/>
  <c r="V82" i="4"/>
  <c r="N82" i="4"/>
  <c r="AA81" i="4"/>
  <c r="Z81" i="4"/>
  <c r="Y81" i="4"/>
  <c r="X81" i="4"/>
  <c r="V81" i="4"/>
  <c r="N81" i="4"/>
  <c r="AA80" i="4"/>
  <c r="Z80" i="4"/>
  <c r="Y80" i="4"/>
  <c r="X80" i="4"/>
  <c r="V80" i="4"/>
  <c r="N80" i="4"/>
  <c r="AA79" i="4"/>
  <c r="Z79" i="4"/>
  <c r="Y79" i="4"/>
  <c r="X79" i="4"/>
  <c r="V79" i="4"/>
  <c r="N79" i="4"/>
  <c r="AA78" i="4"/>
  <c r="Z78" i="4"/>
  <c r="Y78" i="4"/>
  <c r="X78" i="4"/>
  <c r="V78" i="4"/>
  <c r="N78" i="4"/>
  <c r="AA77" i="4"/>
  <c r="Z77" i="4"/>
  <c r="Y77" i="4"/>
  <c r="X77" i="4"/>
  <c r="V77" i="4"/>
  <c r="N77" i="4"/>
  <c r="AA76" i="4"/>
  <c r="Z76" i="4"/>
  <c r="Y76" i="4"/>
  <c r="X76" i="4"/>
  <c r="V76" i="4"/>
  <c r="N76" i="4"/>
  <c r="AA75" i="4"/>
  <c r="Z75" i="4"/>
  <c r="Y75" i="4"/>
  <c r="X75" i="4"/>
  <c r="V75" i="4"/>
  <c r="N75" i="4"/>
  <c r="AA74" i="4"/>
  <c r="Z74" i="4"/>
  <c r="Y74" i="4"/>
  <c r="X74" i="4"/>
  <c r="V74" i="4"/>
  <c r="N74" i="4"/>
  <c r="AA73" i="4"/>
  <c r="Z73" i="4"/>
  <c r="Y73" i="4"/>
  <c r="X73" i="4"/>
  <c r="V73" i="4"/>
  <c r="N73" i="4"/>
  <c r="AA72" i="4"/>
  <c r="Z72" i="4"/>
  <c r="Y72" i="4"/>
  <c r="X72" i="4"/>
  <c r="V72" i="4"/>
  <c r="N72" i="4"/>
  <c r="AA71" i="4"/>
  <c r="Z71" i="4"/>
  <c r="Y71" i="4"/>
  <c r="X71" i="4"/>
  <c r="V71" i="4"/>
  <c r="N71" i="4"/>
  <c r="AA70" i="4"/>
  <c r="Z70" i="4"/>
  <c r="Y70" i="4"/>
  <c r="X70" i="4"/>
  <c r="V70" i="4"/>
  <c r="N70" i="4"/>
  <c r="AA69" i="4"/>
  <c r="Z69" i="4"/>
  <c r="Y69" i="4"/>
  <c r="X69" i="4"/>
  <c r="V69" i="4"/>
  <c r="N69" i="4"/>
  <c r="AA68" i="4"/>
  <c r="Z68" i="4"/>
  <c r="Y68" i="4"/>
  <c r="X68" i="4"/>
  <c r="V68" i="4"/>
  <c r="N68" i="4"/>
  <c r="AA67" i="4"/>
  <c r="Z67" i="4"/>
  <c r="Y67" i="4"/>
  <c r="X67" i="4"/>
  <c r="V67" i="4"/>
  <c r="N67" i="4"/>
  <c r="AA66" i="4"/>
  <c r="Z66" i="4"/>
  <c r="Y66" i="4"/>
  <c r="X66" i="4"/>
  <c r="V66" i="4"/>
  <c r="N66" i="4"/>
  <c r="AA65" i="4"/>
  <c r="Z65" i="4"/>
  <c r="Y65" i="4"/>
  <c r="X65" i="4"/>
  <c r="V65" i="4"/>
  <c r="N65" i="4"/>
  <c r="AA64" i="4"/>
  <c r="Z64" i="4"/>
  <c r="Y64" i="4"/>
  <c r="X64" i="4"/>
  <c r="V64" i="4"/>
  <c r="N64" i="4"/>
  <c r="AA63" i="4"/>
  <c r="Z63" i="4"/>
  <c r="Y63" i="4"/>
  <c r="X63" i="4"/>
  <c r="V63" i="4"/>
  <c r="N63" i="4"/>
  <c r="AA62" i="4"/>
  <c r="Z62" i="4"/>
  <c r="Y62" i="4"/>
  <c r="X62" i="4"/>
  <c r="V62" i="4"/>
  <c r="N62" i="4"/>
  <c r="AA61" i="4"/>
  <c r="Z61" i="4"/>
  <c r="Y61" i="4"/>
  <c r="X61" i="4"/>
  <c r="V61" i="4"/>
  <c r="N61" i="4"/>
  <c r="AA60" i="4"/>
  <c r="Z60" i="4"/>
  <c r="Y60" i="4"/>
  <c r="X60" i="4"/>
  <c r="V60" i="4"/>
  <c r="N60" i="4"/>
  <c r="AA59" i="4"/>
  <c r="Z59" i="4"/>
  <c r="Y59" i="4"/>
  <c r="X59" i="4"/>
  <c r="V59" i="4"/>
  <c r="N59" i="4"/>
  <c r="AA58" i="4"/>
  <c r="Z58" i="4"/>
  <c r="Y58" i="4"/>
  <c r="X58" i="4"/>
  <c r="V58" i="4"/>
  <c r="N58" i="4"/>
  <c r="AA57" i="4"/>
  <c r="Z57" i="4"/>
  <c r="Y57" i="4"/>
  <c r="X57" i="4"/>
  <c r="V57" i="4"/>
  <c r="N57" i="4"/>
  <c r="AA56" i="4"/>
  <c r="Z56" i="4"/>
  <c r="Y56" i="4"/>
  <c r="X56" i="4"/>
  <c r="V56" i="4"/>
  <c r="N56" i="4"/>
  <c r="AA55" i="4"/>
  <c r="Z55" i="4"/>
  <c r="Y55" i="4"/>
  <c r="X55" i="4"/>
  <c r="V55" i="4"/>
  <c r="N55" i="4"/>
  <c r="AA54" i="4"/>
  <c r="Z54" i="4"/>
  <c r="Y54" i="4"/>
  <c r="X54" i="4"/>
  <c r="V54" i="4"/>
  <c r="N54" i="4"/>
  <c r="AA53" i="4"/>
  <c r="Z53" i="4"/>
  <c r="Y53" i="4"/>
  <c r="X53" i="4"/>
  <c r="V53" i="4"/>
  <c r="N53" i="4"/>
  <c r="AA52" i="4"/>
  <c r="Z52" i="4"/>
  <c r="Y52" i="4"/>
  <c r="X52" i="4"/>
  <c r="V52" i="4"/>
  <c r="N52" i="4"/>
  <c r="AA51" i="4"/>
  <c r="Z51" i="4"/>
  <c r="Y51" i="4"/>
  <c r="X51" i="4"/>
  <c r="V51" i="4"/>
  <c r="N51" i="4"/>
  <c r="AA50" i="4"/>
  <c r="Z50" i="4"/>
  <c r="Y50" i="4"/>
  <c r="X50" i="4"/>
  <c r="V50" i="4"/>
  <c r="N50" i="4"/>
  <c r="AA49" i="4"/>
  <c r="Z49" i="4"/>
  <c r="Y49" i="4"/>
  <c r="X49" i="4"/>
  <c r="V49" i="4"/>
  <c r="N49" i="4"/>
  <c r="AA48" i="4"/>
  <c r="Z48" i="4"/>
  <c r="Y48" i="4"/>
  <c r="X48" i="4"/>
  <c r="V48" i="4"/>
  <c r="N48" i="4"/>
  <c r="AA47" i="4"/>
  <c r="Z47" i="4"/>
  <c r="Y47" i="4"/>
  <c r="X47" i="4"/>
  <c r="V47" i="4"/>
  <c r="N47" i="4"/>
  <c r="AA46" i="4"/>
  <c r="Z46" i="4"/>
  <c r="Y46" i="4"/>
  <c r="X46" i="4"/>
  <c r="V46" i="4"/>
  <c r="N46" i="4"/>
  <c r="AA45" i="4"/>
  <c r="Z45" i="4"/>
  <c r="Y45" i="4"/>
  <c r="X45" i="4"/>
  <c r="V45" i="4"/>
  <c r="N45" i="4"/>
  <c r="AA44" i="4"/>
  <c r="Z44" i="4"/>
  <c r="Y44" i="4"/>
  <c r="X44" i="4"/>
  <c r="V44" i="4"/>
  <c r="N44" i="4"/>
  <c r="AA43" i="4"/>
  <c r="Z43" i="4"/>
  <c r="Y43" i="4"/>
  <c r="X43" i="4"/>
  <c r="V43" i="4"/>
  <c r="N43" i="4"/>
  <c r="AA42" i="4"/>
  <c r="Z42" i="4"/>
  <c r="Y42" i="4"/>
  <c r="X42" i="4"/>
  <c r="V42" i="4"/>
  <c r="N42" i="4"/>
  <c r="AA41" i="4"/>
  <c r="Z41" i="4"/>
  <c r="Y41" i="4"/>
  <c r="X41" i="4"/>
  <c r="V41" i="4"/>
  <c r="N41" i="4"/>
  <c r="AA40" i="4"/>
  <c r="Z40" i="4"/>
  <c r="Y40" i="4"/>
  <c r="X40" i="4"/>
  <c r="V40" i="4"/>
  <c r="N40" i="4"/>
  <c r="AA39" i="4"/>
  <c r="Z39" i="4"/>
  <c r="Y39" i="4"/>
  <c r="X39" i="4"/>
  <c r="V39" i="4"/>
  <c r="N39" i="4"/>
  <c r="AA38" i="4"/>
  <c r="Z38" i="4"/>
  <c r="Y38" i="4"/>
  <c r="X38" i="4"/>
  <c r="V38" i="4"/>
  <c r="N38" i="4"/>
  <c r="AA37" i="4"/>
  <c r="Z37" i="4"/>
  <c r="Y37" i="4"/>
  <c r="X37" i="4"/>
  <c r="V37" i="4"/>
  <c r="N37" i="4"/>
  <c r="AA36" i="4"/>
  <c r="Z36" i="4"/>
  <c r="Y36" i="4"/>
  <c r="X36" i="4"/>
  <c r="V36" i="4"/>
  <c r="N36" i="4"/>
  <c r="AA35" i="4"/>
  <c r="Z35" i="4"/>
  <c r="Y35" i="4"/>
  <c r="X35" i="4"/>
  <c r="V35" i="4"/>
  <c r="N35" i="4"/>
  <c r="AA34" i="4"/>
  <c r="Z34" i="4"/>
  <c r="Y34" i="4"/>
  <c r="X34" i="4"/>
  <c r="V34" i="4"/>
  <c r="N34" i="4"/>
  <c r="AA33" i="4"/>
  <c r="Z33" i="4"/>
  <c r="Y33" i="4"/>
  <c r="X33" i="4"/>
  <c r="V33" i="4"/>
  <c r="N33" i="4"/>
  <c r="AA32" i="4"/>
  <c r="Z32" i="4"/>
  <c r="Y32" i="4"/>
  <c r="X32" i="4"/>
  <c r="V32" i="4"/>
  <c r="N32" i="4"/>
  <c r="AA31" i="4"/>
  <c r="Z31" i="4"/>
  <c r="Y31" i="4"/>
  <c r="X31" i="4"/>
  <c r="V31" i="4"/>
  <c r="N31" i="4"/>
  <c r="AA30" i="4"/>
  <c r="Z30" i="4"/>
  <c r="Y30" i="4"/>
  <c r="X30" i="4"/>
  <c r="V30" i="4"/>
  <c r="N30" i="4"/>
  <c r="AA29" i="4"/>
  <c r="Z29" i="4"/>
  <c r="Y29" i="4"/>
  <c r="X29" i="4"/>
  <c r="V29" i="4"/>
  <c r="N29" i="4"/>
  <c r="AA28" i="4"/>
  <c r="Z28" i="4"/>
  <c r="Y28" i="4"/>
  <c r="X28" i="4"/>
  <c r="V28" i="4"/>
  <c r="N28" i="4"/>
  <c r="AA27" i="4"/>
  <c r="Z27" i="4"/>
  <c r="Y27" i="4"/>
  <c r="X27" i="4"/>
  <c r="V27" i="4"/>
  <c r="N27" i="4"/>
  <c r="AA26" i="4"/>
  <c r="Z26" i="4"/>
  <c r="Y26" i="4"/>
  <c r="X26" i="4"/>
  <c r="V26" i="4"/>
  <c r="N26" i="4"/>
  <c r="AA25" i="4"/>
  <c r="Z25" i="4"/>
  <c r="Y25" i="4"/>
  <c r="X25" i="4"/>
  <c r="V25" i="4"/>
  <c r="N25" i="4"/>
  <c r="AA24" i="4"/>
  <c r="Z24" i="4"/>
  <c r="Y24" i="4"/>
  <c r="X24" i="4"/>
  <c r="V24" i="4"/>
  <c r="N24" i="4"/>
  <c r="AA23" i="4"/>
  <c r="Z23" i="4"/>
  <c r="Y23" i="4"/>
  <c r="X23" i="4"/>
  <c r="V23" i="4"/>
  <c r="N23" i="4"/>
  <c r="AA22" i="4"/>
  <c r="Z22" i="4"/>
  <c r="Y22" i="4"/>
  <c r="X22" i="4"/>
  <c r="V22" i="4"/>
  <c r="N22" i="4"/>
  <c r="AA21" i="4"/>
  <c r="Z21" i="4"/>
  <c r="Y21" i="4"/>
  <c r="X21" i="4"/>
  <c r="V21" i="4"/>
  <c r="N21" i="4"/>
  <c r="AA20" i="4"/>
  <c r="Z20" i="4"/>
  <c r="Y20" i="4"/>
  <c r="X20" i="4"/>
  <c r="V20" i="4"/>
  <c r="N20" i="4"/>
  <c r="AA19" i="4"/>
  <c r="Z19" i="4"/>
  <c r="Y19" i="4"/>
  <c r="X19" i="4"/>
  <c r="V19" i="4"/>
  <c r="N19" i="4"/>
  <c r="AA18" i="4"/>
  <c r="Z18" i="4"/>
  <c r="Y18" i="4"/>
  <c r="X18" i="4"/>
  <c r="V18" i="4"/>
  <c r="N18" i="4"/>
  <c r="AA17" i="4"/>
  <c r="Z17" i="4"/>
  <c r="Y17" i="4"/>
  <c r="X17" i="4"/>
  <c r="V17" i="4"/>
  <c r="N17" i="4"/>
  <c r="AA16" i="4"/>
  <c r="Z16" i="4"/>
  <c r="Y16" i="4"/>
  <c r="X16" i="4"/>
  <c r="V16" i="4"/>
  <c r="N16" i="4"/>
  <c r="AA15" i="4"/>
  <c r="Z15" i="4"/>
  <c r="Y15" i="4"/>
  <c r="X15" i="4"/>
  <c r="V15" i="4"/>
  <c r="N15" i="4"/>
  <c r="AA14" i="4"/>
  <c r="Z14" i="4"/>
  <c r="Y14" i="4"/>
  <c r="X14" i="4"/>
  <c r="V14" i="4"/>
  <c r="N14" i="4"/>
  <c r="AA13" i="4"/>
  <c r="Z13" i="4"/>
  <c r="Y13" i="4"/>
  <c r="X13" i="4"/>
  <c r="V13" i="4"/>
  <c r="N13" i="4"/>
  <c r="AA12" i="4"/>
  <c r="Z12" i="4"/>
  <c r="Y12" i="4"/>
  <c r="X12" i="4"/>
  <c r="V12" i="4"/>
  <c r="N12" i="4"/>
  <c r="AA11" i="4"/>
  <c r="Z11" i="4"/>
  <c r="Y11" i="4"/>
  <c r="X11" i="4"/>
  <c r="V11" i="4"/>
  <c r="N11" i="4"/>
  <c r="AA10" i="4"/>
  <c r="Z10" i="4"/>
  <c r="Y10" i="4"/>
  <c r="X10" i="4"/>
  <c r="V10" i="4"/>
  <c r="N10" i="4"/>
  <c r="AA9" i="4"/>
  <c r="Z9" i="4"/>
  <c r="Y9" i="4"/>
  <c r="X9" i="4"/>
  <c r="V9" i="4"/>
  <c r="N9" i="4"/>
  <c r="AA8" i="4"/>
  <c r="Z8" i="4"/>
  <c r="Y8" i="4"/>
  <c r="X8" i="4"/>
  <c r="V8" i="4"/>
  <c r="N8" i="4"/>
  <c r="AA7" i="4"/>
  <c r="Z7" i="4"/>
  <c r="Y7" i="4"/>
  <c r="X7" i="4"/>
  <c r="V7" i="4"/>
  <c r="N7" i="4"/>
  <c r="AA6" i="4"/>
  <c r="Z6" i="4"/>
  <c r="Y6" i="4"/>
  <c r="X6" i="4"/>
  <c r="V6" i="4"/>
  <c r="N6" i="4"/>
  <c r="AA5" i="4"/>
  <c r="Z5" i="4"/>
  <c r="Y5" i="4"/>
  <c r="X5" i="4"/>
  <c r="V5" i="4"/>
  <c r="N5" i="4"/>
  <c r="AA4" i="4"/>
  <c r="Z4" i="4"/>
  <c r="Y4" i="4"/>
  <c r="X4" i="4"/>
  <c r="V4" i="4"/>
  <c r="N4" i="4"/>
  <c r="AA3" i="4"/>
  <c r="Z3" i="4"/>
  <c r="Y3" i="4"/>
  <c r="X3" i="4"/>
  <c r="V3" i="4"/>
  <c r="N3" i="4"/>
  <c r="AA333" i="3"/>
  <c r="Z333" i="3"/>
  <c r="Y333" i="3"/>
  <c r="X333" i="3"/>
  <c r="V333" i="3"/>
  <c r="T333" i="3"/>
  <c r="R333" i="3"/>
  <c r="Q333" i="3"/>
  <c r="P333" i="3"/>
  <c r="O333" i="3"/>
  <c r="N333" i="3"/>
  <c r="M333" i="3"/>
  <c r="L333" i="3"/>
  <c r="K333" i="3"/>
  <c r="J333" i="3"/>
  <c r="I333" i="3"/>
  <c r="H333" i="3"/>
  <c r="G333" i="3"/>
  <c r="F333" i="3"/>
  <c r="E333" i="3"/>
  <c r="D333" i="3"/>
  <c r="AA332" i="3"/>
  <c r="Z332" i="3"/>
  <c r="Y332" i="3"/>
  <c r="X332" i="3"/>
  <c r="V332" i="3"/>
  <c r="T332" i="3"/>
  <c r="R332" i="3"/>
  <c r="Q332" i="3"/>
  <c r="P332" i="3"/>
  <c r="O332" i="3"/>
  <c r="N332" i="3"/>
  <c r="M332" i="3"/>
  <c r="L332" i="3"/>
  <c r="K332" i="3"/>
  <c r="J332" i="3"/>
  <c r="I332" i="3"/>
  <c r="H332" i="3"/>
  <c r="G332" i="3"/>
  <c r="F332" i="3"/>
  <c r="E332" i="3"/>
  <c r="D332" i="3"/>
  <c r="AA331" i="3"/>
  <c r="Z331" i="3"/>
  <c r="Y331" i="3"/>
  <c r="X331" i="3"/>
  <c r="V331" i="3"/>
  <c r="T331" i="3"/>
  <c r="R331" i="3"/>
  <c r="Q331" i="3"/>
  <c r="P331" i="3"/>
  <c r="O331" i="3"/>
  <c r="N331" i="3"/>
  <c r="M331" i="3"/>
  <c r="L331" i="3"/>
  <c r="K331" i="3"/>
  <c r="J331" i="3"/>
  <c r="I331" i="3"/>
  <c r="H331" i="3"/>
  <c r="G331" i="3"/>
  <c r="F331" i="3"/>
  <c r="E331" i="3"/>
  <c r="D331" i="3"/>
  <c r="AA330" i="3"/>
  <c r="Z330" i="3"/>
  <c r="Y330" i="3"/>
  <c r="X330" i="3"/>
  <c r="V330" i="3"/>
  <c r="T330" i="3"/>
  <c r="R330" i="3"/>
  <c r="Q330" i="3"/>
  <c r="P330" i="3"/>
  <c r="O330" i="3"/>
  <c r="N330" i="3"/>
  <c r="M330" i="3"/>
  <c r="L330" i="3"/>
  <c r="K330" i="3"/>
  <c r="J330" i="3"/>
  <c r="I330" i="3"/>
  <c r="H330" i="3"/>
  <c r="G330" i="3"/>
  <c r="F330" i="3"/>
  <c r="E330" i="3"/>
  <c r="D330" i="3"/>
  <c r="AA329" i="3"/>
  <c r="Z329" i="3"/>
  <c r="Y329" i="3"/>
  <c r="X329" i="3"/>
  <c r="V329" i="3"/>
  <c r="T329" i="3"/>
  <c r="R329" i="3"/>
  <c r="Q329" i="3"/>
  <c r="P329" i="3"/>
  <c r="O329" i="3"/>
  <c r="N329" i="3"/>
  <c r="M329" i="3"/>
  <c r="L329" i="3"/>
  <c r="K329" i="3"/>
  <c r="J329" i="3"/>
  <c r="I329" i="3"/>
  <c r="H329" i="3"/>
  <c r="G329" i="3"/>
  <c r="F329" i="3"/>
  <c r="E329" i="3"/>
  <c r="D329" i="3"/>
  <c r="AA328" i="3"/>
  <c r="Z328" i="3"/>
  <c r="Y328" i="3"/>
  <c r="X328" i="3"/>
  <c r="V328" i="3"/>
  <c r="T328" i="3"/>
  <c r="R328" i="3"/>
  <c r="Q328" i="3"/>
  <c r="P328" i="3"/>
  <c r="O328" i="3"/>
  <c r="N328" i="3"/>
  <c r="M328" i="3"/>
  <c r="L328" i="3"/>
  <c r="K328" i="3"/>
  <c r="J328" i="3"/>
  <c r="I328" i="3"/>
  <c r="H328" i="3"/>
  <c r="G328" i="3"/>
  <c r="F328" i="3"/>
  <c r="E328" i="3"/>
  <c r="D328" i="3"/>
  <c r="AA327" i="3"/>
  <c r="Z327" i="3"/>
  <c r="Y327" i="3"/>
  <c r="X327" i="3"/>
  <c r="V327" i="3"/>
  <c r="T327" i="3"/>
  <c r="R327" i="3"/>
  <c r="Q327" i="3"/>
  <c r="P327" i="3"/>
  <c r="O327" i="3"/>
  <c r="N327" i="3"/>
  <c r="M327" i="3"/>
  <c r="L327" i="3"/>
  <c r="K327" i="3"/>
  <c r="J327" i="3"/>
  <c r="I327" i="3"/>
  <c r="H327" i="3"/>
  <c r="G327" i="3"/>
  <c r="F327" i="3"/>
  <c r="E327" i="3"/>
  <c r="D327" i="3"/>
  <c r="AA326" i="3"/>
  <c r="Z326" i="3"/>
  <c r="Y326" i="3"/>
  <c r="X326" i="3"/>
  <c r="V326" i="3"/>
  <c r="T326" i="3"/>
  <c r="R326" i="3"/>
  <c r="Q326" i="3"/>
  <c r="P326" i="3"/>
  <c r="O326" i="3"/>
  <c r="N326" i="3"/>
  <c r="M326" i="3"/>
  <c r="L326" i="3"/>
  <c r="K326" i="3"/>
  <c r="J326" i="3"/>
  <c r="I326" i="3"/>
  <c r="H326" i="3"/>
  <c r="G326" i="3"/>
  <c r="F326" i="3"/>
  <c r="E326" i="3"/>
  <c r="D326" i="3"/>
  <c r="AA325" i="3"/>
  <c r="Z325" i="3"/>
  <c r="Y325" i="3"/>
  <c r="X325" i="3"/>
  <c r="V325" i="3"/>
  <c r="T325" i="3"/>
  <c r="R325" i="3"/>
  <c r="Q325" i="3"/>
  <c r="P325" i="3"/>
  <c r="O325" i="3"/>
  <c r="N325" i="3"/>
  <c r="M325" i="3"/>
  <c r="L325" i="3"/>
  <c r="K325" i="3"/>
  <c r="J325" i="3"/>
  <c r="I325" i="3"/>
  <c r="H325" i="3"/>
  <c r="G325" i="3"/>
  <c r="F325" i="3"/>
  <c r="E325" i="3"/>
  <c r="D325" i="3"/>
  <c r="AA324" i="3"/>
  <c r="Z324" i="3"/>
  <c r="Y324" i="3"/>
  <c r="X324" i="3"/>
  <c r="V324" i="3"/>
  <c r="T324" i="3"/>
  <c r="R324" i="3"/>
  <c r="Q324" i="3"/>
  <c r="P324" i="3"/>
  <c r="O324" i="3"/>
  <c r="N324" i="3"/>
  <c r="M324" i="3"/>
  <c r="L324" i="3"/>
  <c r="K324" i="3"/>
  <c r="J324" i="3"/>
  <c r="I324" i="3"/>
  <c r="H324" i="3"/>
  <c r="G324" i="3"/>
  <c r="F324" i="3"/>
  <c r="E324" i="3"/>
  <c r="D324" i="3"/>
  <c r="AA323" i="3"/>
  <c r="Z323" i="3"/>
  <c r="Y323" i="3"/>
  <c r="X323" i="3"/>
  <c r="V323" i="3"/>
  <c r="T323" i="3"/>
  <c r="R323" i="3"/>
  <c r="Q323" i="3"/>
  <c r="P323" i="3"/>
  <c r="O323" i="3"/>
  <c r="N323" i="3"/>
  <c r="M323" i="3"/>
  <c r="L323" i="3"/>
  <c r="K323" i="3"/>
  <c r="J323" i="3"/>
  <c r="I323" i="3"/>
  <c r="H323" i="3"/>
  <c r="G323" i="3"/>
  <c r="F323" i="3"/>
  <c r="E323" i="3"/>
  <c r="D323" i="3"/>
  <c r="AA322" i="3"/>
  <c r="Z322" i="3"/>
  <c r="Y322" i="3"/>
  <c r="X322" i="3"/>
  <c r="V322" i="3"/>
  <c r="T322" i="3"/>
  <c r="R322" i="3"/>
  <c r="Q322" i="3"/>
  <c r="P322" i="3"/>
  <c r="O322" i="3"/>
  <c r="N322" i="3"/>
  <c r="M322" i="3"/>
  <c r="L322" i="3"/>
  <c r="K322" i="3"/>
  <c r="J322" i="3"/>
  <c r="I322" i="3"/>
  <c r="H322" i="3"/>
  <c r="G322" i="3"/>
  <c r="F322" i="3"/>
  <c r="E322" i="3"/>
  <c r="D322" i="3"/>
  <c r="AA321" i="3"/>
  <c r="Z321" i="3"/>
  <c r="Y321" i="3"/>
  <c r="X321" i="3"/>
  <c r="V321" i="3"/>
  <c r="T321" i="3"/>
  <c r="R321" i="3"/>
  <c r="Q321" i="3"/>
  <c r="P321" i="3"/>
  <c r="O321" i="3"/>
  <c r="N321" i="3"/>
  <c r="M321" i="3"/>
  <c r="L321" i="3"/>
  <c r="K321" i="3"/>
  <c r="J321" i="3"/>
  <c r="I321" i="3"/>
  <c r="H321" i="3"/>
  <c r="G321" i="3"/>
  <c r="F321" i="3"/>
  <c r="E321" i="3"/>
  <c r="D321" i="3"/>
  <c r="AA320" i="3"/>
  <c r="Z320" i="3"/>
  <c r="Y320" i="3"/>
  <c r="X320" i="3"/>
  <c r="V320" i="3"/>
  <c r="T320" i="3"/>
  <c r="R320" i="3"/>
  <c r="Q320" i="3"/>
  <c r="P320" i="3"/>
  <c r="O320" i="3"/>
  <c r="N320" i="3"/>
  <c r="M320" i="3"/>
  <c r="L320" i="3"/>
  <c r="K320" i="3"/>
  <c r="J320" i="3"/>
  <c r="I320" i="3"/>
  <c r="H320" i="3"/>
  <c r="G320" i="3"/>
  <c r="F320" i="3"/>
  <c r="E320" i="3"/>
  <c r="D320" i="3"/>
  <c r="AA319" i="3"/>
  <c r="Z319" i="3"/>
  <c r="Y319" i="3"/>
  <c r="X319" i="3"/>
  <c r="V319" i="3"/>
  <c r="T319" i="3"/>
  <c r="R319" i="3"/>
  <c r="Q319" i="3"/>
  <c r="P319" i="3"/>
  <c r="O319" i="3"/>
  <c r="N319" i="3"/>
  <c r="M319" i="3"/>
  <c r="L319" i="3"/>
  <c r="K319" i="3"/>
  <c r="J319" i="3"/>
  <c r="I319" i="3"/>
  <c r="H319" i="3"/>
  <c r="G319" i="3"/>
  <c r="F319" i="3"/>
  <c r="E319" i="3"/>
  <c r="D319" i="3"/>
  <c r="AA318" i="3"/>
  <c r="Z318" i="3"/>
  <c r="Y318" i="3"/>
  <c r="X318" i="3"/>
  <c r="V318" i="3"/>
  <c r="T318" i="3"/>
  <c r="R318" i="3"/>
  <c r="Q318" i="3"/>
  <c r="P318" i="3"/>
  <c r="O318" i="3"/>
  <c r="N318" i="3"/>
  <c r="M318" i="3"/>
  <c r="L318" i="3"/>
  <c r="K318" i="3"/>
  <c r="J318" i="3"/>
  <c r="I318" i="3"/>
  <c r="H318" i="3"/>
  <c r="G318" i="3"/>
  <c r="F318" i="3"/>
  <c r="E318" i="3"/>
  <c r="D318" i="3"/>
  <c r="AA317" i="3"/>
  <c r="Z317" i="3"/>
  <c r="Y317" i="3"/>
  <c r="X317" i="3"/>
  <c r="V317" i="3"/>
  <c r="T317" i="3"/>
  <c r="R317" i="3"/>
  <c r="Q317" i="3"/>
  <c r="P317" i="3"/>
  <c r="O317" i="3"/>
  <c r="N317" i="3"/>
  <c r="M317" i="3"/>
  <c r="L317" i="3"/>
  <c r="K317" i="3"/>
  <c r="J317" i="3"/>
  <c r="I317" i="3"/>
  <c r="H317" i="3"/>
  <c r="G317" i="3"/>
  <c r="F317" i="3"/>
  <c r="E317" i="3"/>
  <c r="D317" i="3"/>
  <c r="AA316" i="3"/>
  <c r="Z316" i="3"/>
  <c r="Y316" i="3"/>
  <c r="X316" i="3"/>
  <c r="V316" i="3"/>
  <c r="T316" i="3"/>
  <c r="R316" i="3"/>
  <c r="Q316" i="3"/>
  <c r="P316" i="3"/>
  <c r="O316" i="3"/>
  <c r="N316" i="3"/>
  <c r="M316" i="3"/>
  <c r="L316" i="3"/>
  <c r="K316" i="3"/>
  <c r="J316" i="3"/>
  <c r="I316" i="3"/>
  <c r="H316" i="3"/>
  <c r="G316" i="3"/>
  <c r="F316" i="3"/>
  <c r="E316" i="3"/>
  <c r="D316" i="3"/>
  <c r="AA315" i="3"/>
  <c r="Z315" i="3"/>
  <c r="Y315" i="3"/>
  <c r="X315" i="3"/>
  <c r="N315" i="3"/>
  <c r="V315" i="3" s="1"/>
  <c r="Z314" i="3"/>
  <c r="AA314" i="3" s="1"/>
  <c r="Y314" i="3"/>
  <c r="X314" i="3"/>
  <c r="V314" i="3"/>
  <c r="N314" i="3"/>
  <c r="Z313" i="3"/>
  <c r="AA313" i="3" s="1"/>
  <c r="Y313" i="3"/>
  <c r="X313" i="3"/>
  <c r="N313" i="3"/>
  <c r="V313" i="3" s="1"/>
  <c r="Z312" i="3"/>
  <c r="AA312" i="3" s="1"/>
  <c r="Y312" i="3"/>
  <c r="X312" i="3"/>
  <c r="N312" i="3"/>
  <c r="V312" i="3" s="1"/>
  <c r="Z311" i="3"/>
  <c r="AA311" i="3" s="1"/>
  <c r="Y311" i="3"/>
  <c r="X311" i="3"/>
  <c r="N311" i="3"/>
  <c r="V311" i="3" s="1"/>
  <c r="AA310" i="3"/>
  <c r="Z310" i="3"/>
  <c r="Y310" i="3"/>
  <c r="X310" i="3"/>
  <c r="V310" i="3"/>
  <c r="N310" i="3"/>
  <c r="Z309" i="3"/>
  <c r="AA309" i="3" s="1"/>
  <c r="Y309" i="3"/>
  <c r="X309" i="3"/>
  <c r="V309" i="3"/>
  <c r="N309" i="3"/>
  <c r="Z308" i="3"/>
  <c r="AA308" i="3" s="1"/>
  <c r="Y308" i="3"/>
  <c r="X308" i="3"/>
  <c r="N308" i="3"/>
  <c r="V308" i="3" s="1"/>
  <c r="Z307" i="3"/>
  <c r="AA307" i="3" s="1"/>
  <c r="Y307" i="3"/>
  <c r="X307" i="3"/>
  <c r="N307" i="3"/>
  <c r="V307" i="3" s="1"/>
  <c r="AA306" i="3"/>
  <c r="Z306" i="3"/>
  <c r="Y306" i="3"/>
  <c r="X306" i="3"/>
  <c r="N306" i="3"/>
  <c r="V306" i="3" s="1"/>
  <c r="AA305" i="3"/>
  <c r="Z305" i="3"/>
  <c r="Y305" i="3"/>
  <c r="X305" i="3"/>
  <c r="N305" i="3"/>
  <c r="V305" i="3" s="1"/>
  <c r="Z304" i="3"/>
  <c r="AA304" i="3" s="1"/>
  <c r="Y304" i="3"/>
  <c r="X304" i="3"/>
  <c r="V304" i="3"/>
  <c r="N304" i="3"/>
  <c r="Z303" i="3"/>
  <c r="AA303" i="3" s="1"/>
  <c r="Y303" i="3"/>
  <c r="X303" i="3"/>
  <c r="N303" i="3"/>
  <c r="V303" i="3" s="1"/>
  <c r="Z302" i="3"/>
  <c r="AA302" i="3" s="1"/>
  <c r="Y302" i="3"/>
  <c r="X302" i="3"/>
  <c r="N302" i="3"/>
  <c r="V302" i="3" s="1"/>
  <c r="Z301" i="3"/>
  <c r="AA301" i="3" s="1"/>
  <c r="Y301" i="3"/>
  <c r="X301" i="3"/>
  <c r="V301" i="3"/>
  <c r="N301" i="3"/>
  <c r="AA300" i="3"/>
  <c r="Z300" i="3"/>
  <c r="Y300" i="3"/>
  <c r="X300" i="3"/>
  <c r="V300" i="3"/>
  <c r="N300" i="3"/>
  <c r="Z299" i="3"/>
  <c r="AA299" i="3" s="1"/>
  <c r="Y299" i="3"/>
  <c r="X299" i="3"/>
  <c r="V299" i="3"/>
  <c r="N299" i="3"/>
  <c r="Z298" i="3"/>
  <c r="AA298" i="3" s="1"/>
  <c r="Y298" i="3"/>
  <c r="X298" i="3"/>
  <c r="N298" i="3"/>
  <c r="V298" i="3" s="1"/>
  <c r="AA297" i="3"/>
  <c r="Z297" i="3"/>
  <c r="Y297" i="3"/>
  <c r="X297" i="3"/>
  <c r="N297" i="3"/>
  <c r="V297" i="3" s="1"/>
  <c r="AA296" i="3"/>
  <c r="Z296" i="3"/>
  <c r="Y296" i="3"/>
  <c r="X296" i="3"/>
  <c r="N296" i="3"/>
  <c r="V296" i="3" s="1"/>
  <c r="AA295" i="3"/>
  <c r="Z295" i="3"/>
  <c r="Y295" i="3"/>
  <c r="X295" i="3"/>
  <c r="N295" i="3"/>
  <c r="V295" i="3" s="1"/>
  <c r="Z294" i="3"/>
  <c r="AA294" i="3" s="1"/>
  <c r="Y294" i="3"/>
  <c r="X294" i="3"/>
  <c r="V294" i="3"/>
  <c r="N294" i="3"/>
  <c r="Z293" i="3"/>
  <c r="AA293" i="3" s="1"/>
  <c r="Y293" i="3"/>
  <c r="X293" i="3"/>
  <c r="N293" i="3"/>
  <c r="V293" i="3" s="1"/>
  <c r="Z292" i="3"/>
  <c r="AA292" i="3" s="1"/>
  <c r="Y292" i="3"/>
  <c r="X292" i="3"/>
  <c r="N292" i="3"/>
  <c r="V292" i="3" s="1"/>
  <c r="Z291" i="3"/>
  <c r="AA291" i="3" s="1"/>
  <c r="Y291" i="3"/>
  <c r="X291" i="3"/>
  <c r="N291" i="3"/>
  <c r="V291" i="3" s="1"/>
  <c r="AA290" i="3"/>
  <c r="Z290" i="3"/>
  <c r="Y290" i="3"/>
  <c r="X290" i="3"/>
  <c r="V290" i="3"/>
  <c r="N290" i="3"/>
  <c r="AA289" i="3"/>
  <c r="Z289" i="3"/>
  <c r="Y289" i="3"/>
  <c r="X289" i="3"/>
  <c r="V289" i="3"/>
  <c r="N289" i="3"/>
  <c r="Z288" i="3"/>
  <c r="AA288" i="3" s="1"/>
  <c r="Y288" i="3"/>
  <c r="X288" i="3"/>
  <c r="N288" i="3"/>
  <c r="V288" i="3" s="1"/>
  <c r="AA287" i="3"/>
  <c r="Z287" i="3"/>
  <c r="Y287" i="3"/>
  <c r="X287" i="3"/>
  <c r="N287" i="3"/>
  <c r="V287" i="3" s="1"/>
  <c r="AA286" i="3"/>
  <c r="Z286" i="3"/>
  <c r="Y286" i="3"/>
  <c r="X286" i="3"/>
  <c r="N286" i="3"/>
  <c r="V286" i="3" s="1"/>
  <c r="AA285" i="3"/>
  <c r="Z285" i="3"/>
  <c r="Y285" i="3"/>
  <c r="X285" i="3"/>
  <c r="N285" i="3"/>
  <c r="V285" i="3" s="1"/>
  <c r="AA284" i="3"/>
  <c r="Z284" i="3"/>
  <c r="Y284" i="3"/>
  <c r="X284" i="3"/>
  <c r="V284" i="3"/>
  <c r="N284" i="3"/>
  <c r="Z283" i="3"/>
  <c r="AA283" i="3" s="1"/>
  <c r="Y283" i="3"/>
  <c r="X283" i="3"/>
  <c r="N283" i="3"/>
  <c r="V283" i="3" s="1"/>
  <c r="Z282" i="3"/>
  <c r="AA282" i="3" s="1"/>
  <c r="Y282" i="3"/>
  <c r="X282" i="3"/>
  <c r="N282" i="3"/>
  <c r="V282" i="3" s="1"/>
  <c r="Z281" i="3"/>
  <c r="AA281" i="3" s="1"/>
  <c r="Y281" i="3"/>
  <c r="X281" i="3"/>
  <c r="N281" i="3"/>
  <c r="V281" i="3" s="1"/>
  <c r="AA280" i="3"/>
  <c r="Z280" i="3"/>
  <c r="Y280" i="3"/>
  <c r="X280" i="3"/>
  <c r="V280" i="3"/>
  <c r="N280" i="3"/>
  <c r="Z279" i="3"/>
  <c r="AA279" i="3" s="1"/>
  <c r="Y279" i="3"/>
  <c r="X279" i="3"/>
  <c r="V279" i="3"/>
  <c r="N279" i="3"/>
  <c r="Z278" i="3"/>
  <c r="AA278" i="3" s="1"/>
  <c r="Y278" i="3"/>
  <c r="X278" i="3"/>
  <c r="V278" i="3"/>
  <c r="N278" i="3"/>
  <c r="Z277" i="3"/>
  <c r="AA277" i="3" s="1"/>
  <c r="Y277" i="3"/>
  <c r="X277" i="3"/>
  <c r="N277" i="3"/>
  <c r="V277" i="3" s="1"/>
  <c r="AA276" i="3"/>
  <c r="Z276" i="3"/>
  <c r="Y276" i="3"/>
  <c r="X276" i="3"/>
  <c r="N276" i="3"/>
  <c r="V276" i="3" s="1"/>
  <c r="AA275" i="3"/>
  <c r="Z275" i="3"/>
  <c r="Y275" i="3"/>
  <c r="X275" i="3"/>
  <c r="N275" i="3"/>
  <c r="V275" i="3" s="1"/>
  <c r="Z274" i="3"/>
  <c r="AA274" i="3" s="1"/>
  <c r="Y274" i="3"/>
  <c r="X274" i="3"/>
  <c r="V274" i="3"/>
  <c r="N274" i="3"/>
  <c r="Z273" i="3"/>
  <c r="AA273" i="3" s="1"/>
  <c r="Y273" i="3"/>
  <c r="X273" i="3"/>
  <c r="N273" i="3"/>
  <c r="V273" i="3" s="1"/>
  <c r="Z272" i="3"/>
  <c r="AA272" i="3" s="1"/>
  <c r="Y272" i="3"/>
  <c r="X272" i="3"/>
  <c r="N272" i="3"/>
  <c r="V272" i="3" s="1"/>
  <c r="Z271" i="3"/>
  <c r="AA271" i="3" s="1"/>
  <c r="Y271" i="3"/>
  <c r="X271" i="3"/>
  <c r="N271" i="3"/>
  <c r="V271" i="3" s="1"/>
  <c r="AA270" i="3"/>
  <c r="Z270" i="3"/>
  <c r="Y270" i="3"/>
  <c r="X270" i="3"/>
  <c r="V270" i="3"/>
  <c r="N270" i="3"/>
  <c r="Z269" i="3"/>
  <c r="AA269" i="3" s="1"/>
  <c r="Y269" i="3"/>
  <c r="X269" i="3"/>
  <c r="V269" i="3"/>
  <c r="N269" i="3"/>
  <c r="Z268" i="3"/>
  <c r="AA268" i="3" s="1"/>
  <c r="Y268" i="3"/>
  <c r="X268" i="3"/>
  <c r="N268" i="3"/>
  <c r="V268" i="3" s="1"/>
  <c r="AA267" i="3"/>
  <c r="Z267" i="3"/>
  <c r="Y267" i="3"/>
  <c r="X267" i="3"/>
  <c r="N267" i="3"/>
  <c r="V267" i="3" s="1"/>
  <c r="AA266" i="3"/>
  <c r="Z266" i="3"/>
  <c r="Y266" i="3"/>
  <c r="X266" i="3"/>
  <c r="N266" i="3"/>
  <c r="V266" i="3" s="1"/>
  <c r="AA265" i="3"/>
  <c r="Z265" i="3"/>
  <c r="Y265" i="3"/>
  <c r="X265" i="3"/>
  <c r="N265" i="3"/>
  <c r="V265" i="3" s="1"/>
  <c r="AA264" i="3"/>
  <c r="Z264" i="3"/>
  <c r="Y264" i="3"/>
  <c r="X264" i="3"/>
  <c r="V264" i="3"/>
  <c r="N264" i="3"/>
  <c r="Z263" i="3"/>
  <c r="AA263" i="3" s="1"/>
  <c r="Y263" i="3"/>
  <c r="X263" i="3"/>
  <c r="N263" i="3"/>
  <c r="V263" i="3" s="1"/>
  <c r="Z262" i="3"/>
  <c r="AA262" i="3" s="1"/>
  <c r="Y262" i="3"/>
  <c r="X262" i="3"/>
  <c r="N262" i="3"/>
  <c r="V262" i="3" s="1"/>
  <c r="Z261" i="3"/>
  <c r="AA261" i="3" s="1"/>
  <c r="Y261" i="3"/>
  <c r="X261" i="3"/>
  <c r="N261" i="3"/>
  <c r="V261" i="3" s="1"/>
  <c r="AA260" i="3"/>
  <c r="Z260" i="3"/>
  <c r="Y260" i="3"/>
  <c r="X260" i="3"/>
  <c r="V260" i="3"/>
  <c r="N260" i="3"/>
  <c r="Z259" i="3"/>
  <c r="AA259" i="3" s="1"/>
  <c r="Y259" i="3"/>
  <c r="X259" i="3"/>
  <c r="V259" i="3"/>
  <c r="N259" i="3"/>
  <c r="Z258" i="3"/>
  <c r="AA258" i="3" s="1"/>
  <c r="Y258" i="3"/>
  <c r="X258" i="3"/>
  <c r="V258" i="3"/>
  <c r="N258" i="3"/>
  <c r="Z257" i="3"/>
  <c r="AA257" i="3" s="1"/>
  <c r="Y257" i="3"/>
  <c r="X257" i="3"/>
  <c r="N257" i="3"/>
  <c r="V257" i="3" s="1"/>
  <c r="AA256" i="3"/>
  <c r="Z256" i="3"/>
  <c r="Y256" i="3"/>
  <c r="X256" i="3"/>
  <c r="N256" i="3"/>
  <c r="V256" i="3" s="1"/>
  <c r="AA255" i="3"/>
  <c r="Z255" i="3"/>
  <c r="Y255" i="3"/>
  <c r="X255" i="3"/>
  <c r="N255" i="3"/>
  <c r="V255" i="3" s="1"/>
  <c r="Z254" i="3"/>
  <c r="AA254" i="3" s="1"/>
  <c r="Y254" i="3"/>
  <c r="X254" i="3"/>
  <c r="V254" i="3"/>
  <c r="N254" i="3"/>
  <c r="Z253" i="3"/>
  <c r="AA253" i="3" s="1"/>
  <c r="Y253" i="3"/>
  <c r="X253" i="3"/>
  <c r="N253" i="3"/>
  <c r="V253" i="3" s="1"/>
  <c r="Z252" i="3"/>
  <c r="AA252" i="3" s="1"/>
  <c r="Y252" i="3"/>
  <c r="X252" i="3"/>
  <c r="N252" i="3"/>
  <c r="V252" i="3" s="1"/>
  <c r="Z251" i="3"/>
  <c r="AA251" i="3" s="1"/>
  <c r="Y251" i="3"/>
  <c r="X251" i="3"/>
  <c r="N251" i="3"/>
  <c r="V251" i="3" s="1"/>
  <c r="AA250" i="3"/>
  <c r="Z250" i="3"/>
  <c r="Y250" i="3"/>
  <c r="X250" i="3"/>
  <c r="V250" i="3"/>
  <c r="N250" i="3"/>
  <c r="Z249" i="3"/>
  <c r="AA249" i="3" s="1"/>
  <c r="Y249" i="3"/>
  <c r="X249" i="3"/>
  <c r="V249" i="3"/>
  <c r="N249" i="3"/>
  <c r="Z248" i="3"/>
  <c r="AA248" i="3" s="1"/>
  <c r="Y248" i="3"/>
  <c r="X248" i="3"/>
  <c r="N248" i="3"/>
  <c r="V248" i="3" s="1"/>
  <c r="AA247" i="3"/>
  <c r="Z247" i="3"/>
  <c r="Y247" i="3"/>
  <c r="X247" i="3"/>
  <c r="N247" i="3"/>
  <c r="V247" i="3" s="1"/>
  <c r="AA246" i="3"/>
  <c r="Z246" i="3"/>
  <c r="Y246" i="3"/>
  <c r="X246" i="3"/>
  <c r="N246" i="3"/>
  <c r="V246" i="3" s="1"/>
  <c r="AA245" i="3"/>
  <c r="Z245" i="3"/>
  <c r="Y245" i="3"/>
  <c r="X245" i="3"/>
  <c r="N245" i="3"/>
  <c r="V245" i="3" s="1"/>
  <c r="AA244" i="3"/>
  <c r="Z244" i="3"/>
  <c r="Y244" i="3"/>
  <c r="X244" i="3"/>
  <c r="V244" i="3"/>
  <c r="N244" i="3"/>
  <c r="Z243" i="3"/>
  <c r="AA243" i="3" s="1"/>
  <c r="Y243" i="3"/>
  <c r="X243" i="3"/>
  <c r="N243" i="3"/>
  <c r="V243" i="3" s="1"/>
  <c r="Z242" i="3"/>
  <c r="AA242" i="3" s="1"/>
  <c r="Y242" i="3"/>
  <c r="X242" i="3"/>
  <c r="N242" i="3"/>
  <c r="V242" i="3" s="1"/>
  <c r="Z241" i="3"/>
  <c r="AA241" i="3" s="1"/>
  <c r="Y241" i="3"/>
  <c r="X241" i="3"/>
  <c r="N241" i="3"/>
  <c r="V241" i="3" s="1"/>
  <c r="AA240" i="3"/>
  <c r="Z240" i="3"/>
  <c r="Y240" i="3"/>
  <c r="X240" i="3"/>
  <c r="V240" i="3"/>
  <c r="N240" i="3"/>
  <c r="Z239" i="3"/>
  <c r="AA239" i="3" s="1"/>
  <c r="Y239" i="3"/>
  <c r="X239" i="3"/>
  <c r="V239" i="3"/>
  <c r="N239" i="3"/>
  <c r="Z238" i="3"/>
  <c r="AA238" i="3" s="1"/>
  <c r="Y238" i="3"/>
  <c r="X238" i="3"/>
  <c r="V238" i="3"/>
  <c r="N238" i="3"/>
  <c r="Z237" i="3"/>
  <c r="AA237" i="3" s="1"/>
  <c r="Y237" i="3"/>
  <c r="X237" i="3"/>
  <c r="N237" i="3"/>
  <c r="V237" i="3" s="1"/>
  <c r="AA236" i="3"/>
  <c r="Z236" i="3"/>
  <c r="Y236" i="3"/>
  <c r="X236" i="3"/>
  <c r="N236" i="3"/>
  <c r="V236" i="3" s="1"/>
  <c r="AA235" i="3"/>
  <c r="Z235" i="3"/>
  <c r="Y235" i="3"/>
  <c r="X235" i="3"/>
  <c r="N235" i="3"/>
  <c r="V235" i="3" s="1"/>
  <c r="Z234" i="3"/>
  <c r="AA234" i="3" s="1"/>
  <c r="Y234" i="3"/>
  <c r="X234" i="3"/>
  <c r="V234" i="3"/>
  <c r="N234" i="3"/>
  <c r="Z233" i="3"/>
  <c r="AA233" i="3" s="1"/>
  <c r="Y233" i="3"/>
  <c r="X233" i="3"/>
  <c r="N233" i="3"/>
  <c r="V233" i="3" s="1"/>
  <c r="Z232" i="3"/>
  <c r="AA232" i="3" s="1"/>
  <c r="Y232" i="3"/>
  <c r="X232" i="3"/>
  <c r="N232" i="3"/>
  <c r="V232" i="3" s="1"/>
  <c r="Z231" i="3"/>
  <c r="AA231" i="3" s="1"/>
  <c r="Y231" i="3"/>
  <c r="X231" i="3"/>
  <c r="N231" i="3"/>
  <c r="V231" i="3" s="1"/>
  <c r="AA230" i="3"/>
  <c r="Z230" i="3"/>
  <c r="Y230" i="3"/>
  <c r="X230" i="3"/>
  <c r="V230" i="3"/>
  <c r="N230" i="3"/>
  <c r="Z229" i="3"/>
  <c r="AA229" i="3" s="1"/>
  <c r="Y229" i="3"/>
  <c r="X229" i="3"/>
  <c r="V229" i="3"/>
  <c r="N229" i="3"/>
  <c r="Z228" i="3"/>
  <c r="AA228" i="3" s="1"/>
  <c r="Y228" i="3"/>
  <c r="X228" i="3"/>
  <c r="N228" i="3"/>
  <c r="V228" i="3" s="1"/>
  <c r="AA227" i="3"/>
  <c r="Z227" i="3"/>
  <c r="Y227" i="3"/>
  <c r="X227" i="3"/>
  <c r="N227" i="3"/>
  <c r="V227" i="3" s="1"/>
  <c r="AA226" i="3"/>
  <c r="Z226" i="3"/>
  <c r="Y226" i="3"/>
  <c r="X226" i="3"/>
  <c r="N226" i="3"/>
  <c r="V226" i="3" s="1"/>
  <c r="AA225" i="3"/>
  <c r="Z225" i="3"/>
  <c r="Y225" i="3"/>
  <c r="X225" i="3"/>
  <c r="N225" i="3"/>
  <c r="V225" i="3" s="1"/>
  <c r="AA224" i="3"/>
  <c r="Z224" i="3"/>
  <c r="Y224" i="3"/>
  <c r="X224" i="3"/>
  <c r="V224" i="3"/>
  <c r="N224" i="3"/>
  <c r="Z223" i="3"/>
  <c r="AA223" i="3" s="1"/>
  <c r="Y223" i="3"/>
  <c r="X223" i="3"/>
  <c r="N223" i="3"/>
  <c r="V223" i="3" s="1"/>
  <c r="Z222" i="3"/>
  <c r="AA222" i="3" s="1"/>
  <c r="Y222" i="3"/>
  <c r="X222" i="3"/>
  <c r="N222" i="3"/>
  <c r="V222" i="3" s="1"/>
  <c r="Z221" i="3"/>
  <c r="AA221" i="3" s="1"/>
  <c r="Y221" i="3"/>
  <c r="X221" i="3"/>
  <c r="N221" i="3"/>
  <c r="V221" i="3" s="1"/>
  <c r="AA220" i="3"/>
  <c r="Z220" i="3"/>
  <c r="Y220" i="3"/>
  <c r="X220" i="3"/>
  <c r="V220" i="3"/>
  <c r="N220" i="3"/>
  <c r="Z219" i="3"/>
  <c r="AA219" i="3" s="1"/>
  <c r="Y219" i="3"/>
  <c r="X219" i="3"/>
  <c r="V219" i="3"/>
  <c r="N219" i="3"/>
  <c r="Z218" i="3"/>
  <c r="AA218" i="3" s="1"/>
  <c r="Y218" i="3"/>
  <c r="X218" i="3"/>
  <c r="V218" i="3"/>
  <c r="N218" i="3"/>
  <c r="Z217" i="3"/>
  <c r="AA217" i="3" s="1"/>
  <c r="Y217" i="3"/>
  <c r="X217" i="3"/>
  <c r="N217" i="3"/>
  <c r="V217" i="3" s="1"/>
  <c r="AA216" i="3"/>
  <c r="Z216" i="3"/>
  <c r="Y216" i="3"/>
  <c r="X216" i="3"/>
  <c r="N216" i="3"/>
  <c r="V216" i="3" s="1"/>
  <c r="AA215" i="3"/>
  <c r="Z215" i="3"/>
  <c r="Y215" i="3"/>
  <c r="X215" i="3"/>
  <c r="N215" i="3"/>
  <c r="V215" i="3" s="1"/>
  <c r="Z214" i="3"/>
  <c r="AA214" i="3" s="1"/>
  <c r="Y214" i="3"/>
  <c r="X214" i="3"/>
  <c r="V214" i="3"/>
  <c r="N214" i="3"/>
  <c r="Z213" i="3"/>
  <c r="AA213" i="3" s="1"/>
  <c r="Y213" i="3"/>
  <c r="X213" i="3"/>
  <c r="N213" i="3"/>
  <c r="V213" i="3" s="1"/>
  <c r="Z212" i="3"/>
  <c r="AA212" i="3" s="1"/>
  <c r="Y212" i="3"/>
  <c r="X212" i="3"/>
  <c r="N212" i="3"/>
  <c r="V212" i="3" s="1"/>
  <c r="Z211" i="3"/>
  <c r="AA211" i="3" s="1"/>
  <c r="Y211" i="3"/>
  <c r="X211" i="3"/>
  <c r="N211" i="3"/>
  <c r="V211" i="3" s="1"/>
  <c r="AA210" i="3"/>
  <c r="Z210" i="3"/>
  <c r="Y210" i="3"/>
  <c r="X210" i="3"/>
  <c r="V210" i="3"/>
  <c r="N210" i="3"/>
  <c r="Z209" i="3"/>
  <c r="AA209" i="3" s="1"/>
  <c r="Y209" i="3"/>
  <c r="X209" i="3"/>
  <c r="V209" i="3"/>
  <c r="N209" i="3"/>
  <c r="Z208" i="3"/>
  <c r="AA208" i="3" s="1"/>
  <c r="Y208" i="3"/>
  <c r="X208" i="3"/>
  <c r="N208" i="3"/>
  <c r="V208" i="3" s="1"/>
  <c r="AA207" i="3"/>
  <c r="Z207" i="3"/>
  <c r="Y207" i="3"/>
  <c r="X207" i="3"/>
  <c r="N207" i="3"/>
  <c r="V207" i="3" s="1"/>
  <c r="AA206" i="3"/>
  <c r="Z206" i="3"/>
  <c r="Y206" i="3"/>
  <c r="X206" i="3"/>
  <c r="N206" i="3"/>
  <c r="V206" i="3" s="1"/>
  <c r="AA205" i="3"/>
  <c r="Z205" i="3"/>
  <c r="Y205" i="3"/>
  <c r="X205" i="3"/>
  <c r="N205" i="3"/>
  <c r="V205" i="3" s="1"/>
  <c r="AA204" i="3"/>
  <c r="Z204" i="3"/>
  <c r="Y204" i="3"/>
  <c r="X204" i="3"/>
  <c r="V204" i="3"/>
  <c r="N204" i="3"/>
  <c r="Z203" i="3"/>
  <c r="AA203" i="3" s="1"/>
  <c r="Y203" i="3"/>
  <c r="X203" i="3"/>
  <c r="N203" i="3"/>
  <c r="V203" i="3" s="1"/>
  <c r="Z202" i="3"/>
  <c r="AA202" i="3" s="1"/>
  <c r="Y202" i="3"/>
  <c r="X202" i="3"/>
  <c r="N202" i="3"/>
  <c r="V202" i="3" s="1"/>
  <c r="Z201" i="3"/>
  <c r="AA201" i="3" s="1"/>
  <c r="Y201" i="3"/>
  <c r="X201" i="3"/>
  <c r="N201" i="3"/>
  <c r="V201" i="3" s="1"/>
  <c r="AA200" i="3"/>
  <c r="Z200" i="3"/>
  <c r="Y200" i="3"/>
  <c r="X200" i="3"/>
  <c r="V200" i="3"/>
  <c r="N200" i="3"/>
  <c r="Z199" i="3"/>
  <c r="AA199" i="3" s="1"/>
  <c r="Y199" i="3"/>
  <c r="X199" i="3"/>
  <c r="V199" i="3"/>
  <c r="N199" i="3"/>
  <c r="Z198" i="3"/>
  <c r="AA198" i="3" s="1"/>
  <c r="Y198" i="3"/>
  <c r="X198" i="3"/>
  <c r="V198" i="3"/>
  <c r="N198" i="3"/>
  <c r="Z197" i="3"/>
  <c r="AA197" i="3" s="1"/>
  <c r="Y197" i="3"/>
  <c r="X197" i="3"/>
  <c r="N197" i="3"/>
  <c r="V197" i="3" s="1"/>
  <c r="AA196" i="3"/>
  <c r="Z196" i="3"/>
  <c r="Y196" i="3"/>
  <c r="X196" i="3"/>
  <c r="N196" i="3"/>
  <c r="V196" i="3" s="1"/>
  <c r="AA195" i="3"/>
  <c r="Z195" i="3"/>
  <c r="Y195" i="3"/>
  <c r="X195" i="3"/>
  <c r="N195" i="3"/>
  <c r="V195" i="3" s="1"/>
  <c r="Z194" i="3"/>
  <c r="AA194" i="3" s="1"/>
  <c r="Y194" i="3"/>
  <c r="X194" i="3"/>
  <c r="V194" i="3"/>
  <c r="N194" i="3"/>
  <c r="Z193" i="3"/>
  <c r="AA193" i="3" s="1"/>
  <c r="Y193" i="3"/>
  <c r="X193" i="3"/>
  <c r="N193" i="3"/>
  <c r="V193" i="3" s="1"/>
  <c r="Z192" i="3"/>
  <c r="AA192" i="3" s="1"/>
  <c r="Y192" i="3"/>
  <c r="X192" i="3"/>
  <c r="N192" i="3"/>
  <c r="V192" i="3" s="1"/>
  <c r="Z191" i="3"/>
  <c r="AA191" i="3" s="1"/>
  <c r="Y191" i="3"/>
  <c r="X191" i="3"/>
  <c r="N191" i="3"/>
  <c r="V191" i="3" s="1"/>
  <c r="AA190" i="3"/>
  <c r="Z190" i="3"/>
  <c r="Y190" i="3"/>
  <c r="X190" i="3"/>
  <c r="V190" i="3"/>
  <c r="N190" i="3"/>
  <c r="Z189" i="3"/>
  <c r="AA189" i="3" s="1"/>
  <c r="Y189" i="3"/>
  <c r="X189" i="3"/>
  <c r="V189" i="3"/>
  <c r="N189" i="3"/>
  <c r="Z188" i="3"/>
  <c r="AA188" i="3" s="1"/>
  <c r="Y188" i="3"/>
  <c r="X188" i="3"/>
  <c r="N188" i="3"/>
  <c r="V188" i="3" s="1"/>
  <c r="AA187" i="3"/>
  <c r="Z187" i="3"/>
  <c r="Y187" i="3"/>
  <c r="X187" i="3"/>
  <c r="N187" i="3"/>
  <c r="V187" i="3" s="1"/>
  <c r="AA186" i="3"/>
  <c r="Z186" i="3"/>
  <c r="Y186" i="3"/>
  <c r="X186" i="3"/>
  <c r="N186" i="3"/>
  <c r="V186" i="3" s="1"/>
  <c r="AA185" i="3"/>
  <c r="Z185" i="3"/>
  <c r="Y185" i="3"/>
  <c r="X185" i="3"/>
  <c r="N185" i="3"/>
  <c r="V185" i="3" s="1"/>
  <c r="AA184" i="3"/>
  <c r="Z184" i="3"/>
  <c r="Y184" i="3"/>
  <c r="X184" i="3"/>
  <c r="V184" i="3"/>
  <c r="N184" i="3"/>
  <c r="Z183" i="3"/>
  <c r="AA183" i="3" s="1"/>
  <c r="Y183" i="3"/>
  <c r="X183" i="3"/>
  <c r="N183" i="3"/>
  <c r="V183" i="3" s="1"/>
  <c r="Z182" i="3"/>
  <c r="AA182" i="3" s="1"/>
  <c r="Y182" i="3"/>
  <c r="X182" i="3"/>
  <c r="N182" i="3"/>
  <c r="V182" i="3" s="1"/>
  <c r="Z181" i="3"/>
  <c r="AA181" i="3" s="1"/>
  <c r="Y181" i="3"/>
  <c r="X181" i="3"/>
  <c r="N181" i="3"/>
  <c r="V181" i="3" s="1"/>
  <c r="AA180" i="3"/>
  <c r="Z180" i="3"/>
  <c r="Y180" i="3"/>
  <c r="X180" i="3"/>
  <c r="V180" i="3"/>
  <c r="N180" i="3"/>
  <c r="Z179" i="3"/>
  <c r="AA179" i="3" s="1"/>
  <c r="Y179" i="3"/>
  <c r="X179" i="3"/>
  <c r="V179" i="3"/>
  <c r="N179" i="3"/>
  <c r="Z178" i="3"/>
  <c r="AA178" i="3" s="1"/>
  <c r="Y178" i="3"/>
  <c r="X178" i="3"/>
  <c r="V178" i="3"/>
  <c r="N178" i="3"/>
  <c r="AA177" i="3"/>
  <c r="Z177" i="3"/>
  <c r="Y177" i="3"/>
  <c r="X177" i="3"/>
  <c r="N177" i="3"/>
  <c r="V177" i="3" s="1"/>
  <c r="AA176" i="3"/>
  <c r="Z176" i="3"/>
  <c r="Y176" i="3"/>
  <c r="X176" i="3"/>
  <c r="N176" i="3"/>
  <c r="V176" i="3" s="1"/>
  <c r="AA175" i="3"/>
  <c r="Z175" i="3"/>
  <c r="Y175" i="3"/>
  <c r="X175" i="3"/>
  <c r="N175" i="3"/>
  <c r="V175" i="3" s="1"/>
  <c r="Z174" i="3"/>
  <c r="AA174" i="3" s="1"/>
  <c r="Y174" i="3"/>
  <c r="X174" i="3"/>
  <c r="V174" i="3"/>
  <c r="N174" i="3"/>
  <c r="Z173" i="3"/>
  <c r="AA173" i="3" s="1"/>
  <c r="Y173" i="3"/>
  <c r="X173" i="3"/>
  <c r="N173" i="3"/>
  <c r="V173" i="3" s="1"/>
  <c r="Z172" i="3"/>
  <c r="AA172" i="3" s="1"/>
  <c r="Y172" i="3"/>
  <c r="X172" i="3"/>
  <c r="N172" i="3"/>
  <c r="V172" i="3" s="1"/>
  <c r="Z171" i="3"/>
  <c r="AA171" i="3" s="1"/>
  <c r="Y171" i="3"/>
  <c r="X171" i="3"/>
  <c r="N171" i="3"/>
  <c r="V171" i="3" s="1"/>
  <c r="AA170" i="3"/>
  <c r="Z170" i="3"/>
  <c r="Y170" i="3"/>
  <c r="X170" i="3"/>
  <c r="V170" i="3"/>
  <c r="N170" i="3"/>
  <c r="Z169" i="3"/>
  <c r="AA169" i="3" s="1"/>
  <c r="Y169" i="3"/>
  <c r="X169" i="3"/>
  <c r="V169" i="3"/>
  <c r="N169" i="3"/>
  <c r="Z168" i="3"/>
  <c r="AA168" i="3" s="1"/>
  <c r="Y168" i="3"/>
  <c r="X168" i="3"/>
  <c r="N168" i="3"/>
  <c r="V168" i="3" s="1"/>
  <c r="AA167" i="3"/>
  <c r="Z167" i="3"/>
  <c r="Y167" i="3"/>
  <c r="X167" i="3"/>
  <c r="N167" i="3"/>
  <c r="V167" i="3" s="1"/>
  <c r="AA166" i="3"/>
  <c r="Z166" i="3"/>
  <c r="Y166" i="3"/>
  <c r="X166" i="3"/>
  <c r="N166" i="3"/>
  <c r="V166" i="3" s="1"/>
  <c r="AA165" i="3"/>
  <c r="Z165" i="3"/>
  <c r="Y165" i="3"/>
  <c r="X165" i="3"/>
  <c r="N165" i="3"/>
  <c r="V165" i="3" s="1"/>
  <c r="AA164" i="3"/>
  <c r="Z164" i="3"/>
  <c r="Y164" i="3"/>
  <c r="X164" i="3"/>
  <c r="V164" i="3"/>
  <c r="N164" i="3"/>
  <c r="Z163" i="3"/>
  <c r="AA163" i="3" s="1"/>
  <c r="Y163" i="3"/>
  <c r="X163" i="3"/>
  <c r="N163" i="3"/>
  <c r="V163" i="3" s="1"/>
  <c r="Z162" i="3"/>
  <c r="AA162" i="3" s="1"/>
  <c r="Y162" i="3"/>
  <c r="X162" i="3"/>
  <c r="N162" i="3"/>
  <c r="V162" i="3" s="1"/>
  <c r="Z161" i="3"/>
  <c r="AA161" i="3" s="1"/>
  <c r="Y161" i="3"/>
  <c r="X161" i="3"/>
  <c r="N161" i="3"/>
  <c r="V161" i="3" s="1"/>
  <c r="AA160" i="3"/>
  <c r="Z160" i="3"/>
  <c r="Y160" i="3"/>
  <c r="X160" i="3"/>
  <c r="V160" i="3"/>
  <c r="N160" i="3"/>
  <c r="Z159" i="3"/>
  <c r="AA159" i="3" s="1"/>
  <c r="Y159" i="3"/>
  <c r="X159" i="3"/>
  <c r="V159" i="3"/>
  <c r="N159" i="3"/>
  <c r="Z158" i="3"/>
  <c r="AA158" i="3" s="1"/>
  <c r="Y158" i="3"/>
  <c r="X158" i="3"/>
  <c r="V158" i="3"/>
  <c r="N158" i="3"/>
  <c r="AA157" i="3"/>
  <c r="Z157" i="3"/>
  <c r="Y157" i="3"/>
  <c r="X157" i="3"/>
  <c r="N157" i="3"/>
  <c r="V157" i="3" s="1"/>
  <c r="AA156" i="3"/>
  <c r="Z156" i="3"/>
  <c r="Y156" i="3"/>
  <c r="X156" i="3"/>
  <c r="N156" i="3"/>
  <c r="V156" i="3" s="1"/>
  <c r="AA155" i="3"/>
  <c r="Z155" i="3"/>
  <c r="Y155" i="3"/>
  <c r="X155" i="3"/>
  <c r="N155" i="3"/>
  <c r="V155" i="3" s="1"/>
  <c r="Z154" i="3"/>
  <c r="AA154" i="3" s="1"/>
  <c r="Y154" i="3"/>
  <c r="X154" i="3"/>
  <c r="V154" i="3"/>
  <c r="N154" i="3"/>
  <c r="Z153" i="3"/>
  <c r="AA153" i="3" s="1"/>
  <c r="Y153" i="3"/>
  <c r="X153" i="3"/>
  <c r="N153" i="3"/>
  <c r="V153" i="3" s="1"/>
  <c r="Z152" i="3"/>
  <c r="AA152" i="3" s="1"/>
  <c r="Y152" i="3"/>
  <c r="X152" i="3"/>
  <c r="N152" i="3"/>
  <c r="V152" i="3" s="1"/>
  <c r="Z151" i="3"/>
  <c r="AA151" i="3" s="1"/>
  <c r="Y151" i="3"/>
  <c r="X151" i="3"/>
  <c r="N151" i="3"/>
  <c r="V151" i="3" s="1"/>
  <c r="AA150" i="3"/>
  <c r="Z150" i="3"/>
  <c r="Y150" i="3"/>
  <c r="X150" i="3"/>
  <c r="V150" i="3"/>
  <c r="N150" i="3"/>
  <c r="Z149" i="3"/>
  <c r="AA149" i="3" s="1"/>
  <c r="Y149" i="3"/>
  <c r="X149" i="3"/>
  <c r="V149" i="3"/>
  <c r="N149" i="3"/>
  <c r="Z148" i="3"/>
  <c r="AA148" i="3" s="1"/>
  <c r="Y148" i="3"/>
  <c r="X148" i="3"/>
  <c r="N148" i="3"/>
  <c r="V148" i="3" s="1"/>
  <c r="AA147" i="3"/>
  <c r="Z147" i="3"/>
  <c r="Y147" i="3"/>
  <c r="X147" i="3"/>
  <c r="N147" i="3"/>
  <c r="V147" i="3" s="1"/>
  <c r="AA146" i="3"/>
  <c r="Z146" i="3"/>
  <c r="Y146" i="3"/>
  <c r="X146" i="3"/>
  <c r="N146" i="3"/>
  <c r="V146" i="3" s="1"/>
  <c r="AA145" i="3"/>
  <c r="Z145" i="3"/>
  <c r="Y145" i="3"/>
  <c r="X145" i="3"/>
  <c r="N145" i="3"/>
  <c r="V145" i="3" s="1"/>
  <c r="AA144" i="3"/>
  <c r="Z144" i="3"/>
  <c r="Y144" i="3"/>
  <c r="X144" i="3"/>
  <c r="V144" i="3"/>
  <c r="N144" i="3"/>
  <c r="Z143" i="3"/>
  <c r="AA143" i="3" s="1"/>
  <c r="Y143" i="3"/>
  <c r="X143" i="3"/>
  <c r="N143" i="3"/>
  <c r="V143" i="3" s="1"/>
  <c r="Z142" i="3"/>
  <c r="AA142" i="3" s="1"/>
  <c r="Y142" i="3"/>
  <c r="X142" i="3"/>
  <c r="N142" i="3"/>
  <c r="V142" i="3" s="1"/>
  <c r="Z141" i="3"/>
  <c r="AA141" i="3" s="1"/>
  <c r="Y141" i="3"/>
  <c r="X141" i="3"/>
  <c r="N141" i="3"/>
  <c r="V141" i="3" s="1"/>
  <c r="AA140" i="3"/>
  <c r="Z140" i="3"/>
  <c r="Y140" i="3"/>
  <c r="X140" i="3"/>
  <c r="V140" i="3"/>
  <c r="N140" i="3"/>
  <c r="Z139" i="3"/>
  <c r="AA139" i="3" s="1"/>
  <c r="Y139" i="3"/>
  <c r="X139" i="3"/>
  <c r="V139" i="3"/>
  <c r="N139" i="3"/>
  <c r="Z138" i="3"/>
  <c r="AA138" i="3" s="1"/>
  <c r="Y138" i="3"/>
  <c r="X138" i="3"/>
  <c r="V138" i="3"/>
  <c r="N138" i="3"/>
  <c r="AA137" i="3"/>
  <c r="Z137" i="3"/>
  <c r="Y137" i="3"/>
  <c r="X137" i="3"/>
  <c r="N137" i="3"/>
  <c r="V137" i="3" s="1"/>
  <c r="AA136" i="3"/>
  <c r="Z136" i="3"/>
  <c r="Y136" i="3"/>
  <c r="X136" i="3"/>
  <c r="N136" i="3"/>
  <c r="V136" i="3" s="1"/>
  <c r="AA135" i="3"/>
  <c r="Z135" i="3"/>
  <c r="Y135" i="3"/>
  <c r="X135" i="3"/>
  <c r="N135" i="3"/>
  <c r="V135" i="3" s="1"/>
  <c r="Z134" i="3"/>
  <c r="AA134" i="3" s="1"/>
  <c r="Y134" i="3"/>
  <c r="X134" i="3"/>
  <c r="V134" i="3"/>
  <c r="N134" i="3"/>
  <c r="Z133" i="3"/>
  <c r="AA133" i="3" s="1"/>
  <c r="Y133" i="3"/>
  <c r="X133" i="3"/>
  <c r="N133" i="3"/>
  <c r="V133" i="3" s="1"/>
  <c r="Z132" i="3"/>
  <c r="AA132" i="3" s="1"/>
  <c r="Y132" i="3"/>
  <c r="X132" i="3"/>
  <c r="N132" i="3"/>
  <c r="V132" i="3" s="1"/>
  <c r="Z131" i="3"/>
  <c r="AA131" i="3" s="1"/>
  <c r="Y131" i="3"/>
  <c r="X131" i="3"/>
  <c r="N131" i="3"/>
  <c r="V131" i="3" s="1"/>
  <c r="AA130" i="3"/>
  <c r="Z130" i="3"/>
  <c r="Y130" i="3"/>
  <c r="X130" i="3"/>
  <c r="V130" i="3"/>
  <c r="N130" i="3"/>
  <c r="Z129" i="3"/>
  <c r="AA129" i="3" s="1"/>
  <c r="Y129" i="3"/>
  <c r="X129" i="3"/>
  <c r="V129" i="3"/>
  <c r="N129" i="3"/>
  <c r="Z128" i="3"/>
  <c r="AA128" i="3" s="1"/>
  <c r="Y128" i="3"/>
  <c r="X128" i="3"/>
  <c r="N128" i="3"/>
  <c r="V128" i="3" s="1"/>
  <c r="Z127" i="3"/>
  <c r="AA127" i="3" s="1"/>
  <c r="Y127" i="3"/>
  <c r="X127" i="3"/>
  <c r="N127" i="3"/>
  <c r="V127" i="3" s="1"/>
  <c r="AA126" i="3"/>
  <c r="Z126" i="3"/>
  <c r="Y126" i="3"/>
  <c r="X126" i="3"/>
  <c r="N126" i="3"/>
  <c r="V126" i="3" s="1"/>
  <c r="AA125" i="3"/>
  <c r="Z125" i="3"/>
  <c r="Y125" i="3"/>
  <c r="X125" i="3"/>
  <c r="V125" i="3"/>
  <c r="N125" i="3"/>
  <c r="Z124" i="3"/>
  <c r="AA124" i="3" s="1"/>
  <c r="Y124" i="3"/>
  <c r="X124" i="3"/>
  <c r="V124" i="3"/>
  <c r="N124" i="3"/>
  <c r="Z123" i="3"/>
  <c r="AA123" i="3" s="1"/>
  <c r="Y123" i="3"/>
  <c r="X123" i="3"/>
  <c r="N123" i="3"/>
  <c r="V123" i="3" s="1"/>
  <c r="Z122" i="3"/>
  <c r="AA122" i="3" s="1"/>
  <c r="Y122" i="3"/>
  <c r="X122" i="3"/>
  <c r="N122" i="3"/>
  <c r="V122" i="3" s="1"/>
  <c r="AA121" i="3"/>
  <c r="Z121" i="3"/>
  <c r="Y121" i="3"/>
  <c r="X121" i="3"/>
  <c r="V121" i="3"/>
  <c r="N121" i="3"/>
  <c r="AA120" i="3"/>
  <c r="Z120" i="3"/>
  <c r="Y120" i="3"/>
  <c r="X120" i="3"/>
  <c r="V120" i="3"/>
  <c r="N120" i="3"/>
  <c r="Z119" i="3"/>
  <c r="AA119" i="3" s="1"/>
  <c r="Y119" i="3"/>
  <c r="X119" i="3"/>
  <c r="V119" i="3"/>
  <c r="N119" i="3"/>
  <c r="Z118" i="3"/>
  <c r="AA118" i="3" s="1"/>
  <c r="Y118" i="3"/>
  <c r="X118" i="3"/>
  <c r="V118" i="3"/>
  <c r="N118" i="3"/>
  <c r="Z117" i="3"/>
  <c r="AA117" i="3" s="1"/>
  <c r="Y117" i="3"/>
  <c r="X117" i="3"/>
  <c r="N117" i="3"/>
  <c r="V117" i="3" s="1"/>
  <c r="AA116" i="3"/>
  <c r="Z116" i="3"/>
  <c r="Y116" i="3"/>
  <c r="X116" i="3"/>
  <c r="N116" i="3"/>
  <c r="V116" i="3" s="1"/>
  <c r="AA115" i="3"/>
  <c r="Z115" i="3"/>
  <c r="Y115" i="3"/>
  <c r="X115" i="3"/>
  <c r="N115" i="3"/>
  <c r="V115" i="3" s="1"/>
  <c r="AA114" i="3"/>
  <c r="Z114" i="3"/>
  <c r="Y114" i="3"/>
  <c r="X114" i="3"/>
  <c r="V114" i="3"/>
  <c r="N114" i="3"/>
  <c r="Z113" i="3"/>
  <c r="AA113" i="3" s="1"/>
  <c r="Y113" i="3"/>
  <c r="X113" i="3"/>
  <c r="N113" i="3"/>
  <c r="V113" i="3" s="1"/>
  <c r="Z112" i="3"/>
  <c r="AA112" i="3" s="1"/>
  <c r="Y112" i="3"/>
  <c r="X112" i="3"/>
  <c r="N112" i="3"/>
  <c r="V112" i="3" s="1"/>
  <c r="Z111" i="3"/>
  <c r="AA111" i="3" s="1"/>
  <c r="Y111" i="3"/>
  <c r="X111" i="3"/>
  <c r="N111" i="3"/>
  <c r="V111" i="3" s="1"/>
  <c r="AA110" i="3"/>
  <c r="Z110" i="3"/>
  <c r="Y110" i="3"/>
  <c r="X110" i="3"/>
  <c r="V110" i="3"/>
  <c r="N110" i="3"/>
  <c r="Z109" i="3"/>
  <c r="AA109" i="3" s="1"/>
  <c r="Y109" i="3"/>
  <c r="X109" i="3"/>
  <c r="V109" i="3"/>
  <c r="N109" i="3"/>
  <c r="Z108" i="3"/>
  <c r="AA108" i="3" s="1"/>
  <c r="Y108" i="3"/>
  <c r="X108" i="3"/>
  <c r="N108" i="3"/>
  <c r="V108" i="3" s="1"/>
  <c r="Z107" i="3"/>
  <c r="AA107" i="3" s="1"/>
  <c r="Y107" i="3"/>
  <c r="X107" i="3"/>
  <c r="N107" i="3"/>
  <c r="V107" i="3" s="1"/>
  <c r="AA106" i="3"/>
  <c r="Z106" i="3"/>
  <c r="Y106" i="3"/>
  <c r="X106" i="3"/>
  <c r="N106" i="3"/>
  <c r="V106" i="3" s="1"/>
  <c r="AA105" i="3"/>
  <c r="Z105" i="3"/>
  <c r="Y105" i="3"/>
  <c r="X105" i="3"/>
  <c r="N105" i="3"/>
  <c r="V105" i="3" s="1"/>
  <c r="Z104" i="3"/>
  <c r="AA104" i="3" s="1"/>
  <c r="Y104" i="3"/>
  <c r="X104" i="3"/>
  <c r="V104" i="3"/>
  <c r="N104" i="3"/>
  <c r="Z103" i="3"/>
  <c r="AA103" i="3" s="1"/>
  <c r="Y103" i="3"/>
  <c r="X103" i="3"/>
  <c r="N103" i="3"/>
  <c r="V103" i="3" s="1"/>
  <c r="Z102" i="3"/>
  <c r="AA102" i="3" s="1"/>
  <c r="Y102" i="3"/>
  <c r="X102" i="3"/>
  <c r="N102" i="3"/>
  <c r="V102" i="3" s="1"/>
  <c r="AA101" i="3"/>
  <c r="Z101" i="3"/>
  <c r="Y101" i="3"/>
  <c r="X101" i="3"/>
  <c r="N101" i="3"/>
  <c r="V101" i="3" s="1"/>
  <c r="AA100" i="3"/>
  <c r="Z100" i="3"/>
  <c r="Y100" i="3"/>
  <c r="X100" i="3"/>
  <c r="V100" i="3"/>
  <c r="N100" i="3"/>
  <c r="Z99" i="3"/>
  <c r="AA99" i="3" s="1"/>
  <c r="Y99" i="3"/>
  <c r="X99" i="3"/>
  <c r="V99" i="3"/>
  <c r="N99" i="3"/>
  <c r="Z98" i="3"/>
  <c r="AA98" i="3" s="1"/>
  <c r="Y98" i="3"/>
  <c r="X98" i="3"/>
  <c r="V98" i="3"/>
  <c r="N98" i="3"/>
  <c r="Z97" i="3"/>
  <c r="AA97" i="3" s="1"/>
  <c r="Y97" i="3"/>
  <c r="X97" i="3"/>
  <c r="N97" i="3"/>
  <c r="V97" i="3" s="1"/>
  <c r="AA96" i="3"/>
  <c r="Z96" i="3"/>
  <c r="Y96" i="3"/>
  <c r="X96" i="3"/>
  <c r="N96" i="3"/>
  <c r="V96" i="3" s="1"/>
  <c r="AA95" i="3"/>
  <c r="Z95" i="3"/>
  <c r="Y95" i="3"/>
  <c r="X95" i="3"/>
  <c r="V95" i="3"/>
  <c r="N95" i="3"/>
  <c r="Z94" i="3"/>
  <c r="AA94" i="3" s="1"/>
  <c r="Y94" i="3"/>
  <c r="X94" i="3"/>
  <c r="V94" i="3"/>
  <c r="N94" i="3"/>
  <c r="Z93" i="3"/>
  <c r="AA93" i="3" s="1"/>
  <c r="Y93" i="3"/>
  <c r="X93" i="3"/>
  <c r="N93" i="3"/>
  <c r="V93" i="3" s="1"/>
  <c r="Z92" i="3"/>
  <c r="AA92" i="3" s="1"/>
  <c r="Y92" i="3"/>
  <c r="X92" i="3"/>
  <c r="N92" i="3"/>
  <c r="V92" i="3" s="1"/>
  <c r="Z91" i="3"/>
  <c r="AA91" i="3" s="1"/>
  <c r="Y91" i="3"/>
  <c r="X91" i="3"/>
  <c r="V91" i="3"/>
  <c r="N91" i="3"/>
  <c r="AA90" i="3"/>
  <c r="Z90" i="3"/>
  <c r="Y90" i="3"/>
  <c r="X90" i="3"/>
  <c r="V90" i="3"/>
  <c r="N90" i="3"/>
  <c r="Z89" i="3"/>
  <c r="AA89" i="3" s="1"/>
  <c r="Y89" i="3"/>
  <c r="X89" i="3"/>
  <c r="V89" i="3"/>
  <c r="N89" i="3"/>
  <c r="Z88" i="3"/>
  <c r="AA88" i="3" s="1"/>
  <c r="Y88" i="3"/>
  <c r="X88" i="3"/>
  <c r="N88" i="3"/>
  <c r="V88" i="3" s="1"/>
  <c r="AA87" i="3"/>
  <c r="Z87" i="3"/>
  <c r="Y87" i="3"/>
  <c r="X87" i="3"/>
  <c r="N87" i="3"/>
  <c r="V87" i="3" s="1"/>
  <c r="AA86" i="3"/>
  <c r="Z86" i="3"/>
  <c r="Y86" i="3"/>
  <c r="X86" i="3"/>
  <c r="N86" i="3"/>
  <c r="V86" i="3" s="1"/>
  <c r="AA85" i="3"/>
  <c r="Z85" i="3"/>
  <c r="Y85" i="3"/>
  <c r="X85" i="3"/>
  <c r="N85" i="3"/>
  <c r="V85" i="3" s="1"/>
  <c r="Z84" i="3"/>
  <c r="AA84" i="3" s="1"/>
  <c r="Y84" i="3"/>
  <c r="X84" i="3"/>
  <c r="V84" i="3"/>
  <c r="N84" i="3"/>
  <c r="Z83" i="3"/>
  <c r="AA83" i="3" s="1"/>
  <c r="Y83" i="3"/>
  <c r="X83" i="3"/>
  <c r="N83" i="3"/>
  <c r="V83" i="3" s="1"/>
  <c r="Z82" i="3"/>
  <c r="AA82" i="3" s="1"/>
  <c r="Y82" i="3"/>
  <c r="X82" i="3"/>
  <c r="N82" i="3"/>
  <c r="V82" i="3" s="1"/>
  <c r="Z81" i="3"/>
  <c r="AA81" i="3" s="1"/>
  <c r="Y81" i="3"/>
  <c r="X81" i="3"/>
  <c r="N81" i="3"/>
  <c r="V81" i="3" s="1"/>
  <c r="AA80" i="3"/>
  <c r="Z80" i="3"/>
  <c r="Y80" i="3"/>
  <c r="X80" i="3"/>
  <c r="V80" i="3"/>
  <c r="N80" i="3"/>
  <c r="Z79" i="3"/>
  <c r="AA79" i="3" s="1"/>
  <c r="Y79" i="3"/>
  <c r="X79" i="3"/>
  <c r="V79" i="3"/>
  <c r="N79" i="3"/>
  <c r="Z78" i="3"/>
  <c r="AA78" i="3" s="1"/>
  <c r="Y78" i="3"/>
  <c r="X78" i="3"/>
  <c r="N78" i="3"/>
  <c r="V78" i="3" s="1"/>
  <c r="Z77" i="3"/>
  <c r="AA77" i="3" s="1"/>
  <c r="Y77" i="3"/>
  <c r="X77" i="3"/>
  <c r="N77" i="3"/>
  <c r="V77" i="3" s="1"/>
  <c r="AA76" i="3"/>
  <c r="Z76" i="3"/>
  <c r="Y76" i="3"/>
  <c r="X76" i="3"/>
  <c r="N76" i="3"/>
  <c r="V76" i="3" s="1"/>
  <c r="AA75" i="3"/>
  <c r="Z75" i="3"/>
  <c r="Y75" i="3"/>
  <c r="X75" i="3"/>
  <c r="V75" i="3"/>
  <c r="N75" i="3"/>
  <c r="Z74" i="3"/>
  <c r="AA74" i="3" s="1"/>
  <c r="Y74" i="3"/>
  <c r="X74" i="3"/>
  <c r="V74" i="3"/>
  <c r="N74" i="3"/>
  <c r="Z73" i="3"/>
  <c r="AA73" i="3" s="1"/>
  <c r="Y73" i="3"/>
  <c r="X73" i="3"/>
  <c r="N73" i="3"/>
  <c r="V73" i="3" s="1"/>
  <c r="Z72" i="3"/>
  <c r="AA72" i="3" s="1"/>
  <c r="Y72" i="3"/>
  <c r="X72" i="3"/>
  <c r="N72" i="3"/>
  <c r="V72" i="3" s="1"/>
  <c r="AA71" i="3"/>
  <c r="Z71" i="3"/>
  <c r="Y71" i="3"/>
  <c r="X71" i="3"/>
  <c r="V71" i="3"/>
  <c r="N71" i="3"/>
  <c r="AA70" i="3"/>
  <c r="Z70" i="3"/>
  <c r="Y70" i="3"/>
  <c r="X70" i="3"/>
  <c r="V70" i="3"/>
  <c r="N70" i="3"/>
  <c r="Z69" i="3"/>
  <c r="AA69" i="3" s="1"/>
  <c r="Y69" i="3"/>
  <c r="X69" i="3"/>
  <c r="V69" i="3"/>
  <c r="N69" i="3"/>
  <c r="Z68" i="3"/>
  <c r="AA68" i="3" s="1"/>
  <c r="Y68" i="3"/>
  <c r="X68" i="3"/>
  <c r="V68" i="3"/>
  <c r="N68" i="3"/>
  <c r="Z67" i="3"/>
  <c r="AA67" i="3" s="1"/>
  <c r="Y67" i="3"/>
  <c r="X67" i="3"/>
  <c r="N67" i="3"/>
  <c r="V67" i="3" s="1"/>
  <c r="AA66" i="3"/>
  <c r="Z66" i="3"/>
  <c r="Y66" i="3"/>
  <c r="X66" i="3"/>
  <c r="N66" i="3"/>
  <c r="V66" i="3" s="1"/>
  <c r="AA65" i="3"/>
  <c r="Z65" i="3"/>
  <c r="Y65" i="3"/>
  <c r="X65" i="3"/>
  <c r="N65" i="3"/>
  <c r="V65" i="3" s="1"/>
  <c r="AA64" i="3"/>
  <c r="Z64" i="3"/>
  <c r="Y64" i="3"/>
  <c r="X64" i="3"/>
  <c r="V64" i="3"/>
  <c r="N64" i="3"/>
  <c r="Z63" i="3"/>
  <c r="AA63" i="3" s="1"/>
  <c r="Y63" i="3"/>
  <c r="X63" i="3"/>
  <c r="N63" i="3"/>
  <c r="V63" i="3" s="1"/>
  <c r="Z62" i="3"/>
  <c r="AA62" i="3" s="1"/>
  <c r="Y62" i="3"/>
  <c r="X62" i="3"/>
  <c r="N62" i="3"/>
  <c r="V62" i="3" s="1"/>
  <c r="Z61" i="3"/>
  <c r="AA61" i="3" s="1"/>
  <c r="Y61" i="3"/>
  <c r="X61" i="3"/>
  <c r="N61" i="3"/>
  <c r="V61" i="3" s="1"/>
  <c r="AA60" i="3"/>
  <c r="Z60" i="3"/>
  <c r="Y60" i="3"/>
  <c r="X60" i="3"/>
  <c r="V60" i="3"/>
  <c r="N60" i="3"/>
  <c r="Z59" i="3"/>
  <c r="AA59" i="3" s="1"/>
  <c r="Y59" i="3"/>
  <c r="X59" i="3"/>
  <c r="V59" i="3"/>
  <c r="N59" i="3"/>
  <c r="Z58" i="3"/>
  <c r="AA58" i="3" s="1"/>
  <c r="Y58" i="3"/>
  <c r="X58" i="3"/>
  <c r="N58" i="3"/>
  <c r="V58" i="3" s="1"/>
  <c r="Z57" i="3"/>
  <c r="AA57" i="3" s="1"/>
  <c r="Y57" i="3"/>
  <c r="X57" i="3"/>
  <c r="N57" i="3"/>
  <c r="V57" i="3" s="1"/>
  <c r="AA56" i="3"/>
  <c r="Z56" i="3"/>
  <c r="Y56" i="3"/>
  <c r="X56" i="3"/>
  <c r="N56" i="3"/>
  <c r="V56" i="3" s="1"/>
  <c r="AA55" i="3"/>
  <c r="Z55" i="3"/>
  <c r="Y55" i="3"/>
  <c r="X55" i="3"/>
  <c r="N55" i="3"/>
  <c r="V55" i="3" s="1"/>
  <c r="Z54" i="3"/>
  <c r="AA54" i="3" s="1"/>
  <c r="Y54" i="3"/>
  <c r="X54" i="3"/>
  <c r="V54" i="3"/>
  <c r="N54" i="3"/>
  <c r="Z53" i="3"/>
  <c r="AA53" i="3" s="1"/>
  <c r="Y53" i="3"/>
  <c r="X53" i="3"/>
  <c r="N53" i="3"/>
  <c r="V53" i="3" s="1"/>
  <c r="Z52" i="3"/>
  <c r="AA52" i="3" s="1"/>
  <c r="Y52" i="3"/>
  <c r="X52" i="3"/>
  <c r="N52" i="3"/>
  <c r="V52" i="3" s="1"/>
  <c r="AA51" i="3"/>
  <c r="Z51" i="3"/>
  <c r="Y51" i="3"/>
  <c r="X51" i="3"/>
  <c r="N51" i="3"/>
  <c r="V51" i="3" s="1"/>
  <c r="AA50" i="3"/>
  <c r="Z50" i="3"/>
  <c r="Y50" i="3"/>
  <c r="X50" i="3"/>
  <c r="V50" i="3"/>
  <c r="N50" i="3"/>
  <c r="Z49" i="3"/>
  <c r="AA49" i="3" s="1"/>
  <c r="Y49" i="3"/>
  <c r="X49" i="3"/>
  <c r="V49" i="3"/>
  <c r="N49" i="3"/>
  <c r="Z48" i="3"/>
  <c r="AA48" i="3" s="1"/>
  <c r="Y48" i="3"/>
  <c r="X48" i="3"/>
  <c r="V48" i="3"/>
  <c r="N48" i="3"/>
  <c r="Z47" i="3"/>
  <c r="AA47" i="3" s="1"/>
  <c r="Y47" i="3"/>
  <c r="X47" i="3"/>
  <c r="N47" i="3"/>
  <c r="V47" i="3" s="1"/>
  <c r="AA46" i="3"/>
  <c r="Z46" i="3"/>
  <c r="Y46" i="3"/>
  <c r="X46" i="3"/>
  <c r="N46" i="3"/>
  <c r="V46" i="3" s="1"/>
  <c r="AA45" i="3"/>
  <c r="Z45" i="3"/>
  <c r="Y45" i="3"/>
  <c r="X45" i="3"/>
  <c r="V45" i="3"/>
  <c r="N45" i="3"/>
  <c r="Z44" i="3"/>
  <c r="AA44" i="3" s="1"/>
  <c r="Y44" i="3"/>
  <c r="X44" i="3"/>
  <c r="V44" i="3"/>
  <c r="N44" i="3"/>
  <c r="Z43" i="3"/>
  <c r="AA43" i="3" s="1"/>
  <c r="Y43" i="3"/>
  <c r="X43" i="3"/>
  <c r="N43" i="3"/>
  <c r="V43" i="3" s="1"/>
  <c r="Z42" i="3"/>
  <c r="AA42" i="3" s="1"/>
  <c r="Y42" i="3"/>
  <c r="X42" i="3"/>
  <c r="N42" i="3"/>
  <c r="V42" i="3" s="1"/>
  <c r="Z41" i="3"/>
  <c r="AA41" i="3" s="1"/>
  <c r="Y41" i="3"/>
  <c r="X41" i="3"/>
  <c r="V41" i="3"/>
  <c r="N41" i="3"/>
  <c r="AA40" i="3"/>
  <c r="Z40" i="3"/>
  <c r="Y40" i="3"/>
  <c r="X40" i="3"/>
  <c r="V40" i="3"/>
  <c r="N40" i="3"/>
  <c r="Z39" i="3"/>
  <c r="AA39" i="3" s="1"/>
  <c r="Y39" i="3"/>
  <c r="X39" i="3"/>
  <c r="V39" i="3"/>
  <c r="N39" i="3"/>
  <c r="Z38" i="3"/>
  <c r="AA38" i="3" s="1"/>
  <c r="Y38" i="3"/>
  <c r="X38" i="3"/>
  <c r="N38" i="3"/>
  <c r="V38" i="3" s="1"/>
  <c r="AA37" i="3"/>
  <c r="Z37" i="3"/>
  <c r="Y37" i="3"/>
  <c r="X37" i="3"/>
  <c r="N37" i="3"/>
  <c r="V37" i="3" s="1"/>
  <c r="AA36" i="3"/>
  <c r="Z36" i="3"/>
  <c r="Y36" i="3"/>
  <c r="X36" i="3"/>
  <c r="N36" i="3"/>
  <c r="V36" i="3" s="1"/>
  <c r="AA35" i="3"/>
  <c r="Z35" i="3"/>
  <c r="Y35" i="3"/>
  <c r="X35" i="3"/>
  <c r="N35" i="3"/>
  <c r="V35" i="3" s="1"/>
  <c r="Z34" i="3"/>
  <c r="AA34" i="3" s="1"/>
  <c r="Y34" i="3"/>
  <c r="X34" i="3"/>
  <c r="V34" i="3"/>
  <c r="N34" i="3"/>
  <c r="Z33" i="3"/>
  <c r="AA33" i="3" s="1"/>
  <c r="Y33" i="3"/>
  <c r="X33" i="3"/>
  <c r="N33" i="3"/>
  <c r="V33" i="3" s="1"/>
  <c r="Z32" i="3"/>
  <c r="AA32" i="3" s="1"/>
  <c r="Y32" i="3"/>
  <c r="X32" i="3"/>
  <c r="N32" i="3"/>
  <c r="V32" i="3" s="1"/>
  <c r="Z31" i="3"/>
  <c r="AA31" i="3" s="1"/>
  <c r="Y31" i="3"/>
  <c r="X31" i="3"/>
  <c r="N31" i="3"/>
  <c r="V31" i="3" s="1"/>
  <c r="AA30" i="3"/>
  <c r="Z30" i="3"/>
  <c r="Y30" i="3"/>
  <c r="X30" i="3"/>
  <c r="V30" i="3"/>
  <c r="N30" i="3"/>
  <c r="Z29" i="3"/>
  <c r="AA29" i="3" s="1"/>
  <c r="Y29" i="3"/>
  <c r="X29" i="3"/>
  <c r="V29" i="3"/>
  <c r="N29" i="3"/>
  <c r="Z28" i="3"/>
  <c r="AA28" i="3" s="1"/>
  <c r="Y28" i="3"/>
  <c r="X28" i="3"/>
  <c r="N28" i="3"/>
  <c r="V28" i="3" s="1"/>
  <c r="Z27" i="3"/>
  <c r="AA27" i="3" s="1"/>
  <c r="Y27" i="3"/>
  <c r="X27" i="3"/>
  <c r="N27" i="3"/>
  <c r="V27" i="3" s="1"/>
  <c r="AA26" i="3"/>
  <c r="Z26" i="3"/>
  <c r="Y26" i="3"/>
  <c r="X26" i="3"/>
  <c r="N26" i="3"/>
  <c r="V26" i="3" s="1"/>
  <c r="AA25" i="3"/>
  <c r="Z25" i="3"/>
  <c r="Y25" i="3"/>
  <c r="X25" i="3"/>
  <c r="V25" i="3"/>
  <c r="N25" i="3"/>
  <c r="Z24" i="3"/>
  <c r="AA24" i="3" s="1"/>
  <c r="Y24" i="3"/>
  <c r="X24" i="3"/>
  <c r="V24" i="3"/>
  <c r="N24" i="3"/>
  <c r="Z23" i="3"/>
  <c r="AA23" i="3" s="1"/>
  <c r="Y23" i="3"/>
  <c r="X23" i="3"/>
  <c r="N23" i="3"/>
  <c r="V23" i="3" s="1"/>
  <c r="Z22" i="3"/>
  <c r="AA22" i="3" s="1"/>
  <c r="Y22" i="3"/>
  <c r="X22" i="3"/>
  <c r="N22" i="3"/>
  <c r="V22" i="3" s="1"/>
  <c r="AA21" i="3"/>
  <c r="Z21" i="3"/>
  <c r="Y21" i="3"/>
  <c r="X21" i="3"/>
  <c r="V21" i="3"/>
  <c r="N21" i="3"/>
  <c r="AA20" i="3"/>
  <c r="Z20" i="3"/>
  <c r="Y20" i="3"/>
  <c r="X20" i="3"/>
  <c r="V20" i="3"/>
  <c r="N20" i="3"/>
  <c r="Z19" i="3"/>
  <c r="AA19" i="3" s="1"/>
  <c r="Y19" i="3"/>
  <c r="X19" i="3"/>
  <c r="V19" i="3"/>
  <c r="N19" i="3"/>
  <c r="Z18" i="3"/>
  <c r="AA18" i="3" s="1"/>
  <c r="Y18" i="3"/>
  <c r="X18" i="3"/>
  <c r="V18" i="3"/>
  <c r="N18" i="3"/>
  <c r="Z17" i="3"/>
  <c r="AA17" i="3" s="1"/>
  <c r="Y17" i="3"/>
  <c r="X17" i="3"/>
  <c r="N17" i="3"/>
  <c r="V17" i="3" s="1"/>
  <c r="AA16" i="3"/>
  <c r="Z16" i="3"/>
  <c r="Y16" i="3"/>
  <c r="X16" i="3"/>
  <c r="N16" i="3"/>
  <c r="V16" i="3" s="1"/>
  <c r="AA15" i="3"/>
  <c r="Z15" i="3"/>
  <c r="Y15" i="3"/>
  <c r="X15" i="3"/>
  <c r="N15" i="3"/>
  <c r="V15" i="3" s="1"/>
  <c r="AA14" i="3"/>
  <c r="Z14" i="3"/>
  <c r="Y14" i="3"/>
  <c r="X14" i="3"/>
  <c r="V14" i="3"/>
  <c r="N14" i="3"/>
  <c r="Z13" i="3"/>
  <c r="AA13" i="3" s="1"/>
  <c r="Y13" i="3"/>
  <c r="X13" i="3"/>
  <c r="N13" i="3"/>
  <c r="V13" i="3" s="1"/>
  <c r="Z12" i="3"/>
  <c r="AA12" i="3" s="1"/>
  <c r="Y12" i="3"/>
  <c r="X12" i="3"/>
  <c r="N12" i="3"/>
  <c r="V12" i="3" s="1"/>
  <c r="Z11" i="3"/>
  <c r="AA11" i="3" s="1"/>
  <c r="Y11" i="3"/>
  <c r="X11" i="3"/>
  <c r="N11" i="3"/>
  <c r="V11" i="3" s="1"/>
  <c r="AA10" i="3"/>
  <c r="Z10" i="3"/>
  <c r="Y10" i="3"/>
  <c r="X10" i="3"/>
  <c r="V10" i="3"/>
  <c r="N10" i="3"/>
  <c r="Z9" i="3"/>
  <c r="AA9" i="3" s="1"/>
  <c r="Y9" i="3"/>
  <c r="X9" i="3"/>
  <c r="V9" i="3"/>
  <c r="N9" i="3"/>
  <c r="Z8" i="3"/>
  <c r="AA8" i="3" s="1"/>
  <c r="Y8" i="3"/>
  <c r="X8" i="3"/>
  <c r="N8" i="3"/>
  <c r="V8" i="3" s="1"/>
  <c r="Z7" i="3"/>
  <c r="AA7" i="3" s="1"/>
  <c r="Y7" i="3"/>
  <c r="X7" i="3"/>
  <c r="N7" i="3"/>
  <c r="V7" i="3" s="1"/>
  <c r="AA6" i="3"/>
  <c r="Z6" i="3"/>
  <c r="Y6" i="3"/>
  <c r="X6" i="3"/>
  <c r="N6" i="3"/>
  <c r="V6" i="3" s="1"/>
  <c r="AA5" i="3"/>
  <c r="Z5" i="3"/>
  <c r="Y5" i="3"/>
  <c r="X5" i="3"/>
  <c r="N5" i="3"/>
  <c r="V5" i="3" s="1"/>
  <c r="Z4" i="3"/>
  <c r="AA4" i="3" s="1"/>
  <c r="Y4" i="3"/>
  <c r="X4" i="3"/>
  <c r="V4" i="3"/>
  <c r="N4" i="3"/>
  <c r="Z3" i="3"/>
  <c r="AA3" i="3" s="1"/>
  <c r="Y3" i="3"/>
  <c r="X3" i="3"/>
  <c r="N3" i="3"/>
  <c r="V3" i="3" s="1"/>
  <c r="AA263" i="5"/>
  <c r="Z263" i="5"/>
  <c r="Y263" i="5"/>
  <c r="X263" i="5"/>
  <c r="AA262" i="5"/>
  <c r="Z262" i="5"/>
  <c r="Y262" i="5"/>
  <c r="X262" i="5"/>
  <c r="AA261" i="5"/>
  <c r="Z261" i="5"/>
  <c r="Y261" i="5"/>
  <c r="X261" i="5"/>
  <c r="AA260" i="5"/>
  <c r="Z260" i="5"/>
  <c r="Y260" i="5"/>
  <c r="X260" i="5"/>
  <c r="AA259" i="5"/>
  <c r="Z259" i="5"/>
  <c r="Y259" i="5"/>
  <c r="X259" i="5"/>
  <c r="AA258" i="5"/>
  <c r="Z258" i="5"/>
  <c r="Y258" i="5"/>
  <c r="X258" i="5"/>
  <c r="AA257" i="5"/>
  <c r="Z257" i="5"/>
  <c r="Y257" i="5"/>
  <c r="X257" i="5"/>
  <c r="AA256" i="5"/>
  <c r="Z256" i="5"/>
  <c r="Y256" i="5"/>
  <c r="X256" i="5"/>
  <c r="AA255" i="5"/>
  <c r="Z255" i="5"/>
  <c r="Y255" i="5"/>
  <c r="X255" i="5"/>
  <c r="AA254" i="5"/>
  <c r="Z254" i="5"/>
  <c r="Y254" i="5"/>
  <c r="X254" i="5"/>
  <c r="AA253" i="5"/>
  <c r="Z253" i="5"/>
  <c r="Y253" i="5"/>
  <c r="X253" i="5"/>
  <c r="AA252" i="5"/>
  <c r="Z252" i="5"/>
  <c r="Y252" i="5"/>
  <c r="X252" i="5"/>
  <c r="AA251" i="5"/>
  <c r="Z251" i="5"/>
  <c r="Y251" i="5"/>
  <c r="X251" i="5"/>
  <c r="AA250" i="5"/>
  <c r="Z250" i="5"/>
  <c r="Y250" i="5"/>
  <c r="X250" i="5"/>
  <c r="AA249" i="5"/>
  <c r="Z249" i="5"/>
  <c r="Y249" i="5"/>
  <c r="X249" i="5"/>
  <c r="AA248" i="5"/>
  <c r="Z248" i="5"/>
  <c r="Y248" i="5"/>
  <c r="X248" i="5"/>
  <c r="AA247" i="5"/>
  <c r="Z247" i="5"/>
  <c r="Y247" i="5"/>
  <c r="X247" i="5"/>
  <c r="AA246" i="5"/>
  <c r="Z246" i="5"/>
  <c r="Y246" i="5"/>
  <c r="X246" i="5"/>
  <c r="AA245" i="5"/>
  <c r="Z245" i="5"/>
  <c r="Y245" i="5"/>
  <c r="X245" i="5"/>
  <c r="AA244" i="5"/>
  <c r="Z244" i="5"/>
  <c r="Y244" i="5"/>
  <c r="X244" i="5"/>
  <c r="AA243" i="5"/>
  <c r="Z243" i="5"/>
  <c r="Y243" i="5"/>
  <c r="X243" i="5"/>
  <c r="AA242" i="5"/>
  <c r="Z242" i="5"/>
  <c r="Y242" i="5"/>
  <c r="X242" i="5"/>
  <c r="AA241" i="5"/>
  <c r="Z241" i="5"/>
  <c r="Y241" i="5"/>
  <c r="X241" i="5"/>
  <c r="AA240" i="5"/>
  <c r="Z240" i="5"/>
  <c r="Y240" i="5"/>
  <c r="X240" i="5"/>
  <c r="AA239" i="5"/>
  <c r="Z239" i="5"/>
  <c r="Y239" i="5"/>
  <c r="X239" i="5"/>
  <c r="AA238" i="5"/>
  <c r="Z238" i="5"/>
  <c r="Y238" i="5"/>
  <c r="X238" i="5"/>
  <c r="AA237" i="5"/>
  <c r="Z237" i="5"/>
  <c r="Y237" i="5"/>
  <c r="X237" i="5"/>
  <c r="AA236" i="5"/>
  <c r="Z236" i="5"/>
  <c r="Y236" i="5"/>
  <c r="X236" i="5"/>
  <c r="AA235" i="5"/>
  <c r="Z235" i="5"/>
  <c r="Y235" i="5"/>
  <c r="X235" i="5"/>
  <c r="AA234" i="5"/>
  <c r="Z234" i="5"/>
  <c r="Y234" i="5"/>
  <c r="X234" i="5"/>
  <c r="AA233" i="5"/>
  <c r="Z233" i="5"/>
  <c r="Y233" i="5"/>
  <c r="X233" i="5"/>
  <c r="AA232" i="5"/>
  <c r="Z232" i="5"/>
  <c r="Y232" i="5"/>
  <c r="X232" i="5"/>
  <c r="AA231" i="5"/>
  <c r="Z231" i="5"/>
  <c r="Y231" i="5"/>
  <c r="X231" i="5"/>
  <c r="AA230" i="5"/>
  <c r="Z230" i="5"/>
  <c r="Y230" i="5"/>
  <c r="X230" i="5"/>
  <c r="AA229" i="5"/>
  <c r="Z229" i="5"/>
  <c r="Y229" i="5"/>
  <c r="X229" i="5"/>
  <c r="AA228" i="5"/>
  <c r="Z228" i="5"/>
  <c r="Y228" i="5"/>
  <c r="X228" i="5"/>
  <c r="AA227" i="5"/>
  <c r="Z227" i="5"/>
  <c r="Y227" i="5"/>
  <c r="X227" i="5"/>
  <c r="AA226" i="5"/>
  <c r="Z226" i="5"/>
  <c r="Y226" i="5"/>
  <c r="X226" i="5"/>
  <c r="AA225" i="5"/>
  <c r="Z225" i="5"/>
  <c r="Y225" i="5"/>
  <c r="X225" i="5"/>
  <c r="AA224" i="5"/>
  <c r="Z224" i="5"/>
  <c r="Y224" i="5"/>
  <c r="X224" i="5"/>
  <c r="AA223" i="5"/>
  <c r="Z223" i="5"/>
  <c r="Y223" i="5"/>
  <c r="X223" i="5"/>
  <c r="AA222" i="5"/>
  <c r="Z222" i="5"/>
  <c r="Y222" i="5"/>
  <c r="X222" i="5"/>
  <c r="AA221" i="5"/>
  <c r="Z221" i="5"/>
  <c r="Y221" i="5"/>
  <c r="X221" i="5"/>
  <c r="AA220" i="5"/>
  <c r="Z220" i="5"/>
  <c r="Y220" i="5"/>
  <c r="X220" i="5"/>
  <c r="AA219" i="5"/>
  <c r="Z219" i="5"/>
  <c r="Y219" i="5"/>
  <c r="X219" i="5"/>
  <c r="AA218" i="5"/>
  <c r="Z218" i="5"/>
  <c r="Y218" i="5"/>
  <c r="X218" i="5"/>
  <c r="AA217" i="5"/>
  <c r="Z217" i="5"/>
  <c r="Y217" i="5"/>
  <c r="X217" i="5"/>
  <c r="AA216" i="5"/>
  <c r="Z216" i="5"/>
  <c r="Y216" i="5"/>
  <c r="X216" i="5"/>
  <c r="AA215" i="5"/>
  <c r="Z215" i="5"/>
  <c r="Y215" i="5"/>
  <c r="X215" i="5"/>
  <c r="AA214" i="5"/>
  <c r="Z214" i="5"/>
  <c r="Y214" i="5"/>
  <c r="X214" i="5"/>
  <c r="AA213" i="5"/>
  <c r="Z213" i="5"/>
  <c r="Y213" i="5"/>
  <c r="X213" i="5"/>
  <c r="AA212" i="5"/>
  <c r="Z212" i="5"/>
  <c r="Y212" i="5"/>
  <c r="X212" i="5"/>
  <c r="AA211" i="5"/>
  <c r="Z211" i="5"/>
  <c r="Y211" i="5"/>
  <c r="X211" i="5"/>
  <c r="AA210" i="5"/>
  <c r="Z210" i="5"/>
  <c r="Y210" i="5"/>
  <c r="X210" i="5"/>
  <c r="AA209" i="5"/>
  <c r="Z209" i="5"/>
  <c r="Y209" i="5"/>
  <c r="X209" i="5"/>
  <c r="AA208" i="5"/>
  <c r="Z208" i="5"/>
  <c r="Y208" i="5"/>
  <c r="X208" i="5"/>
  <c r="AA207" i="5"/>
  <c r="Z207" i="5"/>
  <c r="Y207" i="5"/>
  <c r="X207" i="5"/>
  <c r="AA206" i="5"/>
  <c r="Z206" i="5"/>
  <c r="Y206" i="5"/>
  <c r="X206" i="5"/>
  <c r="AA205" i="5"/>
  <c r="Z205" i="5"/>
  <c r="Y205" i="5"/>
  <c r="X205" i="5"/>
  <c r="AA204" i="5"/>
  <c r="Z204" i="5"/>
  <c r="Y204" i="5"/>
  <c r="X204" i="5"/>
  <c r="AA203" i="5"/>
  <c r="Z203" i="5"/>
  <c r="Y203" i="5"/>
  <c r="X203" i="5"/>
  <c r="AA202" i="5"/>
  <c r="Z202" i="5"/>
  <c r="Y202" i="5"/>
  <c r="X202" i="5"/>
  <c r="AA201" i="5"/>
  <c r="Z201" i="5"/>
  <c r="Y201" i="5"/>
  <c r="X201" i="5"/>
  <c r="AA200" i="5"/>
  <c r="Z200" i="5"/>
  <c r="Y200" i="5"/>
  <c r="X200" i="5"/>
  <c r="AA199" i="5"/>
  <c r="Z199" i="5"/>
  <c r="Y199" i="5"/>
  <c r="X199" i="5"/>
  <c r="AA198" i="5"/>
  <c r="Z198" i="5"/>
  <c r="Y198" i="5"/>
  <c r="X198" i="5"/>
  <c r="AA197" i="5"/>
  <c r="Z197" i="5"/>
  <c r="Y197" i="5"/>
  <c r="X197" i="5"/>
  <c r="AA196" i="5"/>
  <c r="Z196" i="5"/>
  <c r="Y196" i="5"/>
  <c r="X196" i="5"/>
  <c r="AA195" i="5"/>
  <c r="Z195" i="5"/>
  <c r="Y195" i="5"/>
  <c r="X195" i="5"/>
  <c r="AA194" i="5"/>
  <c r="Z194" i="5"/>
  <c r="Y194" i="5"/>
  <c r="X194" i="5"/>
  <c r="AA193" i="5"/>
  <c r="Z193" i="5"/>
  <c r="Y193" i="5"/>
  <c r="X193" i="5"/>
  <c r="AA192" i="5"/>
  <c r="Z192" i="5"/>
  <c r="Y192" i="5"/>
  <c r="X192" i="5"/>
  <c r="AA191" i="5"/>
  <c r="Z191" i="5"/>
  <c r="Y191" i="5"/>
  <c r="X191" i="5"/>
  <c r="AA190" i="5"/>
  <c r="Z190" i="5"/>
  <c r="Y190" i="5"/>
  <c r="X190" i="5"/>
  <c r="AA189" i="5"/>
  <c r="Z189" i="5"/>
  <c r="Y189" i="5"/>
  <c r="X189" i="5"/>
  <c r="AA188" i="5"/>
  <c r="Z188" i="5"/>
  <c r="Y188" i="5"/>
  <c r="X188" i="5"/>
  <c r="AA187" i="5"/>
  <c r="Z187" i="5"/>
  <c r="Y187" i="5"/>
  <c r="X187" i="5"/>
  <c r="AA186" i="5"/>
  <c r="Z186" i="5"/>
  <c r="Y186" i="5"/>
  <c r="X186" i="5"/>
  <c r="AA185" i="5"/>
  <c r="Z185" i="5"/>
  <c r="Y185" i="5"/>
  <c r="X185" i="5"/>
  <c r="AA184" i="5"/>
  <c r="Z184" i="5"/>
  <c r="Y184" i="5"/>
  <c r="X184" i="5"/>
  <c r="AA183" i="5"/>
  <c r="Z183" i="5"/>
  <c r="Y183" i="5"/>
  <c r="X183" i="5"/>
  <c r="AA182" i="5"/>
  <c r="Z182" i="5"/>
  <c r="Y182" i="5"/>
  <c r="X182" i="5"/>
  <c r="AA181" i="5"/>
  <c r="Z181" i="5"/>
  <c r="Y181" i="5"/>
  <c r="X181" i="5"/>
  <c r="AA180" i="5"/>
  <c r="Z180" i="5"/>
  <c r="Y180" i="5"/>
  <c r="X180" i="5"/>
  <c r="AA179" i="5"/>
  <c r="Z179" i="5"/>
  <c r="Y179" i="5"/>
  <c r="X179" i="5"/>
  <c r="AA178" i="5"/>
  <c r="Z178" i="5"/>
  <c r="Y178" i="5"/>
  <c r="X178" i="5"/>
  <c r="AA177" i="5"/>
  <c r="Z177" i="5"/>
  <c r="Y177" i="5"/>
  <c r="X177" i="5"/>
  <c r="AA176" i="5"/>
  <c r="Z176" i="5"/>
  <c r="Y176" i="5"/>
  <c r="X176" i="5"/>
  <c r="AA175" i="5"/>
  <c r="Z175" i="5"/>
  <c r="Y175" i="5"/>
  <c r="X175" i="5"/>
  <c r="AA174" i="5"/>
  <c r="Z174" i="5"/>
  <c r="Y174" i="5"/>
  <c r="X174" i="5"/>
  <c r="AA173" i="5"/>
  <c r="Z173" i="5"/>
  <c r="Y173" i="5"/>
  <c r="X173" i="5"/>
  <c r="AA172" i="5"/>
  <c r="Z172" i="5"/>
  <c r="Y172" i="5"/>
  <c r="X172" i="5"/>
  <c r="AA171" i="5"/>
  <c r="Z171" i="5"/>
  <c r="Y171" i="5"/>
  <c r="X171" i="5"/>
  <c r="AA170" i="5"/>
  <c r="Z170" i="5"/>
  <c r="Y170" i="5"/>
  <c r="X170" i="5"/>
  <c r="AA169" i="5"/>
  <c r="Z169" i="5"/>
  <c r="Y169" i="5"/>
  <c r="X169" i="5"/>
  <c r="AA168" i="5"/>
  <c r="Z168" i="5"/>
  <c r="Y168" i="5"/>
  <c r="X168" i="5"/>
  <c r="AA167" i="5"/>
  <c r="Z167" i="5"/>
  <c r="Y167" i="5"/>
  <c r="X167" i="5"/>
  <c r="AA166" i="5"/>
  <c r="Z166" i="5"/>
  <c r="Y166" i="5"/>
  <c r="X166" i="5"/>
  <c r="AA165" i="5"/>
  <c r="Z165" i="5"/>
  <c r="Y165" i="5"/>
  <c r="X165" i="5"/>
  <c r="AA164" i="5"/>
  <c r="Z164" i="5"/>
  <c r="Y164" i="5"/>
  <c r="X164" i="5"/>
  <c r="AA163" i="5"/>
  <c r="Z163" i="5"/>
  <c r="Y163" i="5"/>
  <c r="X163" i="5"/>
  <c r="AA162" i="5"/>
  <c r="Z162" i="5"/>
  <c r="Y162" i="5"/>
  <c r="X162" i="5"/>
  <c r="AA161" i="5"/>
  <c r="Z161" i="5"/>
  <c r="Y161" i="5"/>
  <c r="X161" i="5"/>
  <c r="AA160" i="5"/>
  <c r="Z160" i="5"/>
  <c r="Y160" i="5"/>
  <c r="X160" i="5"/>
  <c r="AA159" i="5"/>
  <c r="Z159" i="5"/>
  <c r="Y159" i="5"/>
  <c r="X159" i="5"/>
  <c r="AA158" i="5"/>
  <c r="Z158" i="5"/>
  <c r="Y158" i="5"/>
  <c r="X158" i="5"/>
  <c r="AA157" i="5"/>
  <c r="Z157" i="5"/>
  <c r="Y157" i="5"/>
  <c r="X157" i="5"/>
  <c r="AA156" i="5"/>
  <c r="Z156" i="5"/>
  <c r="Y156" i="5"/>
  <c r="X156" i="5"/>
  <c r="AA155" i="5"/>
  <c r="Z155" i="5"/>
  <c r="Y155" i="5"/>
  <c r="X155" i="5"/>
  <c r="AA154" i="5"/>
  <c r="Z154" i="5"/>
  <c r="Y154" i="5"/>
  <c r="X154" i="5"/>
  <c r="AA153" i="5"/>
  <c r="Z153" i="5"/>
  <c r="Y153" i="5"/>
  <c r="X153" i="5"/>
  <c r="AA152" i="5"/>
  <c r="Z152" i="5"/>
  <c r="Y152" i="5"/>
  <c r="X152" i="5"/>
  <c r="AA151" i="5"/>
  <c r="Z151" i="5"/>
  <c r="Y151" i="5"/>
  <c r="X151" i="5"/>
  <c r="AA150" i="5"/>
  <c r="Z150" i="5"/>
  <c r="Y150" i="5"/>
  <c r="X150" i="5"/>
  <c r="AA149" i="5"/>
  <c r="Z149" i="5"/>
  <c r="Y149" i="5"/>
  <c r="X149" i="5"/>
  <c r="AA148" i="5"/>
  <c r="Z148" i="5"/>
  <c r="Y148" i="5"/>
  <c r="X148" i="5"/>
  <c r="AA147" i="5"/>
  <c r="Z147" i="5"/>
  <c r="Y147" i="5"/>
  <c r="X147" i="5"/>
  <c r="AA146" i="5"/>
  <c r="Z146" i="5"/>
  <c r="Y146" i="5"/>
  <c r="X146" i="5"/>
  <c r="AA145" i="5"/>
  <c r="Z145" i="5"/>
  <c r="Y145" i="5"/>
  <c r="X145" i="5"/>
  <c r="AA144" i="5"/>
  <c r="Z144" i="5"/>
  <c r="Y144" i="5"/>
  <c r="X144" i="5"/>
  <c r="AA143" i="5"/>
  <c r="Z143" i="5"/>
  <c r="Y143" i="5"/>
  <c r="X143" i="5"/>
  <c r="AA142" i="5"/>
  <c r="Z142" i="5"/>
  <c r="Y142" i="5"/>
  <c r="X142" i="5"/>
  <c r="AA141" i="5"/>
  <c r="Z141" i="5"/>
  <c r="Y141" i="5"/>
  <c r="X141" i="5"/>
  <c r="AA140" i="5"/>
  <c r="Z140" i="5"/>
  <c r="Y140" i="5"/>
  <c r="X140" i="5"/>
  <c r="AA139" i="5"/>
  <c r="Z139" i="5"/>
  <c r="Y139" i="5"/>
  <c r="X139" i="5"/>
  <c r="AA138" i="5"/>
  <c r="Z138" i="5"/>
  <c r="Y138" i="5"/>
  <c r="X138" i="5"/>
  <c r="AA137" i="5"/>
  <c r="Z137" i="5"/>
  <c r="Y137" i="5"/>
  <c r="X137" i="5"/>
  <c r="AA136" i="5"/>
  <c r="Z136" i="5"/>
  <c r="Y136" i="5"/>
  <c r="X136" i="5"/>
  <c r="AA135" i="5"/>
  <c r="Z135" i="5"/>
  <c r="Y135" i="5"/>
  <c r="X135" i="5"/>
  <c r="AA134" i="5"/>
  <c r="Z134" i="5"/>
  <c r="Y134" i="5"/>
  <c r="X134" i="5"/>
  <c r="AA133" i="5"/>
  <c r="Z133" i="5"/>
  <c r="Y133" i="5"/>
  <c r="X133" i="5"/>
  <c r="AA132" i="5"/>
  <c r="Z132" i="5"/>
  <c r="Y132" i="5"/>
  <c r="X132" i="5"/>
  <c r="AA131" i="5"/>
  <c r="Z131" i="5"/>
  <c r="Y131" i="5"/>
  <c r="X131" i="5"/>
  <c r="AA130" i="5"/>
  <c r="Z130" i="5"/>
  <c r="Y130" i="5"/>
  <c r="X130" i="5"/>
  <c r="AA129" i="5"/>
  <c r="Z129" i="5"/>
  <c r="Y129" i="5"/>
  <c r="X129" i="5"/>
  <c r="AA128" i="5"/>
  <c r="Z128" i="5"/>
  <c r="Y128" i="5"/>
  <c r="X128" i="5"/>
  <c r="AA127" i="5"/>
  <c r="Z127" i="5"/>
  <c r="Y127" i="5"/>
  <c r="X127" i="5"/>
  <c r="AA126" i="5"/>
  <c r="Z126" i="5"/>
  <c r="Y126" i="5"/>
  <c r="X126" i="5"/>
  <c r="AA125" i="5"/>
  <c r="Z125" i="5"/>
  <c r="Y125" i="5"/>
  <c r="X125" i="5"/>
  <c r="AA124" i="5"/>
  <c r="Z124" i="5"/>
  <c r="Y124" i="5"/>
  <c r="X124" i="5"/>
  <c r="AA123" i="5"/>
  <c r="Z123" i="5"/>
  <c r="Y123" i="5"/>
  <c r="X123" i="5"/>
  <c r="AA122" i="5"/>
  <c r="Z122" i="5"/>
  <c r="Y122" i="5"/>
  <c r="X122" i="5"/>
  <c r="AA121" i="5"/>
  <c r="Z121" i="5"/>
  <c r="Y121" i="5"/>
  <c r="X121" i="5"/>
  <c r="AA120" i="5"/>
  <c r="Z120" i="5"/>
  <c r="Y120" i="5"/>
  <c r="X120" i="5"/>
  <c r="AA119" i="5"/>
  <c r="Z119" i="5"/>
  <c r="Y119" i="5"/>
  <c r="X119" i="5"/>
  <c r="AA118" i="5"/>
  <c r="Z118" i="5"/>
  <c r="Y118" i="5"/>
  <c r="X118" i="5"/>
  <c r="AA117" i="5"/>
  <c r="Z117" i="5"/>
  <c r="Y117" i="5"/>
  <c r="X117" i="5"/>
  <c r="AA116" i="5"/>
  <c r="Z116" i="5"/>
  <c r="Y116" i="5"/>
  <c r="X116" i="5"/>
  <c r="AA115" i="5"/>
  <c r="Z115" i="5"/>
  <c r="Y115" i="5"/>
  <c r="X115" i="5"/>
  <c r="AA114" i="5"/>
  <c r="Z114" i="5"/>
  <c r="Y114" i="5"/>
  <c r="X114" i="5"/>
  <c r="AA113" i="5"/>
  <c r="Z113" i="5"/>
  <c r="Y113" i="5"/>
  <c r="X113" i="5"/>
  <c r="AA112" i="5"/>
  <c r="Z112" i="5"/>
  <c r="Y112" i="5"/>
  <c r="X112" i="5"/>
  <c r="AA111" i="5"/>
  <c r="Z111" i="5"/>
  <c r="Y111" i="5"/>
  <c r="X111" i="5"/>
  <c r="AA110" i="5"/>
  <c r="Z110" i="5"/>
  <c r="Y110" i="5"/>
  <c r="X110" i="5"/>
  <c r="AA109" i="5"/>
  <c r="Z109" i="5"/>
  <c r="Y109" i="5"/>
  <c r="X109" i="5"/>
  <c r="AA108" i="5"/>
  <c r="Z108" i="5"/>
  <c r="Y108" i="5"/>
  <c r="X108" i="5"/>
  <c r="AA107" i="5"/>
  <c r="Z107" i="5"/>
  <c r="Y107" i="5"/>
  <c r="X107" i="5"/>
  <c r="AA106" i="5"/>
  <c r="Z106" i="5"/>
  <c r="Y106" i="5"/>
  <c r="X106" i="5"/>
  <c r="AA105" i="5"/>
  <c r="Z105" i="5"/>
  <c r="Y105" i="5"/>
  <c r="X105" i="5"/>
  <c r="AA104" i="5"/>
  <c r="Z104" i="5"/>
  <c r="Y104" i="5"/>
  <c r="X104" i="5"/>
  <c r="AA103" i="5"/>
  <c r="Z103" i="5"/>
  <c r="Y103" i="5"/>
  <c r="X103" i="5"/>
  <c r="AA102" i="5"/>
  <c r="Z102" i="5"/>
  <c r="Y102" i="5"/>
  <c r="X102" i="5"/>
  <c r="AA101" i="5"/>
  <c r="Z101" i="5"/>
  <c r="Y101" i="5"/>
  <c r="X101" i="5"/>
  <c r="AA100" i="5"/>
  <c r="Z100" i="5"/>
  <c r="Y100" i="5"/>
  <c r="X100" i="5"/>
  <c r="AA99" i="5"/>
  <c r="Z99" i="5"/>
  <c r="Y99" i="5"/>
  <c r="X99" i="5"/>
  <c r="AA98" i="5"/>
  <c r="Z98" i="5"/>
  <c r="Y98" i="5"/>
  <c r="X98" i="5"/>
  <c r="AA97" i="5"/>
  <c r="Z97" i="5"/>
  <c r="Y97" i="5"/>
  <c r="X97" i="5"/>
  <c r="AA96" i="5"/>
  <c r="Z96" i="5"/>
  <c r="Y96" i="5"/>
  <c r="X96" i="5"/>
  <c r="AA95" i="5"/>
  <c r="Z95" i="5"/>
  <c r="Y95" i="5"/>
  <c r="X95" i="5"/>
  <c r="AA94" i="5"/>
  <c r="Z94" i="5"/>
  <c r="Y94" i="5"/>
  <c r="X94" i="5"/>
  <c r="AA93" i="5"/>
  <c r="Z93" i="5"/>
  <c r="Y93" i="5"/>
  <c r="X93" i="5"/>
  <c r="AA92" i="5"/>
  <c r="Z92" i="5"/>
  <c r="Y92" i="5"/>
  <c r="X92" i="5"/>
  <c r="AA91" i="5"/>
  <c r="Z91" i="5"/>
  <c r="Y91" i="5"/>
  <c r="X91" i="5"/>
  <c r="AA90" i="5"/>
  <c r="Z90" i="5"/>
  <c r="Y90" i="5"/>
  <c r="X90" i="5"/>
  <c r="AA89" i="5"/>
  <c r="Z89" i="5"/>
  <c r="Y89" i="5"/>
  <c r="X89" i="5"/>
  <c r="AA88" i="5"/>
  <c r="Z88" i="5"/>
  <c r="Y88" i="5"/>
  <c r="X88" i="5"/>
  <c r="AA87" i="5"/>
  <c r="Z87" i="5"/>
  <c r="Y87" i="5"/>
  <c r="X87" i="5"/>
  <c r="AA86" i="5"/>
  <c r="Z86" i="5"/>
  <c r="Y86" i="5"/>
  <c r="X86" i="5"/>
  <c r="AA85" i="5"/>
  <c r="Z85" i="5"/>
  <c r="Y85" i="5"/>
  <c r="X85" i="5"/>
  <c r="AA84" i="5"/>
  <c r="Z84" i="5"/>
  <c r="Y84" i="5"/>
  <c r="X84" i="5"/>
  <c r="AA83" i="5"/>
  <c r="Z83" i="5"/>
  <c r="Y83" i="5"/>
  <c r="X83" i="5"/>
  <c r="AA82" i="5"/>
  <c r="Z82" i="5"/>
  <c r="Y82" i="5"/>
  <c r="X82" i="5"/>
  <c r="AA81" i="5"/>
  <c r="Z81" i="5"/>
  <c r="Y81" i="5"/>
  <c r="X81" i="5"/>
  <c r="AA80" i="5"/>
  <c r="Z80" i="5"/>
  <c r="Y80" i="5"/>
  <c r="X80" i="5"/>
  <c r="AA79" i="5"/>
  <c r="Z79" i="5"/>
  <c r="Y79" i="5"/>
  <c r="X79" i="5"/>
  <c r="AA78" i="5"/>
  <c r="Z78" i="5"/>
  <c r="Y78" i="5"/>
  <c r="X78" i="5"/>
  <c r="AA77" i="5"/>
  <c r="Z77" i="5"/>
  <c r="Y77" i="5"/>
  <c r="X77" i="5"/>
  <c r="AA76" i="5"/>
  <c r="Z76" i="5"/>
  <c r="Y76" i="5"/>
  <c r="X76" i="5"/>
  <c r="AA75" i="5"/>
  <c r="Z75" i="5"/>
  <c r="Y75" i="5"/>
  <c r="X75" i="5"/>
  <c r="AA74" i="5"/>
  <c r="Z74" i="5"/>
  <c r="Y74" i="5"/>
  <c r="X74" i="5"/>
  <c r="AA73" i="5"/>
  <c r="Z73" i="5"/>
  <c r="Y73" i="5"/>
  <c r="X73" i="5"/>
  <c r="AA72" i="5"/>
  <c r="Z72" i="5"/>
  <c r="Y72" i="5"/>
  <c r="X72" i="5"/>
  <c r="AA71" i="5"/>
  <c r="Z71" i="5"/>
  <c r="Y71" i="5"/>
  <c r="X71" i="5"/>
  <c r="AA70" i="5"/>
  <c r="Z70" i="5"/>
  <c r="Y70" i="5"/>
  <c r="X70" i="5"/>
  <c r="AA69" i="5"/>
  <c r="Z69" i="5"/>
  <c r="Y69" i="5"/>
  <c r="X69" i="5"/>
  <c r="AA68" i="5"/>
  <c r="Z68" i="5"/>
  <c r="Y68" i="5"/>
  <c r="X68" i="5"/>
  <c r="AA67" i="5"/>
  <c r="Z67" i="5"/>
  <c r="Y67" i="5"/>
  <c r="X67" i="5"/>
  <c r="AA66" i="5"/>
  <c r="Z66" i="5"/>
  <c r="Y66" i="5"/>
  <c r="X66" i="5"/>
  <c r="AA65" i="5"/>
  <c r="Z65" i="5"/>
  <c r="Y65" i="5"/>
  <c r="X65" i="5"/>
  <c r="AA64" i="5"/>
  <c r="Z64" i="5"/>
  <c r="Y64" i="5"/>
  <c r="X64" i="5"/>
  <c r="AA63" i="5"/>
  <c r="Z63" i="5"/>
  <c r="Y63" i="5"/>
  <c r="X63" i="5"/>
  <c r="AA62" i="5"/>
  <c r="Z62" i="5"/>
  <c r="Y62" i="5"/>
  <c r="X62" i="5"/>
  <c r="AA61" i="5"/>
  <c r="Z61" i="5"/>
  <c r="Y61" i="5"/>
  <c r="X61" i="5"/>
  <c r="AA60" i="5"/>
  <c r="Z60" i="5"/>
  <c r="Y60" i="5"/>
  <c r="X60" i="5"/>
  <c r="AA59" i="5"/>
  <c r="Z59" i="5"/>
  <c r="Y59" i="5"/>
  <c r="X59" i="5"/>
  <c r="AA58" i="5"/>
  <c r="Z58" i="5"/>
  <c r="Y58" i="5"/>
  <c r="X58" i="5"/>
  <c r="AA57" i="5"/>
  <c r="Z57" i="5"/>
  <c r="Y57" i="5"/>
  <c r="X57" i="5"/>
  <c r="AA56" i="5"/>
  <c r="Z56" i="5"/>
  <c r="Y56" i="5"/>
  <c r="X56" i="5"/>
  <c r="AA55" i="5"/>
  <c r="Z55" i="5"/>
  <c r="Y55" i="5"/>
  <c r="X55" i="5"/>
  <c r="AA54" i="5"/>
  <c r="Z54" i="5"/>
  <c r="Y54" i="5"/>
  <c r="X54" i="5"/>
  <c r="AA53" i="5"/>
  <c r="Z53" i="5"/>
  <c r="Y53" i="5"/>
  <c r="X53" i="5"/>
  <c r="AA52" i="5"/>
  <c r="Z52" i="5"/>
  <c r="Y52" i="5"/>
  <c r="X52" i="5"/>
  <c r="AA51" i="5"/>
  <c r="Z51" i="5"/>
  <c r="Y51" i="5"/>
  <c r="X51" i="5"/>
  <c r="AA50" i="5"/>
  <c r="Z50" i="5"/>
  <c r="Y50" i="5"/>
  <c r="X50" i="5"/>
  <c r="AA49" i="5"/>
  <c r="Z49" i="5"/>
  <c r="Y49" i="5"/>
  <c r="X49" i="5"/>
  <c r="AA48" i="5"/>
  <c r="Z48" i="5"/>
  <c r="Y48" i="5"/>
  <c r="X48" i="5"/>
  <c r="AA47" i="5"/>
  <c r="Z47" i="5"/>
  <c r="Y47" i="5"/>
  <c r="X47" i="5"/>
  <c r="AA46" i="5"/>
  <c r="Z46" i="5"/>
  <c r="Y46" i="5"/>
  <c r="X46" i="5"/>
  <c r="AA45" i="5"/>
  <c r="Z45" i="5"/>
  <c r="Y45" i="5"/>
  <c r="X45" i="5"/>
  <c r="AA44" i="5"/>
  <c r="Z44" i="5"/>
  <c r="Y44" i="5"/>
  <c r="X44" i="5"/>
  <c r="AA43" i="5"/>
  <c r="Z43" i="5"/>
  <c r="Y43" i="5"/>
  <c r="X43" i="5"/>
  <c r="AA42" i="5"/>
  <c r="Z42" i="5"/>
  <c r="Y42" i="5"/>
  <c r="X42" i="5"/>
  <c r="AA41" i="5"/>
  <c r="Z41" i="5"/>
  <c r="Y41" i="5"/>
  <c r="X41" i="5"/>
  <c r="AA40" i="5"/>
  <c r="Z40" i="5"/>
  <c r="Y40" i="5"/>
  <c r="X40" i="5"/>
  <c r="AA39" i="5"/>
  <c r="Z39" i="5"/>
  <c r="Y39" i="5"/>
  <c r="X39" i="5"/>
  <c r="AA38" i="5"/>
  <c r="Z38" i="5"/>
  <c r="Y38" i="5"/>
  <c r="X38" i="5"/>
  <c r="AA37" i="5"/>
  <c r="Z37" i="5"/>
  <c r="Y37" i="5"/>
  <c r="X37" i="5"/>
  <c r="AA36" i="5"/>
  <c r="Z36" i="5"/>
  <c r="Y36" i="5"/>
  <c r="X36" i="5"/>
  <c r="AA35" i="5"/>
  <c r="Z35" i="5"/>
  <c r="Y35" i="5"/>
  <c r="X35" i="5"/>
  <c r="AA34" i="5"/>
  <c r="Z34" i="5"/>
  <c r="Y34" i="5"/>
  <c r="X34" i="5"/>
  <c r="AA33" i="5"/>
  <c r="Z33" i="5"/>
  <c r="Y33" i="5"/>
  <c r="X33" i="5"/>
  <c r="AA32" i="5"/>
  <c r="Z32" i="5"/>
  <c r="Y32" i="5"/>
  <c r="X32" i="5"/>
  <c r="AA31" i="5"/>
  <c r="Z31" i="5"/>
  <c r="Y31" i="5"/>
  <c r="X31" i="5"/>
  <c r="AA30" i="5"/>
  <c r="Z30" i="5"/>
  <c r="Y30" i="5"/>
  <c r="X30" i="5"/>
  <c r="AA29" i="5"/>
  <c r="Z29" i="5"/>
  <c r="Y29" i="5"/>
  <c r="X29" i="5"/>
  <c r="AA28" i="5"/>
  <c r="Z28" i="5"/>
  <c r="Y28" i="5"/>
  <c r="X28" i="5"/>
  <c r="AA27" i="5"/>
  <c r="Z27" i="5"/>
  <c r="Y27" i="5"/>
  <c r="X27" i="5"/>
  <c r="AA26" i="5"/>
  <c r="Z26" i="5"/>
  <c r="Y26" i="5"/>
  <c r="X26" i="5"/>
  <c r="AA25" i="5"/>
  <c r="Z25" i="5"/>
  <c r="Y25" i="5"/>
  <c r="X25" i="5"/>
  <c r="AA24" i="5"/>
  <c r="Z24" i="5"/>
  <c r="Y24" i="5"/>
  <c r="X24" i="5"/>
  <c r="AA23" i="5"/>
  <c r="Z23" i="5"/>
  <c r="Y23" i="5"/>
  <c r="X23" i="5"/>
  <c r="AA22" i="5"/>
  <c r="Z22" i="5"/>
  <c r="Y22" i="5"/>
  <c r="X22" i="5"/>
  <c r="AA21" i="5"/>
  <c r="Z21" i="5"/>
  <c r="Y21" i="5"/>
  <c r="X21" i="5"/>
  <c r="AA20" i="5"/>
  <c r="Z20" i="5"/>
  <c r="Y20" i="5"/>
  <c r="X20" i="5"/>
  <c r="AA19" i="5"/>
  <c r="Z19" i="5"/>
  <c r="Y19" i="5"/>
  <c r="X19" i="5"/>
  <c r="AA18" i="5"/>
  <c r="Z18" i="5"/>
  <c r="Y18" i="5"/>
  <c r="X18" i="5"/>
  <c r="AA17" i="5"/>
  <c r="Z17" i="5"/>
  <c r="Y17" i="5"/>
  <c r="X17" i="5"/>
  <c r="AA16" i="5"/>
  <c r="Z16" i="5"/>
  <c r="Y16" i="5"/>
  <c r="X16" i="5"/>
  <c r="AA15" i="5"/>
  <c r="Z15" i="5"/>
  <c r="Y15" i="5"/>
  <c r="X15" i="5"/>
  <c r="AA14" i="5"/>
  <c r="Z14" i="5"/>
  <c r="Y14" i="5"/>
  <c r="X14" i="5"/>
  <c r="AA13" i="5"/>
  <c r="Z13" i="5"/>
  <c r="Y13" i="5"/>
  <c r="X13" i="5"/>
  <c r="AA12" i="5"/>
  <c r="Z12" i="5"/>
  <c r="Y12" i="5"/>
  <c r="X12" i="5"/>
  <c r="AA11" i="5"/>
  <c r="Z11" i="5"/>
  <c r="Y11" i="5"/>
  <c r="X11" i="5"/>
  <c r="AA10" i="5"/>
  <c r="Z10" i="5"/>
  <c r="Y10" i="5"/>
  <c r="X10" i="5"/>
  <c r="AA9" i="5"/>
  <c r="Z9" i="5"/>
  <c r="Y9" i="5"/>
  <c r="X9" i="5"/>
  <c r="AA8" i="5"/>
  <c r="Z8" i="5"/>
  <c r="Y8" i="5"/>
  <c r="X8" i="5"/>
  <c r="AA7" i="5"/>
  <c r="Z7" i="5"/>
  <c r="Y7" i="5"/>
  <c r="X7" i="5"/>
  <c r="AA6" i="5"/>
  <c r="Z6" i="5"/>
  <c r="Y6" i="5"/>
  <c r="X6" i="5"/>
  <c r="AA5" i="5"/>
  <c r="Z5" i="5"/>
  <c r="Y5" i="5"/>
  <c r="X5" i="5"/>
  <c r="AA4" i="5"/>
  <c r="Z4" i="5"/>
  <c r="Y4" i="5"/>
  <c r="X4" i="5"/>
  <c r="AA3" i="5"/>
  <c r="Z3" i="5"/>
  <c r="Y3" i="5"/>
  <c r="X3" i="5"/>
  <c r="AA90" i="7"/>
  <c r="Z90" i="7"/>
  <c r="Y90" i="7"/>
  <c r="X90" i="7"/>
  <c r="AA89" i="7"/>
  <c r="Z89" i="7"/>
  <c r="Y89" i="7"/>
  <c r="X89" i="7"/>
  <c r="AA88" i="7"/>
  <c r="Z88" i="7"/>
  <c r="Y88" i="7"/>
  <c r="X88" i="7"/>
  <c r="AA87" i="7"/>
  <c r="Z87" i="7"/>
  <c r="Y87" i="7"/>
  <c r="X87" i="7"/>
  <c r="AA86" i="7"/>
  <c r="Z86" i="7"/>
  <c r="Y86" i="7"/>
  <c r="X86" i="7"/>
  <c r="AA85" i="7"/>
  <c r="Z85" i="7"/>
  <c r="Y85" i="7"/>
  <c r="X85" i="7"/>
  <c r="AA84" i="7"/>
  <c r="Z84" i="7"/>
  <c r="Y84" i="7"/>
  <c r="X84" i="7"/>
  <c r="AA83" i="7"/>
  <c r="Z83" i="7"/>
  <c r="Y83" i="7"/>
  <c r="X83" i="7"/>
  <c r="AA82" i="7"/>
  <c r="Z82" i="7"/>
  <c r="Y82" i="7"/>
  <c r="X82" i="7"/>
  <c r="AA81" i="7"/>
  <c r="Z81" i="7"/>
  <c r="Y81" i="7"/>
  <c r="X81" i="7"/>
  <c r="AA80" i="7"/>
  <c r="Z80" i="7"/>
  <c r="Y80" i="7"/>
  <c r="X80" i="7"/>
  <c r="AA79" i="7"/>
  <c r="Z79" i="7"/>
  <c r="Y79" i="7"/>
  <c r="X79" i="7"/>
  <c r="AA78" i="7"/>
  <c r="Z78" i="7"/>
  <c r="Y78" i="7"/>
  <c r="X78" i="7"/>
  <c r="AA77" i="7"/>
  <c r="Z77" i="7"/>
  <c r="Y77" i="7"/>
  <c r="X77" i="7"/>
  <c r="AA76" i="7"/>
  <c r="Z76" i="7"/>
  <c r="Y76" i="7"/>
  <c r="X76" i="7"/>
  <c r="AA75" i="7"/>
  <c r="Z75" i="7"/>
  <c r="Y75" i="7"/>
  <c r="X75" i="7"/>
  <c r="AA74" i="7"/>
  <c r="Z74" i="7"/>
  <c r="Y74" i="7"/>
  <c r="X74" i="7"/>
  <c r="AA73" i="7"/>
  <c r="Z73" i="7"/>
  <c r="Y73" i="7"/>
  <c r="X73" i="7"/>
  <c r="AA72" i="7"/>
  <c r="Z72" i="7"/>
  <c r="Y72" i="7"/>
  <c r="X72" i="7"/>
  <c r="AA71" i="7"/>
  <c r="Z71" i="7"/>
  <c r="Y71" i="7"/>
  <c r="X71" i="7"/>
  <c r="AA70" i="7"/>
  <c r="Z70" i="7"/>
  <c r="Y70" i="7"/>
  <c r="X70" i="7"/>
  <c r="AA69" i="7"/>
  <c r="Z69" i="7"/>
  <c r="Y69" i="7"/>
  <c r="X69" i="7"/>
  <c r="AA68" i="7"/>
  <c r="Z68" i="7"/>
  <c r="Y68" i="7"/>
  <c r="X68" i="7"/>
  <c r="AA67" i="7"/>
  <c r="Z67" i="7"/>
  <c r="Y67" i="7"/>
  <c r="X67" i="7"/>
  <c r="AA66" i="7"/>
  <c r="Z66" i="7"/>
  <c r="Y66" i="7"/>
  <c r="X66" i="7"/>
  <c r="AA65" i="7"/>
  <c r="Z65" i="7"/>
  <c r="Y65" i="7"/>
  <c r="X65" i="7"/>
  <c r="AA64" i="7"/>
  <c r="Z64" i="7"/>
  <c r="Y64" i="7"/>
  <c r="X64" i="7"/>
  <c r="AA63" i="7"/>
  <c r="Z63" i="7"/>
  <c r="Y63" i="7"/>
  <c r="X63" i="7"/>
  <c r="AA62" i="7"/>
  <c r="Z62" i="7"/>
  <c r="Y62" i="7"/>
  <c r="X62" i="7"/>
  <c r="AA61" i="7"/>
  <c r="Z61" i="7"/>
  <c r="Y61" i="7"/>
  <c r="X61" i="7"/>
  <c r="AA60" i="7"/>
  <c r="Z60" i="7"/>
  <c r="Y60" i="7"/>
  <c r="X60" i="7"/>
  <c r="AA59" i="7"/>
  <c r="Z59" i="7"/>
  <c r="Y59" i="7"/>
  <c r="X59" i="7"/>
  <c r="AA58" i="7"/>
  <c r="Z58" i="7"/>
  <c r="Y58" i="7"/>
  <c r="X58" i="7"/>
  <c r="AA57" i="7"/>
  <c r="Z57" i="7"/>
  <c r="Y57" i="7"/>
  <c r="X57" i="7"/>
  <c r="AA56" i="7"/>
  <c r="Z56" i="7"/>
  <c r="Y56" i="7"/>
  <c r="X56" i="7"/>
  <c r="AA55" i="7"/>
  <c r="Z55" i="7"/>
  <c r="Y55" i="7"/>
  <c r="X55" i="7"/>
  <c r="AA54" i="7"/>
  <c r="Z54" i="7"/>
  <c r="Y54" i="7"/>
  <c r="X54" i="7"/>
  <c r="AA53" i="7"/>
  <c r="Z53" i="7"/>
  <c r="Y53" i="7"/>
  <c r="X53" i="7"/>
  <c r="AA52" i="7"/>
  <c r="Z52" i="7"/>
  <c r="Y52" i="7"/>
  <c r="X52" i="7"/>
  <c r="AA51" i="7"/>
  <c r="Z51" i="7"/>
  <c r="Y51" i="7"/>
  <c r="X51" i="7"/>
  <c r="AA50" i="7"/>
  <c r="Z50" i="7"/>
  <c r="Y50" i="7"/>
  <c r="X50" i="7"/>
  <c r="AA49" i="7"/>
  <c r="Z49" i="7"/>
  <c r="Y49" i="7"/>
  <c r="X49" i="7"/>
  <c r="AA48" i="7"/>
  <c r="Z48" i="7"/>
  <c r="Y48" i="7"/>
  <c r="X48" i="7"/>
  <c r="AA47" i="7"/>
  <c r="Z47" i="7"/>
  <c r="Y47" i="7"/>
  <c r="X47" i="7"/>
  <c r="AA46" i="7"/>
  <c r="Z46" i="7"/>
  <c r="Y46" i="7"/>
  <c r="X46" i="7"/>
  <c r="AA45" i="7"/>
  <c r="Z45" i="7"/>
  <c r="Y45" i="7"/>
  <c r="X45" i="7"/>
  <c r="AA44" i="7"/>
  <c r="Z44" i="7"/>
  <c r="Y44" i="7"/>
  <c r="X44" i="7"/>
  <c r="AA43" i="7"/>
  <c r="Z43" i="7"/>
  <c r="Y43" i="7"/>
  <c r="X43" i="7"/>
  <c r="AA42" i="7"/>
  <c r="Z42" i="7"/>
  <c r="Y42" i="7"/>
  <c r="X42" i="7"/>
  <c r="AA41" i="7"/>
  <c r="Z41" i="7"/>
  <c r="Y41" i="7"/>
  <c r="X41" i="7"/>
  <c r="AA40" i="7"/>
  <c r="Z40" i="7"/>
  <c r="Y40" i="7"/>
  <c r="X40" i="7"/>
  <c r="AA39" i="7"/>
  <c r="Z39" i="7"/>
  <c r="Y39" i="7"/>
  <c r="X39" i="7"/>
  <c r="AA38" i="7"/>
  <c r="Z38" i="7"/>
  <c r="Y38" i="7"/>
  <c r="X38" i="7"/>
  <c r="AA37" i="7"/>
  <c r="Z37" i="7"/>
  <c r="Y37" i="7"/>
  <c r="X37" i="7"/>
  <c r="AA36" i="7"/>
  <c r="Z36" i="7"/>
  <c r="Y36" i="7"/>
  <c r="X36" i="7"/>
  <c r="AA35" i="7"/>
  <c r="Z35" i="7"/>
  <c r="Y35" i="7"/>
  <c r="X35" i="7"/>
  <c r="AA34" i="7"/>
  <c r="Z34" i="7"/>
  <c r="Y34" i="7"/>
  <c r="X34" i="7"/>
  <c r="AA33" i="7"/>
  <c r="Z33" i="7"/>
  <c r="Y33" i="7"/>
  <c r="X33" i="7"/>
  <c r="AA32" i="7"/>
  <c r="Z32" i="7"/>
  <c r="Y32" i="7"/>
  <c r="X32" i="7"/>
  <c r="AA31" i="7"/>
  <c r="Z31" i="7"/>
  <c r="Y31" i="7"/>
  <c r="X31" i="7"/>
  <c r="AA30" i="7"/>
  <c r="Z30" i="7"/>
  <c r="Y30" i="7"/>
  <c r="X30" i="7"/>
  <c r="AA29" i="7"/>
  <c r="Z29" i="7"/>
  <c r="Y29" i="7"/>
  <c r="X29" i="7"/>
  <c r="AA28" i="7"/>
  <c r="Z28" i="7"/>
  <c r="Y28" i="7"/>
  <c r="X28" i="7"/>
  <c r="AA27" i="7"/>
  <c r="Z27" i="7"/>
  <c r="Y27" i="7"/>
  <c r="X27" i="7"/>
  <c r="AA26" i="7"/>
  <c r="Z26" i="7"/>
  <c r="Y26" i="7"/>
  <c r="X26" i="7"/>
  <c r="AA25" i="7"/>
  <c r="Z25" i="7"/>
  <c r="Y25" i="7"/>
  <c r="X25" i="7"/>
  <c r="AA24" i="7"/>
  <c r="Z24" i="7"/>
  <c r="Y24" i="7"/>
  <c r="X24" i="7"/>
  <c r="AA23" i="7"/>
  <c r="Z23" i="7"/>
  <c r="Y23" i="7"/>
  <c r="X23" i="7"/>
  <c r="AA22" i="7"/>
  <c r="Z22" i="7"/>
  <c r="Y22" i="7"/>
  <c r="X22" i="7"/>
  <c r="AA21" i="7"/>
  <c r="Z21" i="7"/>
  <c r="Y21" i="7"/>
  <c r="X21" i="7"/>
  <c r="AA20" i="7"/>
  <c r="Z20" i="7"/>
  <c r="Y20" i="7"/>
  <c r="X20" i="7"/>
  <c r="AA19" i="7"/>
  <c r="Z19" i="7"/>
  <c r="Y19" i="7"/>
  <c r="X19" i="7"/>
  <c r="AA18" i="7"/>
  <c r="Z18" i="7"/>
  <c r="Y18" i="7"/>
  <c r="X18" i="7"/>
  <c r="AA17" i="7"/>
  <c r="Z17" i="7"/>
  <c r="Y17" i="7"/>
  <c r="X17" i="7"/>
  <c r="AA16" i="7"/>
  <c r="Z16" i="7"/>
  <c r="Y16" i="7"/>
  <c r="X16" i="7"/>
  <c r="AA15" i="7"/>
  <c r="Z15" i="7"/>
  <c r="Y15" i="7"/>
  <c r="X15" i="7"/>
  <c r="AA14" i="7"/>
  <c r="Z14" i="7"/>
  <c r="Y14" i="7"/>
  <c r="X14" i="7"/>
  <c r="AA13" i="7"/>
  <c r="Z13" i="7"/>
  <c r="Y13" i="7"/>
  <c r="X13" i="7"/>
  <c r="AA12" i="7"/>
  <c r="Z12" i="7"/>
  <c r="Y12" i="7"/>
  <c r="X12" i="7"/>
  <c r="AA11" i="7"/>
  <c r="Z11" i="7"/>
  <c r="Y11" i="7"/>
  <c r="X11" i="7"/>
  <c r="AA10" i="7"/>
  <c r="Z10" i="7"/>
  <c r="Y10" i="7"/>
  <c r="X10" i="7"/>
  <c r="AA9" i="7"/>
  <c r="Z9" i="7"/>
  <c r="Y9" i="7"/>
  <c r="X9" i="7"/>
  <c r="AA8" i="7"/>
  <c r="Z8" i="7"/>
  <c r="Y8" i="7"/>
  <c r="X8" i="7"/>
  <c r="AA7" i="7"/>
  <c r="Z7" i="7"/>
  <c r="Y7" i="7"/>
  <c r="X7" i="7"/>
  <c r="AA6" i="7"/>
  <c r="Z6" i="7"/>
  <c r="Y6" i="7"/>
  <c r="X6" i="7"/>
  <c r="AA5" i="7"/>
  <c r="Z5" i="7"/>
  <c r="Y5" i="7"/>
  <c r="X5" i="7"/>
  <c r="AA4" i="7"/>
  <c r="Z4" i="7"/>
  <c r="Y4" i="7"/>
  <c r="X4" i="7"/>
  <c r="AA3" i="7"/>
  <c r="Z3" i="7"/>
  <c r="Y3" i="7"/>
  <c r="X3" i="7"/>
  <c r="AA23" i="6"/>
  <c r="Z23" i="6"/>
  <c r="Y23" i="6"/>
  <c r="X23" i="6"/>
  <c r="V23" i="6"/>
  <c r="U23" i="6"/>
  <c r="AA22" i="6"/>
  <c r="Z22" i="6"/>
  <c r="Y22" i="6"/>
  <c r="X22" i="6"/>
  <c r="V22" i="6"/>
  <c r="U22" i="6"/>
  <c r="AA21" i="6"/>
  <c r="Z21" i="6"/>
  <c r="Y21" i="6"/>
  <c r="X21" i="6"/>
  <c r="V21" i="6"/>
  <c r="U21" i="6"/>
  <c r="AA20" i="6"/>
  <c r="Z20" i="6"/>
  <c r="Y20" i="6"/>
  <c r="X20" i="6"/>
  <c r="V20" i="6"/>
  <c r="U20" i="6"/>
  <c r="AA19" i="6"/>
  <c r="Z19" i="6"/>
  <c r="Y19" i="6"/>
  <c r="X19" i="6"/>
  <c r="V19" i="6"/>
  <c r="U19" i="6"/>
  <c r="AA18" i="6"/>
  <c r="Z18" i="6"/>
  <c r="Y18" i="6"/>
  <c r="X18" i="6"/>
  <c r="V18" i="6"/>
  <c r="U18" i="6"/>
  <c r="AA17" i="6"/>
  <c r="Z17" i="6"/>
  <c r="Y17" i="6"/>
  <c r="X17" i="6"/>
  <c r="V17" i="6"/>
  <c r="U17" i="6"/>
  <c r="AA16" i="6"/>
  <c r="Z16" i="6"/>
  <c r="Y16" i="6"/>
  <c r="X16" i="6"/>
  <c r="V16" i="6"/>
  <c r="U16" i="6"/>
  <c r="AA15" i="6"/>
  <c r="Z15" i="6"/>
  <c r="Y15" i="6"/>
  <c r="X15" i="6"/>
  <c r="V15" i="6"/>
  <c r="U15" i="6"/>
  <c r="AA14" i="6"/>
  <c r="Z14" i="6"/>
  <c r="Y14" i="6"/>
  <c r="X14" i="6"/>
  <c r="V14" i="6"/>
  <c r="U14" i="6"/>
  <c r="AA13" i="6"/>
  <c r="Z13" i="6"/>
  <c r="Y13" i="6"/>
  <c r="X13" i="6"/>
  <c r="V13" i="6"/>
  <c r="U13" i="6"/>
  <c r="AA12" i="6"/>
  <c r="Z12" i="6"/>
  <c r="Y12" i="6"/>
  <c r="X12" i="6"/>
  <c r="V12" i="6"/>
  <c r="U12" i="6"/>
  <c r="AA11" i="6"/>
  <c r="Z11" i="6"/>
  <c r="Y11" i="6"/>
  <c r="X11" i="6"/>
  <c r="V11" i="6"/>
  <c r="U11" i="6"/>
  <c r="AA10" i="6"/>
  <c r="Z10" i="6"/>
  <c r="Y10" i="6"/>
  <c r="X10" i="6"/>
  <c r="V10" i="6"/>
  <c r="U10" i="6"/>
  <c r="AA9" i="6"/>
  <c r="Z9" i="6"/>
  <c r="Y9" i="6"/>
  <c r="X9" i="6"/>
  <c r="V9" i="6"/>
  <c r="U9" i="6"/>
  <c r="AA8" i="6"/>
  <c r="Z8" i="6"/>
  <c r="Y8" i="6"/>
  <c r="X8" i="6"/>
  <c r="V8" i="6"/>
  <c r="U8" i="6"/>
  <c r="AA7" i="6"/>
  <c r="Z7" i="6"/>
  <c r="Y7" i="6"/>
  <c r="X7" i="6"/>
  <c r="V7" i="6"/>
  <c r="U7" i="6"/>
  <c r="AA6" i="6"/>
  <c r="Z6" i="6"/>
  <c r="Y6" i="6"/>
  <c r="X6" i="6"/>
  <c r="V6" i="6"/>
  <c r="U6" i="6"/>
  <c r="AA5" i="6"/>
  <c r="Z5" i="6"/>
  <c r="Y5" i="6"/>
  <c r="X5" i="6"/>
  <c r="V5" i="6"/>
  <c r="U5" i="6"/>
  <c r="AA4" i="6"/>
  <c r="Z4" i="6"/>
  <c r="Y4" i="6"/>
  <c r="X4" i="6"/>
  <c r="V4" i="6"/>
  <c r="U4" i="6"/>
  <c r="AA3" i="6"/>
  <c r="Z3" i="6"/>
  <c r="Y3" i="6"/>
  <c r="X3" i="6"/>
  <c r="V3" i="6"/>
  <c r="U3" i="6"/>
  <c r="AA70" i="2"/>
  <c r="Z70" i="2"/>
  <c r="Y70" i="2"/>
  <c r="X70" i="2"/>
  <c r="AA69" i="2"/>
  <c r="Z69" i="2"/>
  <c r="Y69" i="2"/>
  <c r="X69" i="2"/>
  <c r="AA68" i="2"/>
  <c r="Z68" i="2"/>
  <c r="Y68" i="2"/>
  <c r="X68" i="2"/>
  <c r="AA67" i="2"/>
  <c r="Z67" i="2"/>
  <c r="Y67" i="2"/>
  <c r="X67" i="2"/>
  <c r="AA66" i="2"/>
  <c r="Z66" i="2"/>
  <c r="Y66" i="2"/>
  <c r="X66" i="2"/>
  <c r="AA65" i="2"/>
  <c r="Z65" i="2"/>
  <c r="Y65" i="2"/>
  <c r="X65" i="2"/>
  <c r="AA64" i="2"/>
  <c r="Z64" i="2"/>
  <c r="Y64" i="2"/>
  <c r="X64" i="2"/>
  <c r="AA63" i="2"/>
  <c r="Z63" i="2"/>
  <c r="Y63" i="2"/>
  <c r="X63" i="2"/>
  <c r="AA62" i="2"/>
  <c r="Z62" i="2"/>
  <c r="Y62" i="2"/>
  <c r="X62" i="2"/>
  <c r="AA61" i="2"/>
  <c r="Z61" i="2"/>
  <c r="Y61" i="2"/>
  <c r="X61" i="2"/>
  <c r="AA60" i="2"/>
  <c r="Z60" i="2"/>
  <c r="Y60" i="2"/>
  <c r="X60" i="2"/>
  <c r="AA59" i="2"/>
  <c r="Z59" i="2"/>
  <c r="Y59" i="2"/>
  <c r="X59" i="2"/>
  <c r="AA58" i="2"/>
  <c r="Z58" i="2"/>
  <c r="Y58" i="2"/>
  <c r="X58" i="2"/>
  <c r="AA57" i="2"/>
  <c r="Z57" i="2"/>
  <c r="Y57" i="2"/>
  <c r="X57" i="2"/>
  <c r="AA56" i="2"/>
  <c r="Z56" i="2"/>
  <c r="Y56" i="2"/>
  <c r="X56" i="2"/>
  <c r="AA55" i="2"/>
  <c r="Z55" i="2"/>
  <c r="Y55" i="2"/>
  <c r="X55" i="2"/>
  <c r="AA54" i="2"/>
  <c r="Z54" i="2"/>
  <c r="Y54" i="2"/>
  <c r="X54" i="2"/>
  <c r="AA53" i="2"/>
  <c r="Z53" i="2"/>
  <c r="Y53" i="2"/>
  <c r="X53" i="2"/>
  <c r="AA52" i="2"/>
  <c r="Z52" i="2"/>
  <c r="Y52" i="2"/>
  <c r="X52" i="2"/>
  <c r="AA51" i="2"/>
  <c r="Z51" i="2"/>
  <c r="Y51" i="2"/>
  <c r="X51" i="2"/>
  <c r="AA50" i="2"/>
  <c r="Z50" i="2"/>
  <c r="Y50" i="2"/>
  <c r="X50" i="2"/>
  <c r="AA49" i="2"/>
  <c r="Z49" i="2"/>
  <c r="Y49" i="2"/>
  <c r="X49" i="2"/>
  <c r="AA48" i="2"/>
  <c r="Z48" i="2"/>
  <c r="Y48" i="2"/>
  <c r="X48" i="2"/>
  <c r="AA47" i="2"/>
  <c r="Z47" i="2"/>
  <c r="Y47" i="2"/>
  <c r="X47" i="2"/>
  <c r="AA46" i="2"/>
  <c r="Z46" i="2"/>
  <c r="Y46" i="2"/>
  <c r="X46" i="2"/>
  <c r="AA45" i="2"/>
  <c r="Z45" i="2"/>
  <c r="Y45" i="2"/>
  <c r="X45" i="2"/>
  <c r="AA44" i="2"/>
  <c r="Z44" i="2"/>
  <c r="Y44" i="2"/>
  <c r="X44" i="2"/>
  <c r="AA43" i="2"/>
  <c r="Z43" i="2"/>
  <c r="Y43" i="2"/>
  <c r="X43" i="2"/>
  <c r="AA42" i="2"/>
  <c r="Z42" i="2"/>
  <c r="Y42" i="2"/>
  <c r="X42" i="2"/>
  <c r="AA41" i="2"/>
  <c r="Z41" i="2"/>
  <c r="Y41" i="2"/>
  <c r="X41" i="2"/>
  <c r="AA40" i="2"/>
  <c r="Z40" i="2"/>
  <c r="Y40" i="2"/>
  <c r="X40" i="2"/>
  <c r="AA39" i="2"/>
  <c r="Z39" i="2"/>
  <c r="Y39" i="2"/>
  <c r="X39" i="2"/>
  <c r="AA38" i="2"/>
  <c r="Z38" i="2"/>
  <c r="Y38" i="2"/>
  <c r="X38" i="2"/>
  <c r="AA37" i="2"/>
  <c r="Z37" i="2"/>
  <c r="Y37" i="2"/>
  <c r="X37" i="2"/>
  <c r="AA36" i="2"/>
  <c r="Z36" i="2"/>
  <c r="Y36" i="2"/>
  <c r="X36" i="2"/>
  <c r="AA35" i="2"/>
  <c r="Z35" i="2"/>
  <c r="Y35" i="2"/>
  <c r="X35" i="2"/>
  <c r="AA34" i="2"/>
  <c r="Z34" i="2"/>
  <c r="Y34" i="2"/>
  <c r="X34" i="2"/>
  <c r="AA33" i="2"/>
  <c r="Z33" i="2"/>
  <c r="Y33" i="2"/>
  <c r="X33" i="2"/>
  <c r="AA32" i="2"/>
  <c r="Z32" i="2"/>
  <c r="Y32" i="2"/>
  <c r="X32" i="2"/>
  <c r="AA31" i="2"/>
  <c r="Z31" i="2"/>
  <c r="Y31" i="2"/>
  <c r="X31" i="2"/>
  <c r="AA30" i="2"/>
  <c r="Z30" i="2"/>
  <c r="Y30" i="2"/>
  <c r="X30" i="2"/>
  <c r="AA29" i="2"/>
  <c r="Z29" i="2"/>
  <c r="Y29" i="2"/>
  <c r="X29" i="2"/>
  <c r="AA28" i="2"/>
  <c r="Z28" i="2"/>
  <c r="Y28" i="2"/>
  <c r="X28" i="2"/>
  <c r="AA27" i="2"/>
  <c r="Z27" i="2"/>
  <c r="Y27" i="2"/>
  <c r="X27" i="2"/>
  <c r="AA26" i="2"/>
  <c r="Z26" i="2"/>
  <c r="Y26" i="2"/>
  <c r="X26" i="2"/>
  <c r="AA25" i="2"/>
  <c r="Z25" i="2"/>
  <c r="Y25" i="2"/>
  <c r="X25" i="2"/>
  <c r="AA24" i="2"/>
  <c r="Z24" i="2"/>
  <c r="Y24" i="2"/>
  <c r="X24" i="2"/>
  <c r="AA23" i="2"/>
  <c r="Z23" i="2"/>
  <c r="Y23" i="2"/>
  <c r="X23" i="2"/>
  <c r="AA22" i="2"/>
  <c r="Z22" i="2"/>
  <c r="Y22" i="2"/>
  <c r="X22" i="2"/>
  <c r="AA21" i="2"/>
  <c r="Z21" i="2"/>
  <c r="Y21" i="2"/>
  <c r="X21" i="2"/>
  <c r="AA20" i="2"/>
  <c r="Z20" i="2"/>
  <c r="Y20" i="2"/>
  <c r="X20" i="2"/>
  <c r="AA19" i="2"/>
  <c r="Z19" i="2"/>
  <c r="Y19" i="2"/>
  <c r="X19" i="2"/>
  <c r="AA18" i="2"/>
  <c r="Z18" i="2"/>
  <c r="Y18" i="2"/>
  <c r="X18" i="2"/>
  <c r="AA17" i="2"/>
  <c r="Z17" i="2"/>
  <c r="Y17" i="2"/>
  <c r="X17" i="2"/>
  <c r="AA16" i="2"/>
  <c r="Z16" i="2"/>
  <c r="Y16" i="2"/>
  <c r="X16" i="2"/>
  <c r="AA15" i="2"/>
  <c r="Z15" i="2"/>
  <c r="Y15" i="2"/>
  <c r="X15" i="2"/>
  <c r="AA14" i="2"/>
  <c r="Z14" i="2"/>
  <c r="Y14" i="2"/>
  <c r="X14" i="2"/>
  <c r="AA13" i="2"/>
  <c r="Z13" i="2"/>
  <c r="Y13" i="2"/>
  <c r="X13" i="2"/>
  <c r="AA12" i="2"/>
  <c r="Z12" i="2"/>
  <c r="Y12" i="2"/>
  <c r="X12" i="2"/>
  <c r="AA11" i="2"/>
  <c r="Z11" i="2"/>
  <c r="Y11" i="2"/>
  <c r="X11" i="2"/>
  <c r="AA10" i="2"/>
  <c r="Z10" i="2"/>
  <c r="Y10" i="2"/>
  <c r="X10" i="2"/>
  <c r="AA9" i="2"/>
  <c r="Z9" i="2"/>
  <c r="Y9" i="2"/>
  <c r="X9" i="2"/>
  <c r="AA8" i="2"/>
  <c r="Z8" i="2"/>
  <c r="Y8" i="2"/>
  <c r="X8" i="2"/>
  <c r="AA7" i="2"/>
  <c r="Z7" i="2"/>
  <c r="Y7" i="2"/>
  <c r="X7" i="2"/>
  <c r="AA6" i="2"/>
  <c r="Z6" i="2"/>
  <c r="Y6" i="2"/>
  <c r="X6" i="2"/>
  <c r="AA5" i="2"/>
  <c r="Z5" i="2"/>
  <c r="Y5" i="2"/>
  <c r="X5" i="2"/>
  <c r="AA4" i="2"/>
  <c r="Z4" i="2"/>
  <c r="Y4" i="2"/>
  <c r="X4" i="2"/>
  <c r="AA3" i="2"/>
  <c r="Z3" i="2"/>
  <c r="Y3" i="2"/>
  <c r="X3" i="2"/>
  <c r="N372" i="10"/>
  <c r="N371" i="10"/>
  <c r="N370" i="10"/>
  <c r="N369" i="10"/>
  <c r="N368" i="10"/>
  <c r="N367" i="10"/>
  <c r="N366" i="10"/>
  <c r="N365" i="10"/>
  <c r="N364" i="10"/>
  <c r="N363" i="10"/>
  <c r="N362" i="10"/>
  <c r="N361" i="10"/>
  <c r="N360" i="10"/>
  <c r="N359" i="10"/>
  <c r="N358" i="10"/>
  <c r="N357" i="10"/>
  <c r="N356" i="10"/>
  <c r="N355" i="10"/>
  <c r="N354" i="10"/>
  <c r="N353" i="10"/>
  <c r="N352" i="10"/>
  <c r="N351" i="10"/>
  <c r="N350" i="10"/>
  <c r="N349" i="10"/>
  <c r="N348" i="10"/>
  <c r="N347" i="10"/>
  <c r="N346" i="10"/>
  <c r="N345" i="10"/>
  <c r="N344" i="10"/>
  <c r="N343" i="10"/>
  <c r="N342" i="10"/>
  <c r="N341" i="10"/>
  <c r="N340" i="10"/>
  <c r="N339" i="10"/>
  <c r="N338" i="10"/>
  <c r="N337" i="10"/>
  <c r="N336" i="10"/>
  <c r="N335" i="10"/>
  <c r="N334" i="10"/>
  <c r="N333" i="10"/>
  <c r="N332" i="10"/>
  <c r="N331" i="10"/>
  <c r="N330" i="10"/>
  <c r="N329" i="10"/>
  <c r="N328" i="10"/>
  <c r="N327" i="10"/>
  <c r="N326" i="10"/>
  <c r="N325" i="10"/>
  <c r="N324" i="10"/>
  <c r="N323" i="10"/>
  <c r="N322" i="10"/>
  <c r="N321" i="10"/>
  <c r="N320" i="10"/>
  <c r="N319" i="10"/>
  <c r="N318" i="10"/>
  <c r="N317" i="10"/>
  <c r="N316" i="10"/>
  <c r="N315" i="10"/>
  <c r="N314" i="10"/>
  <c r="N313" i="10"/>
  <c r="N312" i="10"/>
  <c r="N311" i="10"/>
  <c r="N310" i="10"/>
  <c r="N309" i="10"/>
  <c r="N308" i="10"/>
  <c r="N307" i="10"/>
  <c r="N306" i="10"/>
  <c r="N305" i="10"/>
  <c r="N304" i="10"/>
  <c r="N303" i="10"/>
  <c r="N302" i="10"/>
  <c r="N301" i="10"/>
  <c r="N300" i="10"/>
  <c r="N299" i="10"/>
  <c r="N298" i="10"/>
  <c r="N297" i="10"/>
  <c r="N296" i="10"/>
  <c r="N295" i="10"/>
  <c r="N294" i="10"/>
  <c r="N293" i="10"/>
  <c r="N292" i="10"/>
  <c r="N291" i="10"/>
  <c r="N290" i="10"/>
  <c r="N289" i="10"/>
  <c r="N288" i="10"/>
  <c r="N287" i="10"/>
  <c r="N286" i="10"/>
  <c r="N285" i="10"/>
  <c r="N284" i="10"/>
  <c r="N283" i="10"/>
  <c r="N282" i="10"/>
  <c r="N281" i="10"/>
  <c r="N280" i="10"/>
  <c r="N279" i="10"/>
  <c r="N278" i="10"/>
  <c r="N277" i="10"/>
  <c r="N276" i="10"/>
  <c r="N275" i="10"/>
  <c r="N274" i="10"/>
  <c r="N273" i="10"/>
  <c r="N272" i="10"/>
  <c r="N271" i="10"/>
  <c r="N270" i="10"/>
  <c r="N269" i="10"/>
  <c r="N268" i="10"/>
  <c r="N267" i="10"/>
  <c r="N266" i="10"/>
  <c r="N265" i="10"/>
  <c r="N264" i="10"/>
  <c r="N263" i="10"/>
  <c r="N262" i="10"/>
  <c r="N261" i="10"/>
  <c r="N260" i="10"/>
  <c r="N259" i="10"/>
  <c r="N258" i="10"/>
  <c r="N257" i="10"/>
  <c r="N256" i="10"/>
  <c r="N255" i="10"/>
  <c r="N254" i="10"/>
  <c r="N253" i="10"/>
  <c r="N252" i="10"/>
  <c r="N251" i="10"/>
  <c r="N250" i="10"/>
  <c r="N249" i="10"/>
  <c r="N248" i="10"/>
  <c r="N247" i="10"/>
  <c r="N246" i="10"/>
  <c r="N245" i="10"/>
  <c r="N244" i="10"/>
  <c r="N243" i="10"/>
  <c r="N242" i="10"/>
  <c r="N241" i="10"/>
  <c r="N240" i="10"/>
  <c r="N239" i="10"/>
  <c r="N238" i="10"/>
  <c r="N237" i="10"/>
  <c r="N236" i="10"/>
  <c r="N235" i="10"/>
  <c r="N234" i="10"/>
  <c r="N233" i="10"/>
  <c r="N232" i="10"/>
  <c r="N231" i="10"/>
  <c r="N230" i="10"/>
  <c r="N229" i="10"/>
  <c r="N228" i="10"/>
  <c r="N227" i="10"/>
  <c r="N226" i="10"/>
  <c r="N225" i="10"/>
  <c r="N224" i="10"/>
  <c r="N223" i="10"/>
  <c r="N222" i="10"/>
  <c r="N221" i="10"/>
  <c r="N220" i="10"/>
  <c r="N219" i="10"/>
  <c r="N218" i="10"/>
  <c r="N217" i="10"/>
  <c r="N216" i="10"/>
  <c r="N215" i="10"/>
  <c r="N214" i="10"/>
  <c r="N213" i="10"/>
  <c r="N212" i="10"/>
  <c r="N211" i="10"/>
  <c r="N210" i="10"/>
  <c r="N209" i="10"/>
  <c r="N208" i="10"/>
  <c r="N207" i="10"/>
  <c r="N206" i="10"/>
  <c r="N205" i="10"/>
  <c r="N204" i="10"/>
  <c r="N203" i="10"/>
  <c r="N202" i="10"/>
  <c r="N201" i="10"/>
  <c r="N200" i="10"/>
  <c r="N199" i="10"/>
  <c r="N198" i="10"/>
  <c r="N197" i="10"/>
  <c r="N196" i="10"/>
  <c r="N195" i="10"/>
  <c r="N194" i="10"/>
  <c r="N193" i="10"/>
  <c r="N192" i="10"/>
  <c r="N191" i="10"/>
  <c r="N190" i="10"/>
  <c r="N189" i="10"/>
  <c r="N188" i="10"/>
  <c r="N187" i="10"/>
  <c r="N186" i="10"/>
  <c r="N185" i="10"/>
  <c r="N184" i="10"/>
  <c r="N183" i="10"/>
  <c r="N182" i="10"/>
  <c r="N181" i="10"/>
  <c r="N180" i="10"/>
  <c r="N179" i="10"/>
  <c r="N178" i="10"/>
  <c r="N177" i="10"/>
  <c r="N176" i="10"/>
  <c r="N175" i="10"/>
  <c r="N174" i="10"/>
  <c r="N173" i="10"/>
  <c r="N172" i="10"/>
  <c r="N171" i="10"/>
  <c r="N170" i="10"/>
  <c r="N169" i="10"/>
  <c r="N168" i="10"/>
  <c r="N167" i="10"/>
  <c r="N166" i="10"/>
  <c r="N165" i="10"/>
  <c r="N164" i="10"/>
  <c r="N163" i="10"/>
  <c r="N162" i="10"/>
  <c r="N161" i="10"/>
  <c r="N160" i="10"/>
  <c r="N159" i="10"/>
  <c r="N158" i="10"/>
  <c r="N157" i="10"/>
  <c r="N156" i="10"/>
  <c r="N155" i="10"/>
  <c r="N154" i="10"/>
  <c r="N153" i="10"/>
  <c r="N152" i="10"/>
  <c r="N151" i="10"/>
  <c r="N150" i="10"/>
  <c r="N149" i="10"/>
  <c r="N148" i="10"/>
  <c r="N147" i="10"/>
  <c r="N146" i="10"/>
  <c r="N145" i="10"/>
  <c r="N144" i="10"/>
  <c r="N143" i="10"/>
  <c r="N142" i="10"/>
  <c r="N141" i="10"/>
  <c r="N140" i="10"/>
  <c r="N139" i="10"/>
  <c r="N138" i="10"/>
  <c r="D138" i="10"/>
  <c r="C138" i="10"/>
  <c r="N137" i="10"/>
  <c r="D137" i="10"/>
  <c r="C137" i="10"/>
  <c r="N136" i="10"/>
  <c r="D136" i="10"/>
  <c r="C136" i="10"/>
  <c r="N135" i="10"/>
  <c r="D135" i="10"/>
  <c r="C135" i="10"/>
  <c r="N134" i="10"/>
  <c r="N133" i="10"/>
  <c r="N132" i="10"/>
  <c r="D132" i="10"/>
  <c r="N131" i="10"/>
  <c r="N130" i="10"/>
  <c r="D130" i="10"/>
  <c r="N129" i="10"/>
  <c r="D129" i="10"/>
  <c r="N128" i="10"/>
  <c r="D128" i="10"/>
  <c r="N127" i="10"/>
  <c r="N126" i="10"/>
  <c r="N125" i="10"/>
  <c r="N124" i="10"/>
  <c r="N123" i="10"/>
  <c r="C123" i="10"/>
  <c r="N122" i="10"/>
  <c r="N121" i="10"/>
  <c r="N120" i="10"/>
  <c r="C120" i="10"/>
  <c r="N119" i="10"/>
  <c r="N118" i="10"/>
  <c r="C118" i="10"/>
  <c r="N117" i="10"/>
  <c r="N116" i="10"/>
  <c r="H116" i="10"/>
  <c r="G116" i="10"/>
  <c r="F116" i="10"/>
  <c r="E116" i="10"/>
  <c r="D116" i="10"/>
  <c r="C116" i="10"/>
  <c r="N115" i="10"/>
  <c r="H115" i="10"/>
  <c r="G115" i="10"/>
  <c r="F115" i="10"/>
  <c r="E115" i="10"/>
  <c r="D115" i="10"/>
  <c r="C115" i="10"/>
  <c r="N114" i="10"/>
  <c r="H114" i="10"/>
  <c r="G114" i="10"/>
  <c r="F114" i="10"/>
  <c r="E114" i="10"/>
  <c r="D114" i="10"/>
  <c r="C114" i="10"/>
  <c r="N113" i="10"/>
  <c r="H113" i="10"/>
  <c r="G113" i="10"/>
  <c r="F113" i="10"/>
  <c r="E113" i="10"/>
  <c r="D113" i="10"/>
  <c r="C113" i="10"/>
  <c r="N112" i="10"/>
  <c r="H112" i="10"/>
  <c r="G112" i="10"/>
  <c r="F112" i="10"/>
  <c r="E112" i="10"/>
  <c r="D112" i="10"/>
  <c r="C112" i="10"/>
  <c r="N111" i="10"/>
  <c r="N110" i="10"/>
  <c r="N109" i="10"/>
  <c r="N108" i="10"/>
  <c r="I108" i="10"/>
  <c r="G108" i="10"/>
  <c r="F108" i="10"/>
  <c r="E108" i="10"/>
  <c r="D108" i="10"/>
  <c r="C108" i="10"/>
  <c r="N107" i="10"/>
  <c r="H107" i="10"/>
  <c r="G107" i="10"/>
  <c r="F107" i="10"/>
  <c r="E107" i="10"/>
  <c r="D107" i="10"/>
  <c r="C107" i="10"/>
  <c r="N106" i="10"/>
  <c r="H106" i="10"/>
  <c r="G106" i="10"/>
  <c r="F106" i="10"/>
  <c r="E106" i="10"/>
  <c r="D106" i="10"/>
  <c r="C106" i="10"/>
  <c r="N105" i="10"/>
  <c r="N104" i="10"/>
  <c r="N103" i="10"/>
  <c r="N102" i="10"/>
  <c r="D102" i="10"/>
  <c r="N101" i="10"/>
  <c r="D101" i="10"/>
  <c r="N100" i="10"/>
  <c r="N99" i="10"/>
  <c r="N98" i="10"/>
  <c r="N97" i="10"/>
  <c r="C97" i="10"/>
  <c r="N96" i="10"/>
  <c r="N95" i="10"/>
  <c r="N94" i="10"/>
  <c r="C94" i="10"/>
  <c r="N93" i="10"/>
  <c r="N92" i="10"/>
  <c r="C92" i="10"/>
  <c r="N91" i="10"/>
  <c r="N90" i="10"/>
  <c r="H90" i="10"/>
  <c r="G90" i="10"/>
  <c r="F90" i="10"/>
  <c r="E90" i="10"/>
  <c r="D90" i="10"/>
  <c r="C90" i="10"/>
  <c r="N89" i="10"/>
  <c r="H89" i="10"/>
  <c r="G89" i="10"/>
  <c r="F89" i="10"/>
  <c r="E89" i="10"/>
  <c r="D89" i="10"/>
  <c r="C89" i="10"/>
  <c r="N88" i="10"/>
  <c r="H88" i="10"/>
  <c r="G88" i="10"/>
  <c r="F88" i="10"/>
  <c r="E88" i="10"/>
  <c r="D88" i="10"/>
  <c r="C88" i="10"/>
  <c r="N87" i="10"/>
  <c r="H87" i="10"/>
  <c r="G87" i="10"/>
  <c r="F87" i="10"/>
  <c r="E87" i="10"/>
  <c r="D87" i="10"/>
  <c r="C87" i="10"/>
  <c r="N86" i="10"/>
  <c r="H86" i="10"/>
  <c r="G86" i="10"/>
  <c r="F86" i="10"/>
  <c r="E86" i="10"/>
  <c r="D86" i="10"/>
  <c r="C86" i="10"/>
  <c r="N85" i="10"/>
  <c r="N84" i="10"/>
  <c r="N83" i="10"/>
  <c r="N82" i="10"/>
  <c r="I82" i="10"/>
  <c r="G82" i="10"/>
  <c r="F82" i="10"/>
  <c r="E82" i="10"/>
  <c r="D82" i="10"/>
  <c r="C82" i="10"/>
  <c r="N81" i="10"/>
  <c r="H81" i="10"/>
  <c r="G81" i="10"/>
  <c r="F81" i="10"/>
  <c r="E81" i="10"/>
  <c r="D81" i="10"/>
  <c r="C81" i="10"/>
  <c r="N80" i="10"/>
  <c r="H80" i="10"/>
  <c r="G80" i="10"/>
  <c r="F80" i="10"/>
  <c r="E80" i="10"/>
  <c r="D80" i="10"/>
  <c r="C80" i="10"/>
  <c r="N79" i="10"/>
  <c r="N78" i="10"/>
  <c r="N77" i="10"/>
  <c r="N76" i="10"/>
  <c r="D76" i="10"/>
  <c r="N75" i="10"/>
  <c r="D75" i="10"/>
  <c r="N74" i="10"/>
  <c r="N73" i="10"/>
  <c r="N72" i="10"/>
  <c r="N71" i="10"/>
  <c r="D71" i="10"/>
  <c r="N70" i="10"/>
  <c r="E70" i="10"/>
  <c r="D70" i="10"/>
  <c r="N69" i="10"/>
  <c r="D69" i="10"/>
  <c r="N68" i="10"/>
  <c r="D68" i="10"/>
  <c r="N67" i="10"/>
  <c r="D67" i="10"/>
  <c r="N66" i="10"/>
  <c r="N65" i="10"/>
  <c r="N64" i="10"/>
  <c r="N63" i="10"/>
  <c r="N62" i="10"/>
  <c r="C62" i="10"/>
  <c r="N61" i="10"/>
  <c r="N60" i="10"/>
  <c r="N59" i="10"/>
  <c r="C59" i="10"/>
  <c r="N58" i="10"/>
  <c r="N57" i="10"/>
  <c r="C57" i="10"/>
  <c r="N56" i="10"/>
  <c r="N55" i="10"/>
  <c r="F55" i="10"/>
  <c r="E55" i="10"/>
  <c r="D55" i="10"/>
  <c r="C55" i="10"/>
  <c r="N54" i="10"/>
  <c r="F54" i="10"/>
  <c r="E54" i="10"/>
  <c r="D54" i="10"/>
  <c r="C54" i="10"/>
  <c r="N53" i="10"/>
  <c r="F53" i="10"/>
  <c r="E53" i="10"/>
  <c r="D53" i="10"/>
  <c r="C53" i="10"/>
  <c r="N52" i="10"/>
  <c r="F52" i="10"/>
  <c r="E52" i="10"/>
  <c r="D52" i="10"/>
  <c r="C52" i="10"/>
  <c r="N51" i="10"/>
  <c r="F51" i="10"/>
  <c r="E51" i="10"/>
  <c r="D51" i="10"/>
  <c r="C51" i="10"/>
  <c r="N50" i="10"/>
  <c r="N49" i="10"/>
  <c r="N48" i="10"/>
  <c r="N47" i="10"/>
  <c r="N46" i="10"/>
  <c r="J46" i="10"/>
  <c r="I46" i="10"/>
  <c r="H46" i="10"/>
  <c r="G46" i="10"/>
  <c r="F46" i="10"/>
  <c r="E46" i="10"/>
  <c r="D46" i="10"/>
  <c r="C46" i="10"/>
  <c r="N45" i="10"/>
  <c r="H45" i="10"/>
  <c r="G45" i="10"/>
  <c r="F45" i="10"/>
  <c r="E45" i="10"/>
  <c r="D45" i="10"/>
  <c r="C45" i="10"/>
  <c r="N44" i="10"/>
  <c r="H44" i="10"/>
  <c r="G44" i="10"/>
  <c r="F44" i="10"/>
  <c r="E44" i="10"/>
  <c r="D44" i="10"/>
  <c r="C44" i="10"/>
  <c r="N43" i="10"/>
  <c r="N42" i="10"/>
  <c r="N41" i="10"/>
  <c r="D41" i="10"/>
  <c r="N40" i="10"/>
  <c r="D40" i="10"/>
  <c r="N39" i="10"/>
  <c r="N38" i="10"/>
  <c r="N37" i="10"/>
  <c r="N36" i="10"/>
  <c r="N35" i="10"/>
  <c r="C35" i="10"/>
  <c r="N34" i="10"/>
  <c r="N33" i="10"/>
  <c r="N32" i="10"/>
  <c r="C32" i="10"/>
  <c r="N31" i="10"/>
  <c r="N30" i="10"/>
  <c r="C30" i="10"/>
  <c r="N29" i="10"/>
  <c r="N28" i="10"/>
  <c r="H28" i="10"/>
  <c r="G28" i="10"/>
  <c r="F28" i="10"/>
  <c r="E28" i="10"/>
  <c r="D28" i="10"/>
  <c r="C28" i="10"/>
  <c r="N27" i="10"/>
  <c r="H27" i="10"/>
  <c r="G27" i="10"/>
  <c r="F27" i="10"/>
  <c r="E27" i="10"/>
  <c r="D27" i="10"/>
  <c r="C27" i="10"/>
  <c r="N26" i="10"/>
  <c r="H26" i="10"/>
  <c r="G26" i="10"/>
  <c r="F26" i="10"/>
  <c r="E26" i="10"/>
  <c r="D26" i="10"/>
  <c r="C26" i="10"/>
  <c r="N25" i="10"/>
  <c r="H25" i="10"/>
  <c r="G25" i="10"/>
  <c r="F25" i="10"/>
  <c r="E25" i="10"/>
  <c r="D25" i="10"/>
  <c r="C25" i="10"/>
  <c r="N24" i="10"/>
  <c r="H24" i="10"/>
  <c r="G24" i="10"/>
  <c r="F24" i="10"/>
  <c r="E24" i="10"/>
  <c r="D24" i="10"/>
  <c r="C24" i="10"/>
  <c r="N23" i="10"/>
  <c r="N22" i="10"/>
  <c r="N21" i="10"/>
  <c r="N20" i="10"/>
  <c r="H20" i="10"/>
  <c r="F20" i="10"/>
  <c r="E20" i="10"/>
  <c r="D20" i="10"/>
  <c r="C20" i="10"/>
  <c r="N19" i="10"/>
  <c r="G19" i="10"/>
  <c r="F19" i="10"/>
  <c r="E19" i="10"/>
  <c r="D19" i="10"/>
  <c r="C19" i="10"/>
  <c r="N18" i="10"/>
  <c r="G18" i="10"/>
  <c r="F18" i="10"/>
  <c r="E18" i="10"/>
  <c r="D18" i="10"/>
  <c r="C18" i="10"/>
  <c r="N17" i="10"/>
  <c r="N16" i="10"/>
  <c r="N15" i="10"/>
  <c r="N14" i="10"/>
  <c r="D14" i="10"/>
  <c r="N13" i="10"/>
  <c r="D13" i="10"/>
  <c r="N12" i="10"/>
  <c r="N11" i="10"/>
  <c r="N10" i="10"/>
  <c r="N9" i="10"/>
  <c r="D9" i="10"/>
  <c r="N8" i="10"/>
  <c r="D8" i="10"/>
  <c r="N7" i="10"/>
  <c r="D7" i="10"/>
  <c r="N6" i="10"/>
  <c r="D6" i="10"/>
  <c r="N5" i="10"/>
  <c r="D5" i="10"/>
  <c r="F112" i="1"/>
  <c r="F110" i="1"/>
  <c r="F109" i="1"/>
  <c r="F108" i="1"/>
  <c r="F105" i="1"/>
  <c r="F104" i="1"/>
  <c r="H101" i="1"/>
  <c r="G101" i="1"/>
  <c r="D101" i="1"/>
  <c r="B101" i="1"/>
  <c r="W100" i="1"/>
  <c r="V100" i="1"/>
  <c r="H99" i="1"/>
  <c r="G99" i="1"/>
  <c r="G97" i="1"/>
  <c r="W96" i="1"/>
  <c r="V96" i="1"/>
  <c r="G96" i="1"/>
  <c r="CE94" i="1"/>
  <c r="CD94" i="1"/>
  <c r="CC94" i="1"/>
  <c r="CB94" i="1"/>
  <c r="CA94" i="1"/>
  <c r="BZ94" i="1"/>
  <c r="BY94" i="1"/>
  <c r="BX94" i="1"/>
  <c r="BW94" i="1"/>
  <c r="BV94" i="1"/>
  <c r="BU94" i="1"/>
  <c r="BT94" i="1"/>
  <c r="BS94" i="1"/>
  <c r="BR94" i="1"/>
  <c r="BQ94" i="1"/>
  <c r="BP94" i="1"/>
  <c r="BO94" i="1"/>
  <c r="BN94" i="1"/>
  <c r="BM94" i="1"/>
  <c r="BL94" i="1"/>
  <c r="BK94" i="1"/>
  <c r="BJ94" i="1"/>
  <c r="BI94" i="1"/>
  <c r="BH94" i="1"/>
  <c r="BG94" i="1"/>
  <c r="BF94" i="1"/>
  <c r="BE94" i="1"/>
  <c r="BD94" i="1"/>
  <c r="BC94" i="1"/>
  <c r="BB94" i="1"/>
  <c r="BA94" i="1"/>
  <c r="AZ94" i="1"/>
  <c r="AY94" i="1"/>
  <c r="AX94" i="1"/>
  <c r="AR94" i="1"/>
  <c r="AQ94" i="1"/>
  <c r="AP94" i="1"/>
  <c r="AO94" i="1"/>
  <c r="AN94" i="1"/>
  <c r="AM94" i="1"/>
  <c r="AL94" i="1"/>
  <c r="AK94" i="1"/>
  <c r="AJ94" i="1"/>
  <c r="AI94" i="1"/>
  <c r="AH94" i="1"/>
  <c r="AG94" i="1"/>
  <c r="AF94" i="1"/>
  <c r="AE94" i="1"/>
  <c r="AD94" i="1"/>
  <c r="AC94" i="1"/>
  <c r="AB94" i="1"/>
  <c r="T94" i="1"/>
  <c r="R94" i="1"/>
  <c r="O94" i="1"/>
  <c r="H94" i="1"/>
  <c r="G94" i="1"/>
  <c r="D94" i="1"/>
  <c r="B94" i="1"/>
  <c r="CE93" i="1"/>
  <c r="CD93" i="1"/>
  <c r="CC93" i="1"/>
  <c r="CB93" i="1"/>
  <c r="CA93" i="1"/>
  <c r="BZ93" i="1"/>
  <c r="BY93" i="1"/>
  <c r="BX93" i="1"/>
  <c r="BW93" i="1"/>
  <c r="BV93" i="1"/>
  <c r="BU93" i="1"/>
  <c r="BT93" i="1"/>
  <c r="BS93" i="1"/>
  <c r="BR93" i="1"/>
  <c r="BQ93" i="1"/>
  <c r="BP93" i="1"/>
  <c r="BO93" i="1"/>
  <c r="BN93" i="1"/>
  <c r="BM93" i="1"/>
  <c r="BL93" i="1"/>
  <c r="BK93" i="1"/>
  <c r="BJ93" i="1"/>
  <c r="BI93" i="1"/>
  <c r="BH93" i="1"/>
  <c r="BG93" i="1"/>
  <c r="BF93" i="1"/>
  <c r="BE93" i="1"/>
  <c r="BD93" i="1"/>
  <c r="BC93" i="1"/>
  <c r="BB93" i="1"/>
  <c r="BA93" i="1"/>
  <c r="AZ93" i="1"/>
  <c r="AY93" i="1"/>
  <c r="AX93" i="1"/>
  <c r="AT93" i="1"/>
  <c r="AR93" i="1"/>
  <c r="AQ93" i="1"/>
  <c r="AP93" i="1"/>
  <c r="AO93" i="1"/>
  <c r="AN93" i="1"/>
  <c r="AM93" i="1"/>
  <c r="AL93" i="1"/>
  <c r="AK93" i="1"/>
  <c r="AJ93" i="1"/>
  <c r="AI93" i="1"/>
  <c r="AH93" i="1"/>
  <c r="AG93" i="1"/>
  <c r="AF93" i="1"/>
  <c r="AE93" i="1"/>
  <c r="AD93" i="1"/>
  <c r="AC93" i="1"/>
  <c r="R93" i="1"/>
  <c r="O93" i="1"/>
  <c r="CE92" i="1"/>
  <c r="CD92" i="1"/>
  <c r="CC92" i="1"/>
  <c r="CB92" i="1"/>
  <c r="CA92" i="1"/>
  <c r="BZ92" i="1"/>
  <c r="BY92" i="1"/>
  <c r="BX92" i="1"/>
  <c r="BW92" i="1"/>
  <c r="BV92" i="1"/>
  <c r="BU92" i="1"/>
  <c r="BT92" i="1"/>
  <c r="BS92" i="1"/>
  <c r="BR92" i="1"/>
  <c r="BQ92" i="1"/>
  <c r="BP92" i="1"/>
  <c r="BO92" i="1"/>
  <c r="BN92" i="1"/>
  <c r="BM92" i="1"/>
  <c r="BL92" i="1"/>
  <c r="BK92" i="1"/>
  <c r="BJ92" i="1"/>
  <c r="BI92" i="1"/>
  <c r="BH92" i="1"/>
  <c r="BG92" i="1"/>
  <c r="BF92" i="1"/>
  <c r="BE92" i="1"/>
  <c r="BD92" i="1"/>
  <c r="BC92" i="1"/>
  <c r="BB92" i="1"/>
  <c r="BA92" i="1"/>
  <c r="AZ92" i="1"/>
  <c r="AY92" i="1"/>
  <c r="AX92" i="1"/>
  <c r="AT92" i="1"/>
  <c r="AR92" i="1"/>
  <c r="AQ92" i="1"/>
  <c r="AP92" i="1"/>
  <c r="AO92" i="1"/>
  <c r="AN92" i="1"/>
  <c r="AM92" i="1"/>
  <c r="AL92" i="1"/>
  <c r="AK92" i="1"/>
  <c r="AJ92" i="1"/>
  <c r="AI92" i="1"/>
  <c r="AH92" i="1"/>
  <c r="AG92" i="1"/>
  <c r="AF92" i="1"/>
  <c r="AE92" i="1"/>
  <c r="AD92" i="1"/>
  <c r="AC92" i="1"/>
  <c r="H92" i="1"/>
  <c r="G92" i="1"/>
  <c r="CE91" i="1"/>
  <c r="CD91" i="1"/>
  <c r="CC91" i="1"/>
  <c r="CA91" i="1"/>
  <c r="BY91" i="1"/>
  <c r="BX91" i="1"/>
  <c r="BW91" i="1"/>
  <c r="BV91" i="1"/>
  <c r="BU91" i="1"/>
  <c r="BT91" i="1"/>
  <c r="BS91" i="1"/>
  <c r="BR91" i="1"/>
  <c r="BQ91" i="1"/>
  <c r="BP91" i="1"/>
  <c r="BO91" i="1"/>
  <c r="BM91" i="1"/>
  <c r="BK91" i="1"/>
  <c r="BJ91" i="1"/>
  <c r="BI91" i="1"/>
  <c r="BH91" i="1"/>
  <c r="BG91" i="1"/>
  <c r="BF91" i="1"/>
  <c r="BE91" i="1"/>
  <c r="BD91" i="1"/>
  <c r="BC91" i="1"/>
  <c r="BB91" i="1"/>
  <c r="BA91" i="1"/>
  <c r="AZ91" i="1"/>
  <c r="AY91" i="1"/>
  <c r="AX91" i="1"/>
  <c r="AR91" i="1"/>
  <c r="AQ91" i="1"/>
  <c r="AP91" i="1"/>
  <c r="AO91" i="1"/>
  <c r="AN91" i="1"/>
  <c r="AM91" i="1"/>
  <c r="AL91" i="1"/>
  <c r="AK91" i="1"/>
  <c r="AJ91" i="1"/>
  <c r="AI91" i="1"/>
  <c r="AH91" i="1"/>
  <c r="AG91" i="1"/>
  <c r="AF91" i="1"/>
  <c r="AE91" i="1"/>
  <c r="AD91" i="1"/>
  <c r="AC91" i="1"/>
  <c r="U91" i="1"/>
  <c r="T91" i="1"/>
  <c r="R91" i="1"/>
  <c r="O91" i="1"/>
  <c r="CE90" i="1"/>
  <c r="CD90" i="1"/>
  <c r="CC90" i="1"/>
  <c r="CA90" i="1"/>
  <c r="BY90" i="1"/>
  <c r="BX90" i="1"/>
  <c r="BW90" i="1"/>
  <c r="BV90" i="1"/>
  <c r="BU90" i="1"/>
  <c r="BT90" i="1"/>
  <c r="BS90" i="1"/>
  <c r="BR90" i="1"/>
  <c r="BQ90" i="1"/>
  <c r="BP90" i="1"/>
  <c r="BO90" i="1"/>
  <c r="BM90" i="1"/>
  <c r="BK90" i="1"/>
  <c r="BJ90" i="1"/>
  <c r="BI90" i="1"/>
  <c r="BH90" i="1"/>
  <c r="BG90" i="1"/>
  <c r="BF90" i="1"/>
  <c r="BE90" i="1"/>
  <c r="BD90" i="1"/>
  <c r="BC90" i="1"/>
  <c r="BB90" i="1"/>
  <c r="BA90" i="1"/>
  <c r="AZ90" i="1"/>
  <c r="AY90" i="1"/>
  <c r="AX90" i="1"/>
  <c r="AR90" i="1"/>
  <c r="AQ90" i="1"/>
  <c r="AP90" i="1"/>
  <c r="AO90" i="1"/>
  <c r="AN90" i="1"/>
  <c r="AM90" i="1"/>
  <c r="AL90" i="1"/>
  <c r="AK90" i="1"/>
  <c r="AJ90" i="1"/>
  <c r="AI90" i="1"/>
  <c r="AH90" i="1"/>
  <c r="AG90" i="1"/>
  <c r="AF90" i="1"/>
  <c r="AE90" i="1"/>
  <c r="AD90" i="1"/>
  <c r="AC90" i="1"/>
  <c r="R90" i="1"/>
  <c r="O90" i="1"/>
  <c r="H90" i="1"/>
  <c r="G90" i="1"/>
  <c r="D90" i="1"/>
  <c r="B90" i="1"/>
  <c r="CE89" i="1"/>
  <c r="CD89" i="1"/>
  <c r="CC89" i="1"/>
  <c r="CA89" i="1"/>
  <c r="BY89" i="1"/>
  <c r="BX89" i="1"/>
  <c r="BW89" i="1"/>
  <c r="BV89" i="1"/>
  <c r="BU89" i="1"/>
  <c r="BT89" i="1"/>
  <c r="BS89" i="1"/>
  <c r="BR89" i="1"/>
  <c r="BQ89" i="1"/>
  <c r="BP89" i="1"/>
  <c r="BO89" i="1"/>
  <c r="BM89" i="1"/>
  <c r="BK89" i="1"/>
  <c r="BJ89" i="1"/>
  <c r="BI89" i="1"/>
  <c r="BH89" i="1"/>
  <c r="BG89" i="1"/>
  <c r="BF89" i="1"/>
  <c r="BE89" i="1"/>
  <c r="BD89" i="1"/>
  <c r="BC89" i="1"/>
  <c r="BB89" i="1"/>
  <c r="BA89" i="1"/>
  <c r="AZ89" i="1"/>
  <c r="AY89" i="1"/>
  <c r="AX89" i="1"/>
  <c r="AR89" i="1"/>
  <c r="AQ89" i="1"/>
  <c r="AP89" i="1"/>
  <c r="AO89" i="1"/>
  <c r="AN89" i="1"/>
  <c r="AM89" i="1"/>
  <c r="AL89" i="1"/>
  <c r="AK89" i="1"/>
  <c r="AJ89" i="1"/>
  <c r="AI89" i="1"/>
  <c r="AH89" i="1"/>
  <c r="AG89" i="1"/>
  <c r="AF89" i="1"/>
  <c r="AE89" i="1"/>
  <c r="AD89" i="1"/>
  <c r="AC89" i="1"/>
  <c r="CE88" i="1"/>
  <c r="CD88" i="1"/>
  <c r="CC88" i="1"/>
  <c r="CA88" i="1"/>
  <c r="BY88" i="1"/>
  <c r="BX88" i="1"/>
  <c r="BW88" i="1"/>
  <c r="BV88" i="1"/>
  <c r="BU88" i="1"/>
  <c r="BT88" i="1"/>
  <c r="BS88" i="1"/>
  <c r="BR88" i="1"/>
  <c r="BQ88" i="1"/>
  <c r="BP88" i="1"/>
  <c r="BO88" i="1"/>
  <c r="BM88" i="1"/>
  <c r="BK88" i="1"/>
  <c r="BJ88" i="1"/>
  <c r="BI88" i="1"/>
  <c r="BH88" i="1"/>
  <c r="BG88" i="1"/>
  <c r="BF88" i="1"/>
  <c r="BE88" i="1"/>
  <c r="BD88" i="1"/>
  <c r="BC88" i="1"/>
  <c r="BB88" i="1"/>
  <c r="BA88" i="1"/>
  <c r="AZ88" i="1"/>
  <c r="AY88" i="1"/>
  <c r="AX88" i="1"/>
  <c r="AR88" i="1"/>
  <c r="AQ88" i="1"/>
  <c r="AP88" i="1"/>
  <c r="AO88" i="1"/>
  <c r="AN88" i="1"/>
  <c r="AM88" i="1"/>
  <c r="AL88" i="1"/>
  <c r="AK88" i="1"/>
  <c r="AJ88" i="1"/>
  <c r="AI88" i="1"/>
  <c r="AH88" i="1"/>
  <c r="AG88" i="1"/>
  <c r="AF88" i="1"/>
  <c r="AE88" i="1"/>
  <c r="AD88" i="1"/>
  <c r="AC88" i="1"/>
  <c r="H88" i="1"/>
  <c r="G88" i="1"/>
  <c r="R86" i="1"/>
  <c r="Q86" i="1"/>
  <c r="G86" i="1"/>
  <c r="G85" i="1"/>
  <c r="Q83" i="1"/>
  <c r="H83" i="1"/>
  <c r="G83" i="1"/>
  <c r="G82" i="1"/>
  <c r="AH81" i="1"/>
  <c r="AG81" i="1"/>
  <c r="AC81" i="1"/>
  <c r="AB81" i="1"/>
  <c r="AQ80" i="1"/>
  <c r="AM80" i="1"/>
  <c r="AH80" i="1"/>
  <c r="AG80" i="1"/>
  <c r="AF80" i="1"/>
  <c r="AE80" i="1"/>
  <c r="AC80" i="1"/>
  <c r="AB80" i="1"/>
  <c r="S80" i="1"/>
  <c r="G80" i="1"/>
  <c r="AC79" i="1"/>
  <c r="AB79" i="1"/>
  <c r="AQ78" i="1"/>
  <c r="AM78" i="1"/>
  <c r="AC78" i="1"/>
  <c r="AB78" i="1"/>
  <c r="S78" i="1"/>
  <c r="AH76" i="1"/>
  <c r="S76" i="1"/>
  <c r="H75" i="1"/>
  <c r="G75" i="1"/>
  <c r="AI74" i="1"/>
  <c r="AH74" i="1"/>
  <c r="AC74" i="1"/>
  <c r="AI73" i="1"/>
  <c r="AH73" i="1"/>
  <c r="AF73" i="1"/>
  <c r="AC73" i="1"/>
  <c r="W73" i="1"/>
  <c r="G73" i="1"/>
  <c r="AF72" i="1"/>
  <c r="AC72" i="1"/>
  <c r="U71" i="1"/>
  <c r="Q71" i="1"/>
  <c r="G71" i="1"/>
  <c r="AK70" i="1"/>
  <c r="AJ70" i="1"/>
  <c r="AI70" i="1"/>
  <c r="AH70" i="1"/>
  <c r="AC70" i="1"/>
  <c r="AK69" i="1"/>
  <c r="AJ69" i="1"/>
  <c r="AI69" i="1"/>
  <c r="AH69" i="1"/>
  <c r="AF69" i="1"/>
  <c r="AC69" i="1"/>
  <c r="D69" i="1"/>
  <c r="AF68" i="1"/>
  <c r="AC68" i="1"/>
  <c r="Q67" i="1"/>
  <c r="P67" i="1"/>
  <c r="H67" i="1"/>
  <c r="G67" i="1"/>
  <c r="AL66" i="1"/>
  <c r="AK66" i="1"/>
  <c r="AJ66" i="1"/>
  <c r="AH66" i="1"/>
  <c r="AC66" i="1"/>
  <c r="AL65" i="1"/>
  <c r="AF65" i="1"/>
  <c r="AC65" i="1"/>
  <c r="U65" i="1"/>
  <c r="P65" i="1"/>
  <c r="G65" i="1"/>
  <c r="AL64" i="1"/>
  <c r="U63" i="1"/>
  <c r="P63" i="1"/>
  <c r="G63" i="1"/>
  <c r="U62" i="1"/>
  <c r="P62" i="1"/>
  <c r="AU61" i="1"/>
  <c r="AT61" i="1"/>
  <c r="AO61" i="1"/>
  <c r="AI61" i="1"/>
  <c r="AH61" i="1"/>
  <c r="AC61" i="1"/>
  <c r="U61" i="1"/>
  <c r="P61" i="1"/>
  <c r="D61" i="1"/>
  <c r="AU60" i="1"/>
  <c r="AT60" i="1"/>
  <c r="AR60" i="1"/>
  <c r="AO60" i="1"/>
  <c r="AI60" i="1"/>
  <c r="AH60" i="1"/>
  <c r="AF60" i="1"/>
  <c r="AC60" i="1"/>
  <c r="AR59" i="1"/>
  <c r="AO59" i="1"/>
  <c r="AF59" i="1"/>
  <c r="AC59" i="1"/>
  <c r="U59" i="1"/>
  <c r="P59" i="1"/>
  <c r="P58" i="1"/>
  <c r="AW57" i="1"/>
  <c r="AV57" i="1"/>
  <c r="AU57" i="1"/>
  <c r="AT57" i="1"/>
  <c r="AO57" i="1"/>
  <c r="AK57" i="1"/>
  <c r="AJ57" i="1"/>
  <c r="AI57" i="1"/>
  <c r="AH57" i="1"/>
  <c r="AC57" i="1"/>
  <c r="G57" i="1"/>
  <c r="AW56" i="1"/>
  <c r="AV56" i="1"/>
  <c r="AU56" i="1"/>
  <c r="AT56" i="1"/>
  <c r="AR56" i="1"/>
  <c r="AO56" i="1"/>
  <c r="AK56" i="1"/>
  <c r="AJ56" i="1"/>
  <c r="AI56" i="1"/>
  <c r="AH56" i="1"/>
  <c r="AF56" i="1"/>
  <c r="AC56" i="1"/>
  <c r="H56" i="1"/>
  <c r="G56" i="1"/>
  <c r="AR55" i="1"/>
  <c r="AO55" i="1"/>
  <c r="AF55" i="1"/>
  <c r="AC55" i="1"/>
  <c r="G55" i="1"/>
  <c r="H54" i="1"/>
  <c r="G54" i="1"/>
  <c r="AX53" i="1"/>
  <c r="AW53" i="1"/>
  <c r="AV53" i="1"/>
  <c r="AT53" i="1"/>
  <c r="AO53" i="1"/>
  <c r="AL53" i="1"/>
  <c r="AK53" i="1"/>
  <c r="AJ53" i="1"/>
  <c r="AH53" i="1"/>
  <c r="AC53" i="1"/>
  <c r="AX52" i="1"/>
  <c r="AR52" i="1"/>
  <c r="AO52" i="1"/>
  <c r="AL52" i="1"/>
  <c r="AF52" i="1"/>
  <c r="AC52" i="1"/>
  <c r="T52" i="1"/>
  <c r="S52" i="1"/>
  <c r="AL51" i="1"/>
  <c r="G51" i="1"/>
  <c r="T50" i="1"/>
  <c r="S50" i="1"/>
  <c r="H50" i="1"/>
  <c r="G50" i="1"/>
  <c r="G49" i="1"/>
  <c r="T48" i="1"/>
  <c r="S48" i="1"/>
  <c r="H48" i="1"/>
  <c r="G48" i="1"/>
  <c r="AI47" i="1"/>
  <c r="AI46" i="1"/>
  <c r="AH46" i="1"/>
  <c r="AG46" i="1"/>
  <c r="T46" i="1"/>
  <c r="S46" i="1"/>
  <c r="AF45" i="1"/>
  <c r="G45" i="1"/>
  <c r="T44" i="1"/>
  <c r="S44" i="1"/>
  <c r="H44" i="1"/>
  <c r="G44" i="1"/>
  <c r="AT42" i="1"/>
  <c r="AS42" i="1"/>
  <c r="AT41" i="1"/>
  <c r="AS41" i="1"/>
  <c r="AT40" i="1"/>
  <c r="AS40" i="1"/>
  <c r="AT39" i="1"/>
  <c r="AS39" i="1"/>
  <c r="AC38" i="1"/>
  <c r="Y38" i="1"/>
  <c r="X38" i="1"/>
  <c r="AC37" i="1"/>
  <c r="Y37" i="1"/>
  <c r="X37" i="1"/>
  <c r="G37" i="1"/>
  <c r="D37" i="1"/>
  <c r="BD36" i="1"/>
  <c r="BC36" i="1"/>
  <c r="BB36" i="1"/>
  <c r="BA36" i="1"/>
  <c r="AZ36" i="1"/>
  <c r="AY36" i="1"/>
  <c r="AX36" i="1"/>
  <c r="AW36" i="1"/>
  <c r="AV36" i="1"/>
  <c r="AU36" i="1"/>
  <c r="AT36" i="1"/>
  <c r="AS36" i="1"/>
  <c r="AC36" i="1"/>
  <c r="Y36" i="1"/>
  <c r="X36" i="1"/>
  <c r="G36" i="1"/>
  <c r="F36" i="1"/>
  <c r="D36" i="1"/>
  <c r="BD35" i="1"/>
  <c r="BC35" i="1"/>
  <c r="BB35" i="1"/>
  <c r="BA35" i="1"/>
  <c r="AZ35" i="1"/>
  <c r="AY35" i="1"/>
  <c r="AX35" i="1"/>
  <c r="AW35" i="1"/>
  <c r="AV35" i="1"/>
  <c r="AU35" i="1"/>
  <c r="AT35" i="1"/>
  <c r="AS35" i="1"/>
  <c r="AC35" i="1"/>
  <c r="Y35" i="1"/>
  <c r="X35" i="1"/>
  <c r="G35" i="1"/>
  <c r="D35" i="1"/>
  <c r="BD34" i="1"/>
  <c r="BC34" i="1"/>
  <c r="BB34" i="1"/>
  <c r="BA34" i="1"/>
  <c r="AZ34" i="1"/>
  <c r="AY34" i="1"/>
  <c r="AX34" i="1"/>
  <c r="AW34" i="1"/>
  <c r="AV34" i="1"/>
  <c r="AU34" i="1"/>
  <c r="AT34" i="1"/>
  <c r="AS34" i="1"/>
  <c r="AC34" i="1"/>
  <c r="R34" i="1"/>
  <c r="P34" i="1"/>
  <c r="BD33" i="1"/>
  <c r="BC33" i="1"/>
  <c r="BB33" i="1"/>
  <c r="BA33" i="1"/>
  <c r="AZ33" i="1"/>
  <c r="AY33" i="1"/>
  <c r="AX33" i="1"/>
  <c r="AW33" i="1"/>
  <c r="AV33" i="1"/>
  <c r="AU33" i="1"/>
  <c r="AT33" i="1"/>
  <c r="AS33" i="1"/>
  <c r="AC33" i="1"/>
  <c r="Y33" i="1"/>
  <c r="X33" i="1"/>
  <c r="G33" i="1"/>
  <c r="D33" i="1"/>
  <c r="BD32" i="1"/>
  <c r="BC32" i="1"/>
  <c r="BB32" i="1"/>
  <c r="BA32" i="1"/>
  <c r="AZ32" i="1"/>
  <c r="AY32" i="1"/>
  <c r="AX32" i="1"/>
  <c r="AW32" i="1"/>
  <c r="AV32" i="1"/>
  <c r="AU32" i="1"/>
  <c r="AT32" i="1"/>
  <c r="AS32" i="1"/>
  <c r="AC32" i="1"/>
  <c r="Y32" i="1"/>
  <c r="X32" i="1"/>
  <c r="G32" i="1"/>
  <c r="F32" i="1"/>
  <c r="D32" i="1"/>
  <c r="BD31" i="1"/>
  <c r="BC31" i="1"/>
  <c r="BB31" i="1"/>
  <c r="BA31" i="1"/>
  <c r="AZ31" i="1"/>
  <c r="AY31" i="1"/>
  <c r="AX31" i="1"/>
  <c r="AW31" i="1"/>
  <c r="AV31" i="1"/>
  <c r="AU31" i="1"/>
  <c r="AT31" i="1"/>
  <c r="AS31" i="1"/>
  <c r="AC31" i="1"/>
  <c r="Y31" i="1"/>
  <c r="X31" i="1"/>
  <c r="G31" i="1"/>
  <c r="D31" i="1"/>
  <c r="BD30" i="1"/>
  <c r="BC30" i="1"/>
  <c r="BB30" i="1"/>
  <c r="BA30" i="1"/>
  <c r="AZ30" i="1"/>
  <c r="AY30" i="1"/>
  <c r="AX30" i="1"/>
  <c r="AW30" i="1"/>
  <c r="AV30" i="1"/>
  <c r="AU30" i="1"/>
  <c r="AT30" i="1"/>
  <c r="AS30" i="1"/>
  <c r="AC30" i="1"/>
  <c r="Y30" i="1"/>
  <c r="X30" i="1"/>
  <c r="BD29" i="1"/>
  <c r="BC29" i="1"/>
  <c r="BB29" i="1"/>
  <c r="BA29" i="1"/>
  <c r="AZ29" i="1"/>
  <c r="AY29" i="1"/>
  <c r="AX29" i="1"/>
  <c r="AW29" i="1"/>
  <c r="AV29" i="1"/>
  <c r="AU29" i="1"/>
  <c r="AT29" i="1"/>
  <c r="AS29" i="1"/>
  <c r="AC29" i="1"/>
  <c r="Y29" i="1"/>
  <c r="X29" i="1"/>
  <c r="Y28" i="1"/>
  <c r="X28" i="1"/>
  <c r="BE27" i="1"/>
  <c r="BC27" i="1"/>
  <c r="BB27" i="1"/>
  <c r="AZ27" i="1"/>
  <c r="AY27" i="1"/>
  <c r="AW27" i="1"/>
  <c r="AV27" i="1"/>
  <c r="AT27" i="1"/>
  <c r="AS27" i="1"/>
  <c r="Y27" i="1"/>
  <c r="X27" i="1"/>
  <c r="K27" i="1"/>
  <c r="B27" i="1"/>
  <c r="BE26" i="1"/>
  <c r="BC26" i="1"/>
  <c r="AZ26" i="1"/>
  <c r="AX26" i="1"/>
  <c r="AW26" i="1"/>
  <c r="AV26" i="1"/>
  <c r="AU26" i="1"/>
  <c r="AT26" i="1"/>
  <c r="AS26" i="1"/>
  <c r="AN26" i="1"/>
  <c r="Y26" i="1"/>
  <c r="X26" i="1"/>
  <c r="Q26" i="1"/>
  <c r="P26" i="1"/>
  <c r="BE25" i="1"/>
  <c r="BD25" i="1"/>
  <c r="BC25" i="1"/>
  <c r="BA25" i="1"/>
  <c r="AZ25" i="1"/>
  <c r="AX25" i="1"/>
  <c r="AW25" i="1"/>
  <c r="AV25" i="1"/>
  <c r="AU25" i="1"/>
  <c r="AT25" i="1"/>
  <c r="AS25" i="1"/>
  <c r="AC25" i="1"/>
  <c r="Y25" i="1"/>
  <c r="X25" i="1"/>
  <c r="Q25" i="1"/>
  <c r="P25" i="1"/>
  <c r="BE24" i="1"/>
  <c r="BD24" i="1"/>
  <c r="BC24" i="1"/>
  <c r="BB24" i="1"/>
  <c r="BA24" i="1"/>
  <c r="AZ24" i="1"/>
  <c r="AY24" i="1"/>
  <c r="AX24" i="1"/>
  <c r="AW24" i="1"/>
  <c r="AV24" i="1"/>
  <c r="AU24" i="1"/>
  <c r="AT24" i="1"/>
  <c r="AS24" i="1"/>
  <c r="AC24" i="1"/>
  <c r="Y24" i="1"/>
  <c r="X24" i="1"/>
  <c r="Q24" i="1"/>
  <c r="P24" i="1"/>
  <c r="BE23" i="1"/>
  <c r="BC23" i="1"/>
  <c r="BB23" i="1"/>
  <c r="AZ23" i="1"/>
  <c r="AY23" i="1"/>
  <c r="AW23" i="1"/>
  <c r="AV23" i="1"/>
  <c r="AT23" i="1"/>
  <c r="AS23" i="1"/>
  <c r="AC23" i="1"/>
  <c r="Y23" i="1"/>
  <c r="X23" i="1"/>
  <c r="Q23" i="1"/>
  <c r="P23" i="1"/>
  <c r="BE22" i="1"/>
  <c r="BC22" i="1"/>
  <c r="AZ22" i="1"/>
  <c r="AX22" i="1"/>
  <c r="AV22" i="1"/>
  <c r="AU22" i="1"/>
  <c r="AS22" i="1"/>
  <c r="AC22" i="1"/>
  <c r="Z22" i="1"/>
  <c r="BE21" i="1"/>
  <c r="BD21" i="1"/>
  <c r="BC21" i="1"/>
  <c r="BA21" i="1"/>
  <c r="AZ21" i="1"/>
  <c r="AX21" i="1"/>
  <c r="AV21" i="1"/>
  <c r="AU21" i="1"/>
  <c r="AS21" i="1"/>
  <c r="AC21" i="1"/>
  <c r="Y21" i="1"/>
  <c r="X21" i="1"/>
  <c r="BE20" i="1"/>
  <c r="BD20" i="1"/>
  <c r="BC20" i="1"/>
  <c r="BB20" i="1"/>
  <c r="BA20" i="1"/>
  <c r="AZ20" i="1"/>
  <c r="AY20" i="1"/>
  <c r="AX20" i="1"/>
  <c r="AV20" i="1"/>
  <c r="AU20" i="1"/>
  <c r="AS20" i="1"/>
  <c r="AC20" i="1"/>
  <c r="Y20" i="1"/>
  <c r="X20" i="1"/>
  <c r="BO19" i="1"/>
  <c r="BN19" i="1"/>
  <c r="BM19" i="1"/>
  <c r="BL19" i="1"/>
  <c r="BK19" i="1"/>
  <c r="BJ19" i="1"/>
  <c r="BI19" i="1"/>
  <c r="BE19" i="1"/>
  <c r="BC19" i="1"/>
  <c r="BB19" i="1"/>
  <c r="AZ19" i="1"/>
  <c r="AY19" i="1"/>
  <c r="AW19" i="1"/>
  <c r="AV19" i="1"/>
  <c r="AT19" i="1"/>
  <c r="AS19" i="1"/>
  <c r="AC19" i="1"/>
  <c r="BO18" i="1"/>
  <c r="BN18" i="1"/>
  <c r="BM18" i="1"/>
  <c r="BL18" i="1"/>
  <c r="BK18" i="1"/>
  <c r="BJ18" i="1"/>
  <c r="BI18" i="1"/>
  <c r="BE18" i="1"/>
  <c r="BC18" i="1"/>
  <c r="AZ18" i="1"/>
  <c r="AX18" i="1"/>
  <c r="AW18" i="1"/>
  <c r="AV18" i="1"/>
  <c r="AU18" i="1"/>
  <c r="AT18" i="1"/>
  <c r="AS18" i="1"/>
  <c r="AC18" i="1"/>
  <c r="BO17" i="1"/>
  <c r="BN17" i="1"/>
  <c r="BM17" i="1"/>
  <c r="BL17" i="1"/>
  <c r="BK17" i="1"/>
  <c r="BJ17" i="1"/>
  <c r="BI17" i="1"/>
  <c r="BE17" i="1"/>
  <c r="BD17" i="1"/>
  <c r="BC17" i="1"/>
  <c r="BA17" i="1"/>
  <c r="AZ17" i="1"/>
  <c r="AX17" i="1"/>
  <c r="AW17" i="1"/>
  <c r="AV17" i="1"/>
  <c r="AU17" i="1"/>
  <c r="AT17" i="1"/>
  <c r="AS17" i="1"/>
  <c r="AC17" i="1"/>
  <c r="W17" i="1"/>
  <c r="Q17" i="1"/>
  <c r="G17" i="1"/>
  <c r="BO16" i="1"/>
  <c r="BN16" i="1"/>
  <c r="BM16" i="1"/>
  <c r="BL16" i="1"/>
  <c r="BK16" i="1"/>
  <c r="BJ16" i="1"/>
  <c r="BI16" i="1"/>
  <c r="BE16" i="1"/>
  <c r="BD16" i="1"/>
  <c r="BC16" i="1"/>
  <c r="BB16" i="1"/>
  <c r="BA16" i="1"/>
  <c r="AZ16" i="1"/>
  <c r="AY16" i="1"/>
  <c r="AX16" i="1"/>
  <c r="AW16" i="1"/>
  <c r="AV16" i="1"/>
  <c r="AU16" i="1"/>
  <c r="AT16" i="1"/>
  <c r="AS16" i="1"/>
  <c r="AC16" i="1"/>
  <c r="Q16" i="1"/>
  <c r="M16" i="1"/>
  <c r="G16" i="1"/>
  <c r="BO15" i="1"/>
  <c r="BN15" i="1"/>
  <c r="BM15" i="1"/>
  <c r="BL15" i="1"/>
  <c r="BK15" i="1"/>
  <c r="BJ15" i="1"/>
  <c r="BI15" i="1"/>
  <c r="BE15" i="1"/>
  <c r="BC15" i="1"/>
  <c r="BB15" i="1"/>
  <c r="AZ15" i="1"/>
  <c r="AY15" i="1"/>
  <c r="AW15" i="1"/>
  <c r="AV15" i="1"/>
  <c r="AT15" i="1"/>
  <c r="AS15" i="1"/>
  <c r="AC15" i="1"/>
  <c r="Q15" i="1"/>
  <c r="G15" i="1"/>
  <c r="BO14" i="1"/>
  <c r="BN14" i="1"/>
  <c r="BM14" i="1"/>
  <c r="BL14" i="1"/>
  <c r="BK14" i="1"/>
  <c r="BJ14" i="1"/>
  <c r="BI14" i="1"/>
  <c r="BE14" i="1"/>
  <c r="BC14" i="1"/>
  <c r="AZ14" i="1"/>
  <c r="AX14" i="1"/>
  <c r="AV14" i="1"/>
  <c r="AU14" i="1"/>
  <c r="AS14" i="1"/>
  <c r="AC14" i="1"/>
  <c r="Q14" i="1"/>
  <c r="BO13" i="1"/>
  <c r="BN13" i="1"/>
  <c r="BM13" i="1"/>
  <c r="BL13" i="1"/>
  <c r="BK13" i="1"/>
  <c r="BJ13" i="1"/>
  <c r="BI13" i="1"/>
  <c r="BE13" i="1"/>
  <c r="BD13" i="1"/>
  <c r="BC13" i="1"/>
  <c r="BA13" i="1"/>
  <c r="AZ13" i="1"/>
  <c r="AX13" i="1"/>
  <c r="AV13" i="1"/>
  <c r="AU13" i="1"/>
  <c r="AS13" i="1"/>
  <c r="AC13" i="1"/>
  <c r="Q13" i="1"/>
  <c r="BO12" i="1"/>
  <c r="BN12" i="1"/>
  <c r="BM12" i="1"/>
  <c r="BL12" i="1"/>
  <c r="BK12" i="1"/>
  <c r="BJ12" i="1"/>
  <c r="BI12" i="1"/>
  <c r="BE12" i="1"/>
  <c r="BD12" i="1"/>
  <c r="BC12" i="1"/>
  <c r="BB12" i="1"/>
  <c r="BA12" i="1"/>
  <c r="AZ12" i="1"/>
  <c r="AY12" i="1"/>
  <c r="AX12" i="1"/>
  <c r="AV12" i="1"/>
  <c r="AU12" i="1"/>
  <c r="AS12" i="1"/>
  <c r="AC12" i="1"/>
  <c r="W12" i="1"/>
  <c r="Q12" i="1"/>
  <c r="BO11" i="1"/>
  <c r="BN11" i="1"/>
  <c r="BM11" i="1"/>
  <c r="BL11" i="1"/>
  <c r="BK11" i="1"/>
  <c r="BJ11" i="1"/>
  <c r="BI11" i="1"/>
  <c r="AC11" i="1"/>
  <c r="W11" i="1"/>
  <c r="Q11" i="1"/>
  <c r="M11" i="1"/>
  <c r="W10" i="1"/>
  <c r="Q10" i="1"/>
  <c r="M10" i="1"/>
  <c r="J10" i="1"/>
  <c r="AH9" i="1"/>
  <c r="W9" i="1"/>
  <c r="Q9" i="1"/>
  <c r="AD8" i="1"/>
  <c r="AC8" i="1"/>
  <c r="Y8" i="1"/>
  <c r="W8" i="1"/>
  <c r="U8" i="1"/>
  <c r="Q8" i="1"/>
  <c r="AC7" i="1"/>
  <c r="Y7" i="1"/>
  <c r="W7" i="1"/>
  <c r="U7" i="1"/>
  <c r="Q7" i="1"/>
  <c r="M7" i="1"/>
  <c r="AW6" i="1"/>
  <c r="AT6" i="1"/>
  <c r="AD6" i="1"/>
  <c r="AC6" i="1"/>
  <c r="W6" i="1"/>
  <c r="Q6" i="1"/>
  <c r="K6" i="1"/>
  <c r="AW5" i="1"/>
  <c r="AT5" i="1"/>
  <c r="AD5" i="1"/>
  <c r="AC5" i="1"/>
  <c r="X5" i="1"/>
  <c r="Q5" i="1"/>
  <c r="L5" i="1"/>
  <c r="AW4" i="1"/>
  <c r="AT4" i="1"/>
  <c r="AM4" i="1"/>
  <c r="AL4" i="1"/>
  <c r="AD4" i="1"/>
  <c r="AC4" i="1"/>
  <c r="X4" i="1"/>
  <c r="Q4" i="1"/>
  <c r="L4" i="1"/>
  <c r="AW3" i="1"/>
  <c r="AT3" i="1"/>
  <c r="AM3" i="1"/>
  <c r="AL3" i="1"/>
  <c r="AD3" i="1"/>
  <c r="AC3" i="1"/>
  <c r="W3" i="1"/>
  <c r="Q3" i="1"/>
  <c r="L3" i="1"/>
  <c r="AH2" i="1"/>
  <c r="AG2" i="1"/>
  <c r="W2" i="1"/>
  <c r="Q2" i="1"/>
  <c r="L2" i="1"/>
  <c r="T1" i="1"/>
  <c r="J1"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xml:space="preserve"> rjs</author>
  </authors>
  <commentList>
    <comment ref="U3" authorId="0" shapeId="0" xr:uid="{00000000-0006-0000-0100-000001000000}">
      <text>
        <r>
          <rPr>
            <sz val="10"/>
            <color indexed="81"/>
            <rFont val="Tahoma"/>
            <family val="2"/>
          </rPr>
          <t>based upon N,Ed and the maximum moments My and Mz taken from the "variables pour la résistance" AND "variables pour la stabilité".
(N+M interaction is taken into account !)</t>
        </r>
      </text>
    </comment>
    <comment ref="AE11" authorId="0" shapeId="0" xr:uid="{00000000-0006-0000-0100-000002000000}">
      <text>
        <r>
          <rPr>
            <sz val="8"/>
            <color indexed="81"/>
            <rFont val="Tahoma"/>
            <family val="2"/>
          </rPr>
          <t xml:space="preserve">= number of the column in section list. If you want to add an other property of a section, add a number in this column, corresponding to the column number in the profile sheet
</t>
        </r>
      </text>
    </comment>
    <comment ref="P22" authorId="0" shapeId="0" xr:uid="{00000000-0006-0000-0100-000003000000}">
      <text>
        <r>
          <rPr>
            <sz val="8"/>
            <color indexed="81"/>
            <rFont val="Tahoma"/>
            <family val="2"/>
          </rPr>
          <t>* compression = negative
* cette valeur est aussi utillisé pour la vérification de la stabilité</t>
        </r>
      </text>
    </comment>
    <comment ref="P30" authorId="0" shapeId="0" xr:uid="{00000000-0006-0000-0100-000004000000}">
      <text>
        <r>
          <rPr>
            <sz val="10"/>
            <color indexed="81"/>
            <rFont val="Tahoma"/>
            <family val="2"/>
          </rPr>
          <t xml:space="preserve">conditions d'appui dans le plan </t>
        </r>
        <r>
          <rPr>
            <u/>
            <sz val="10"/>
            <color indexed="81"/>
            <rFont val="Tahoma"/>
            <family val="2"/>
          </rPr>
          <t>latéral</t>
        </r>
        <r>
          <rPr>
            <sz val="10"/>
            <color indexed="81"/>
            <rFont val="Tahoma"/>
            <family val="2"/>
          </rPr>
          <t xml:space="preserve"> (xy)
deux encastrements parfaits: 0.5
encastré / appuyé : 0.7
deux appuis simples : 1.0
voir aussi dans abaques</t>
        </r>
        <r>
          <rPr>
            <sz val="8"/>
            <color indexed="81"/>
            <rFont val="Tahoma"/>
            <family val="2"/>
          </rPr>
          <t xml:space="preserve">
</t>
        </r>
      </text>
    </comment>
    <comment ref="D69" authorId="0" shapeId="0" xr:uid="{00000000-0006-0000-0100-000005000000}">
      <text>
        <r>
          <rPr>
            <b/>
            <sz val="8"/>
            <color indexed="81"/>
            <rFont val="Tahoma"/>
            <family val="2"/>
          </rPr>
          <t xml:space="preserve">selon normes hollandaises 0.25 au lieu de 0.5.
dans le eurocode il n'y a pas des remarques sur les coefficients pour l'axe faible
</t>
        </r>
        <r>
          <rPr>
            <sz val="8"/>
            <color indexed="81"/>
            <rFont val="Tahoma"/>
            <family val="2"/>
          </rPr>
          <t xml:space="preserve">
</t>
        </r>
      </text>
    </comment>
    <comment ref="S80" authorId="0" shapeId="0" xr:uid="{00000000-0006-0000-0100-000006000000}">
      <text>
        <r>
          <rPr>
            <sz val="8"/>
            <color indexed="81"/>
            <rFont val="Tahoma"/>
            <family val="2"/>
          </rPr>
          <t xml:space="preserve">=1.00 for CHS </t>
        </r>
      </text>
    </comment>
    <comment ref="CC85" authorId="0" shapeId="0" xr:uid="{00000000-0006-0000-0100-000007000000}">
      <text>
        <r>
          <rPr>
            <sz val="8"/>
            <color indexed="81"/>
            <rFont val="Tahoma"/>
            <family val="2"/>
          </rPr>
          <t xml:space="preserve">avec N,V,pl au lieu de N,pl
</t>
        </r>
        <r>
          <rPr>
            <sz val="8"/>
            <color indexed="81"/>
            <rFont val="Tahoma"/>
            <family val="2"/>
          </rPr>
          <t xml:space="preserve">
</t>
        </r>
      </text>
    </comment>
    <comment ref="BO86" authorId="0" shapeId="0" xr:uid="{00000000-0006-0000-0100-000008000000}">
      <text>
        <r>
          <rPr>
            <b/>
            <sz val="8"/>
            <color indexed="81"/>
            <rFont val="Tahoma"/>
            <family val="2"/>
          </rPr>
          <t>classe 1&amp;2: W:pl
classe 3: W;el</t>
        </r>
        <r>
          <rPr>
            <sz val="8"/>
            <color indexed="81"/>
            <rFont val="Tahoma"/>
            <family val="2"/>
          </rPr>
          <t xml:space="preserve">
</t>
        </r>
      </text>
    </comment>
    <comment ref="BQ86" authorId="0" shapeId="0" xr:uid="{00000000-0006-0000-0100-000009000000}">
      <text>
        <r>
          <rPr>
            <b/>
            <sz val="8"/>
            <color indexed="81"/>
            <rFont val="Tahoma"/>
            <family val="2"/>
          </rPr>
          <t xml:space="preserve">classe 1&amp;2: W;pl
classe 3: W;el
</t>
        </r>
      </text>
    </comment>
    <comment ref="CC86" authorId="0" shapeId="0" xr:uid="{00000000-0006-0000-0100-00000A000000}">
      <text>
        <r>
          <rPr>
            <sz val="8"/>
            <color indexed="81"/>
            <rFont val="Tahoma"/>
            <family val="2"/>
          </rPr>
          <t>classe 1&amp;2: W:pl
classe 3: W;el</t>
        </r>
        <r>
          <rPr>
            <sz val="8"/>
            <color indexed="81"/>
            <rFont val="Tahoma"/>
            <family val="2"/>
          </rPr>
          <t xml:space="preserve">
</t>
        </r>
      </text>
    </comment>
    <comment ref="CD86" authorId="0" shapeId="0" xr:uid="{00000000-0006-0000-0100-00000B000000}">
      <text>
        <r>
          <rPr>
            <sz val="8"/>
            <color indexed="81"/>
            <rFont val="Tahoma"/>
            <family val="2"/>
          </rPr>
          <t>M,N,V,y,Rd =M,N,y,Rd - W,V*fy*</t>
        </r>
        <r>
          <rPr>
            <sz val="8"/>
            <color indexed="81"/>
            <rFont val="Arial"/>
            <family val="2"/>
          </rPr>
          <t>ρ</t>
        </r>
        <r>
          <rPr>
            <sz val="6.8"/>
            <color indexed="81"/>
            <rFont val="Tahoma"/>
            <family val="2"/>
          </rPr>
          <t xml:space="preserve">
</t>
        </r>
        <r>
          <rPr>
            <sz val="9"/>
            <color indexed="81"/>
            <rFont val="Tahoma"/>
            <family val="2"/>
          </rPr>
          <t>W,V = le module de la section Avz, plastique pour classe 1 &amp; 2, élastique pour classe 3</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xml:space="preserve"> rjs</author>
  </authors>
  <commentList>
    <comment ref="B28" authorId="0" shapeId="0" xr:uid="{00000000-0006-0000-0300-000001000000}">
      <text>
        <r>
          <rPr>
            <sz val="10"/>
            <color indexed="81"/>
            <rFont val="Tahoma"/>
            <family val="2"/>
          </rPr>
          <t>seulement valide pour barres stabiles
(lambda y &amp; z &lt; 0.2, lambda LT&lt; 0.4°</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xml:space="preserve"> rjs</author>
  </authors>
  <commentList>
    <comment ref="Z1" authorId="0" shapeId="0" xr:uid="{00000000-0006-0000-0800-000001000000}">
      <text>
        <r>
          <rPr>
            <b/>
            <sz val="8"/>
            <color indexed="81"/>
            <rFont val="Tahoma"/>
            <family val="2"/>
          </rPr>
          <t xml:space="preserve">pour déterminer tau;max
</t>
        </r>
        <r>
          <rPr>
            <sz val="8"/>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xml:space="preserve"> rjs</author>
  </authors>
  <commentList>
    <comment ref="Z1" authorId="0" shapeId="0" xr:uid="{00000000-0006-0000-0900-000001000000}">
      <text>
        <r>
          <rPr>
            <b/>
            <sz val="8"/>
            <color indexed="81"/>
            <rFont val="Tahoma"/>
            <family val="2"/>
          </rPr>
          <t xml:space="preserve">pour déterminer tau;max
</t>
        </r>
        <r>
          <rPr>
            <sz val="8"/>
            <color indexed="81"/>
            <rFont val="Tahoma"/>
            <family val="2"/>
          </rPr>
          <t xml:space="preserve">
</t>
        </r>
      </text>
    </comment>
    <comment ref="BB264" authorId="0" shapeId="0" xr:uid="{00000000-0006-0000-0900-000002000000}">
      <text>
        <r>
          <rPr>
            <b/>
            <sz val="8"/>
            <color indexed="81"/>
            <rFont val="Tahoma"/>
            <family val="2"/>
          </rPr>
          <t xml:space="preserve">pour déterminer tau;max
</t>
        </r>
        <r>
          <rPr>
            <sz val="8"/>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GIRARDON Cloe</author>
  </authors>
  <commentList>
    <comment ref="B21" authorId="0" shapeId="0" xr:uid="{00000000-0006-0000-0A00-000001000000}">
      <text>
        <r>
          <rPr>
            <b/>
            <sz val="9"/>
            <color indexed="81"/>
            <rFont val="Tahoma"/>
            <family val="2"/>
          </rPr>
          <t>GIRARDON Cloe:</t>
        </r>
        <r>
          <rPr>
            <sz val="9"/>
            <color indexed="81"/>
            <rFont val="Tahoma"/>
            <family val="2"/>
          </rPr>
          <t xml:space="preserve">
Section en I</t>
        </r>
      </text>
    </comment>
    <comment ref="B24" authorId="0" shapeId="0" xr:uid="{00000000-0006-0000-0A00-000002000000}">
      <text>
        <r>
          <rPr>
            <b/>
            <sz val="9"/>
            <color indexed="81"/>
            <rFont val="Tahoma"/>
            <family val="2"/>
          </rPr>
          <t>GIRARDON Cloe:</t>
        </r>
        <r>
          <rPr>
            <sz val="9"/>
            <color indexed="81"/>
            <rFont val="Tahoma"/>
            <family val="2"/>
          </rPr>
          <t xml:space="preserve">
section annulaire</t>
        </r>
      </text>
    </comment>
    <comment ref="E24" authorId="0" shapeId="0" xr:uid="{00000000-0006-0000-0A00-000003000000}">
      <text>
        <r>
          <rPr>
            <b/>
            <sz val="9"/>
            <color indexed="81"/>
            <rFont val="Tahoma"/>
            <family val="2"/>
          </rPr>
          <t>GIRARDON Cloe:</t>
        </r>
        <r>
          <rPr>
            <sz val="9"/>
            <color indexed="81"/>
            <rFont val="Tahoma"/>
            <family val="2"/>
          </rPr>
          <t xml:space="preserve">
raon extérieur</t>
        </r>
      </text>
    </comment>
    <comment ref="G24" authorId="0" shapeId="0" xr:uid="{00000000-0006-0000-0A00-000004000000}">
      <text>
        <r>
          <rPr>
            <b/>
            <sz val="9"/>
            <color indexed="81"/>
            <rFont val="Tahoma"/>
            <family val="2"/>
          </rPr>
          <t>GIRARDON Cloe:</t>
        </r>
        <r>
          <rPr>
            <sz val="9"/>
            <color indexed="81"/>
            <rFont val="Tahoma"/>
            <family val="2"/>
          </rPr>
          <t xml:space="preserve">
rayon intérieur</t>
        </r>
      </text>
    </comment>
    <comment ref="B26" authorId="0" shapeId="0" xr:uid="{00000000-0006-0000-0A00-000005000000}">
      <text>
        <r>
          <rPr>
            <b/>
            <sz val="9"/>
            <color indexed="81"/>
            <rFont val="Tahoma"/>
            <family val="2"/>
          </rPr>
          <t>GIRARDON Cloe:</t>
        </r>
        <r>
          <rPr>
            <sz val="9"/>
            <color indexed="81"/>
            <rFont val="Tahoma"/>
            <family val="2"/>
          </rPr>
          <t xml:space="preserve">
Section ronde</t>
        </r>
      </text>
    </comment>
    <comment ref="B28" authorId="0" shapeId="0" xr:uid="{00000000-0006-0000-0A00-000006000000}">
      <text>
        <r>
          <rPr>
            <b/>
            <sz val="9"/>
            <color indexed="81"/>
            <rFont val="Tahoma"/>
            <family val="2"/>
          </rPr>
          <t>GIRARDON Cloe:</t>
        </r>
        <r>
          <rPr>
            <sz val="9"/>
            <color indexed="81"/>
            <rFont val="Tahoma"/>
            <family val="2"/>
          </rPr>
          <t xml:space="preserve">
Section rectgulaire</t>
        </r>
      </text>
    </comment>
  </commentList>
</comments>
</file>

<file path=xl/sharedStrings.xml><?xml version="1.0" encoding="utf-8"?>
<sst xmlns="http://schemas.openxmlformats.org/spreadsheetml/2006/main" count="3147" uniqueCount="1939">
  <si>
    <t>mm</t>
  </si>
  <si>
    <t>mm2</t>
  </si>
  <si>
    <t>Iy</t>
  </si>
  <si>
    <t>mm4</t>
  </si>
  <si>
    <t>Wy</t>
  </si>
  <si>
    <t>mm3</t>
  </si>
  <si>
    <t>iy</t>
  </si>
  <si>
    <t>Iz</t>
  </si>
  <si>
    <t>Wz</t>
  </si>
  <si>
    <t>iz</t>
  </si>
  <si>
    <t>It</t>
  </si>
  <si>
    <t>g</t>
  </si>
  <si>
    <t>h</t>
  </si>
  <si>
    <t>b</t>
  </si>
  <si>
    <t>tw</t>
  </si>
  <si>
    <t>tf</t>
  </si>
  <si>
    <t>A</t>
  </si>
  <si>
    <t>Wply</t>
  </si>
  <si>
    <t>Avz</t>
  </si>
  <si>
    <t>Wplz</t>
  </si>
  <si>
    <t>Ss</t>
  </si>
  <si>
    <t>Iw</t>
  </si>
  <si>
    <t>kg/m</t>
  </si>
  <si>
    <t>mm6</t>
  </si>
  <si>
    <t>IPEA100</t>
  </si>
  <si>
    <t>IPE100</t>
  </si>
  <si>
    <t>IPEA120</t>
  </si>
  <si>
    <t>IPE120</t>
  </si>
  <si>
    <t>IPEA140</t>
  </si>
  <si>
    <t>IPE140</t>
  </si>
  <si>
    <t>IPEA160</t>
  </si>
  <si>
    <t>IPE160</t>
  </si>
  <si>
    <t>IPEA180</t>
  </si>
  <si>
    <t>IPE180</t>
  </si>
  <si>
    <t>IPEO180</t>
  </si>
  <si>
    <t>IPEA200</t>
  </si>
  <si>
    <t>IPE200</t>
  </si>
  <si>
    <t>IPEO200</t>
  </si>
  <si>
    <t>IPEA220</t>
  </si>
  <si>
    <t>IPE220</t>
  </si>
  <si>
    <t>IPEO220</t>
  </si>
  <si>
    <t>IPEA240</t>
  </si>
  <si>
    <t>IPE240</t>
  </si>
  <si>
    <t>IPEO240</t>
  </si>
  <si>
    <t>IPEA270</t>
  </si>
  <si>
    <t>IPE270</t>
  </si>
  <si>
    <t>IPEO270</t>
  </si>
  <si>
    <t>IPEA300</t>
  </si>
  <si>
    <t>IPE300</t>
  </si>
  <si>
    <t>IPEO300</t>
  </si>
  <si>
    <t>IPEA330</t>
  </si>
  <si>
    <t>IPE330</t>
  </si>
  <si>
    <t>IPEO330</t>
  </si>
  <si>
    <t>IPE360</t>
  </si>
  <si>
    <t>IPEO360</t>
  </si>
  <si>
    <t>IPE400</t>
  </si>
  <si>
    <t>IPEO400</t>
  </si>
  <si>
    <t>IPE450</t>
  </si>
  <si>
    <t>IPEO450</t>
  </si>
  <si>
    <t>IPE500</t>
  </si>
  <si>
    <t>IPEO500</t>
  </si>
  <si>
    <t>IPEO550</t>
  </si>
  <si>
    <t>IPE600</t>
  </si>
  <si>
    <t>Wy;el</t>
  </si>
  <si>
    <t>Wz;el</t>
  </si>
  <si>
    <t>Wz,pl</t>
  </si>
  <si>
    <t>t;w</t>
  </si>
  <si>
    <t>t;f</t>
  </si>
  <si>
    <t>L</t>
  </si>
  <si>
    <t>longueur</t>
  </si>
  <si>
    <t>longueur de flambement y-y</t>
  </si>
  <si>
    <t>longueur de flambement z-z</t>
  </si>
  <si>
    <t>longueur de déversement</t>
  </si>
  <si>
    <t>effort normal</t>
  </si>
  <si>
    <t>effort tranchant z</t>
  </si>
  <si>
    <t>effort tranchant y</t>
  </si>
  <si>
    <t>m</t>
  </si>
  <si>
    <t>kN</t>
  </si>
  <si>
    <t>kNm</t>
  </si>
  <si>
    <t>fy</t>
  </si>
  <si>
    <t>a</t>
  </si>
  <si>
    <t>Wy,pl</t>
  </si>
  <si>
    <t>[6.12]</t>
  </si>
  <si>
    <t>[6.14]</t>
  </si>
  <si>
    <t>[6.13]</t>
  </si>
  <si>
    <t>[6.5] &amp; [6.9]</t>
  </si>
  <si>
    <t>[6.17]</t>
  </si>
  <si>
    <t>E</t>
  </si>
  <si>
    <t>[6.50]</t>
  </si>
  <si>
    <t>[6.49]</t>
  </si>
  <si>
    <t>tableau 6.1</t>
  </si>
  <si>
    <t>a0</t>
  </si>
  <si>
    <t>courbe</t>
  </si>
  <si>
    <t>facteur α</t>
  </si>
  <si>
    <t>c</t>
  </si>
  <si>
    <t>d</t>
  </si>
  <si>
    <t>[6.46]</t>
  </si>
  <si>
    <t>§ 6.3.1.3</t>
  </si>
  <si>
    <t>§ 6.3.1.2</t>
  </si>
  <si>
    <t>§ 6.3.1.1</t>
  </si>
  <si>
    <r>
      <t>λ</t>
    </r>
    <r>
      <rPr>
        <sz val="10"/>
        <rFont val="Times New Roman"/>
        <family val="1"/>
      </rPr>
      <t>1=</t>
    </r>
  </si>
  <si>
    <t>αy=</t>
  </si>
  <si>
    <t>Фy=</t>
  </si>
  <si>
    <t>χy=</t>
  </si>
  <si>
    <t>Nz;b;Rd=</t>
  </si>
  <si>
    <t>αz=</t>
  </si>
  <si>
    <t>Фz=</t>
  </si>
  <si>
    <t>χz=</t>
  </si>
  <si>
    <t>tableau 5.2</t>
  </si>
  <si>
    <t>tableau 6.2</t>
  </si>
  <si>
    <t>tableau B.3</t>
  </si>
  <si>
    <t>§ 6.1</t>
  </si>
  <si>
    <t>§ 3.2.6</t>
  </si>
  <si>
    <t>[6.47]</t>
  </si>
  <si>
    <t>§ 6.3.2.2</t>
  </si>
  <si>
    <t>tableau 6.4</t>
  </si>
  <si>
    <t>G</t>
  </si>
  <si>
    <t>αLT=</t>
  </si>
  <si>
    <t>k</t>
  </si>
  <si>
    <t>annexe F, page F-2</t>
  </si>
  <si>
    <t>[6.56]</t>
  </si>
  <si>
    <t>[6.55]</t>
  </si>
  <si>
    <t>[6.54]</t>
  </si>
  <si>
    <t>§ 6.3.2.1</t>
  </si>
  <si>
    <t>[6.12] &amp; [6.13]</t>
  </si>
  <si>
    <t>§ 6.3.1 Flambement barre comprimée</t>
  </si>
  <si>
    <t>§ 6.3.3 Barre uniforme fléchie et comprimé</t>
  </si>
  <si>
    <t>§ 6.2.3 &amp; 6.2.4 Traction et compression</t>
  </si>
  <si>
    <t>[6.29]</t>
  </si>
  <si>
    <t>ψ=</t>
  </si>
  <si>
    <t>Ci=</t>
  </si>
  <si>
    <t>M=</t>
  </si>
  <si>
    <t>ψM=</t>
  </si>
  <si>
    <t>Mh=</t>
  </si>
  <si>
    <t>Ms=</t>
  </si>
  <si>
    <t>ψMh=</t>
  </si>
  <si>
    <t>=</t>
  </si>
  <si>
    <t>diagramme 1</t>
  </si>
  <si>
    <t>diagramme 2</t>
  </si>
  <si>
    <t>diagramme 3</t>
  </si>
  <si>
    <t>αh=</t>
  </si>
  <si>
    <t>αs=</t>
  </si>
  <si>
    <t>Cmy=</t>
  </si>
  <si>
    <t>Cmz=</t>
  </si>
  <si>
    <t>Ci(αs&lt;0)=</t>
  </si>
  <si>
    <t>Ci(αs&gt;=0)=</t>
  </si>
  <si>
    <t>charge unif</t>
  </si>
  <si>
    <t>charge conc</t>
  </si>
  <si>
    <t>Ci&gt;=0.4 ?</t>
  </si>
  <si>
    <t>conc &gt;.4?</t>
  </si>
  <si>
    <t>unif &gt;.4?</t>
  </si>
  <si>
    <t>kyy</t>
  </si>
  <si>
    <t>classe 1&amp;2</t>
  </si>
  <si>
    <t>classe3</t>
  </si>
  <si>
    <t>kyz</t>
  </si>
  <si>
    <t>kzy</t>
  </si>
  <si>
    <t>kzz</t>
  </si>
  <si>
    <t>kyy=</t>
  </si>
  <si>
    <t>kyz=</t>
  </si>
  <si>
    <t>kzy=</t>
  </si>
  <si>
    <t>kzz=</t>
  </si>
  <si>
    <t>tableau B.1</t>
  </si>
  <si>
    <t>Annexe B</t>
  </si>
  <si>
    <t>Section:</t>
  </si>
  <si>
    <t>pour les barres à mode d'instabilité à nœuds déplacables: Cmi=0.9</t>
  </si>
  <si>
    <t xml:space="preserve">facteurs Kij pour barres non sensibles aux déformations par torsion, tableau B.1 </t>
  </si>
  <si>
    <t>[6.61]</t>
  </si>
  <si>
    <t>[6.62]</t>
  </si>
  <si>
    <t>§ 6.2.8 (2&amp;3)</t>
  </si>
  <si>
    <t>profiel</t>
  </si>
  <si>
    <t>IPN</t>
  </si>
  <si>
    <t>IPN100</t>
  </si>
  <si>
    <t>IPN120</t>
  </si>
  <si>
    <t>IPN140</t>
  </si>
  <si>
    <t>IPN160</t>
  </si>
  <si>
    <t>IPN180</t>
  </si>
  <si>
    <t>IPN200</t>
  </si>
  <si>
    <t>IPN220</t>
  </si>
  <si>
    <t>IPN240</t>
  </si>
  <si>
    <t>IPN260</t>
  </si>
  <si>
    <t>IPN280</t>
  </si>
  <si>
    <t>IPN300</t>
  </si>
  <si>
    <t>IPN320</t>
  </si>
  <si>
    <t>IPN340</t>
  </si>
  <si>
    <t>IPN360</t>
  </si>
  <si>
    <t>IPN380</t>
  </si>
  <si>
    <t>IPN400</t>
  </si>
  <si>
    <t>IPN450</t>
  </si>
  <si>
    <t>IPN500</t>
  </si>
  <si>
    <t>IPN550</t>
  </si>
  <si>
    <t>HD-profielen</t>
  </si>
  <si>
    <t>Avy</t>
  </si>
  <si>
    <t>IPE</t>
  </si>
  <si>
    <t>HE</t>
  </si>
  <si>
    <t>HD</t>
  </si>
  <si>
    <t>Custom</t>
  </si>
  <si>
    <t>No Profil</t>
  </si>
  <si>
    <t>Nom profil</t>
  </si>
  <si>
    <t>1500x40</t>
  </si>
  <si>
    <t>-</t>
  </si>
  <si>
    <t>no profil</t>
  </si>
  <si>
    <t>section</t>
  </si>
  <si>
    <t>CHS</t>
  </si>
  <si>
    <t>RHS</t>
  </si>
  <si>
    <t>RHS200x100x16</t>
  </si>
  <si>
    <t>no section</t>
  </si>
  <si>
    <t>no fy</t>
  </si>
  <si>
    <t>N</t>
  </si>
  <si>
    <t>Vy</t>
  </si>
  <si>
    <t>Vz</t>
  </si>
  <si>
    <t>§ 6.3.2 Déversement (sections en I laminée fléchies)</t>
  </si>
  <si>
    <t>r</t>
  </si>
  <si>
    <t xml:space="preserve"> mm</t>
  </si>
  <si>
    <t>n=</t>
  </si>
  <si>
    <t>≤ 0.5</t>
  </si>
  <si>
    <t>§ 6.2.9.1(5)</t>
  </si>
  <si>
    <t>M;N;y;Rd=</t>
  </si>
  <si>
    <t>a;f=</t>
  </si>
  <si>
    <t>≤ 1.0</t>
  </si>
  <si>
    <t>α=</t>
  </si>
  <si>
    <r>
      <t>β</t>
    </r>
    <r>
      <rPr>
        <sz val="10"/>
        <rFont val="Arial"/>
        <family val="2"/>
      </rPr>
      <t>=</t>
    </r>
  </si>
  <si>
    <t>a(;w)</t>
  </si>
  <si>
    <t>(1-n)(1-0.5a;t)</t>
  </si>
  <si>
    <t>My^α+Mz^β&lt;1</t>
  </si>
  <si>
    <t>[6.41]</t>
  </si>
  <si>
    <t>[6.36 ou .39]</t>
  </si>
  <si>
    <t>[6.37,.38,.39]</t>
  </si>
  <si>
    <t>§ 6.2.9.1(6)</t>
  </si>
  <si>
    <t>[6.36] &amp; [6.39]</t>
  </si>
  <si>
    <t>[6.36&amp;37&amp;40]</t>
  </si>
  <si>
    <t>[6.31]</t>
  </si>
  <si>
    <t>M,N,y,Rd=</t>
  </si>
  <si>
    <t>M,N,z,Rd=</t>
  </si>
  <si>
    <t>Ny,b,Rd=</t>
  </si>
  <si>
    <t>My</t>
  </si>
  <si>
    <t>Mz</t>
  </si>
  <si>
    <t>Flambement</t>
  </si>
  <si>
    <t>Déversement</t>
  </si>
  <si>
    <t>a(,w)=</t>
  </si>
  <si>
    <t>a,f=</t>
  </si>
  <si>
    <t>Tableau 6.1 Facteurs de imperfection</t>
  </si>
  <si>
    <t>Courbe de</t>
  </si>
  <si>
    <t>flamb y-y</t>
  </si>
  <si>
    <t>courbe de</t>
  </si>
  <si>
    <t>flambe z-z</t>
  </si>
  <si>
    <t>flambement y-y</t>
  </si>
  <si>
    <t>flambement z-z</t>
  </si>
  <si>
    <t>Profil</t>
  </si>
  <si>
    <t>Limite d'élasticité</t>
  </si>
  <si>
    <t>flamb z-z</t>
  </si>
  <si>
    <t>h/b</t>
  </si>
  <si>
    <t>de flamb</t>
  </si>
  <si>
    <t xml:space="preserve">courbe </t>
  </si>
  <si>
    <t>Npl,Rd</t>
  </si>
  <si>
    <t>My,el,Rd</t>
  </si>
  <si>
    <t>My,pl,Rd</t>
  </si>
  <si>
    <t>Mz,el,Rd</t>
  </si>
  <si>
    <t>Mz,pl,Rd</t>
  </si>
  <si>
    <t>g,M1</t>
  </si>
  <si>
    <t>g,M2</t>
  </si>
  <si>
    <t>L,cr,y</t>
  </si>
  <si>
    <t>L,cr,z</t>
  </si>
  <si>
    <t>L,cr,dev</t>
  </si>
  <si>
    <t>N,Ed</t>
  </si>
  <si>
    <t>Vz,Ed</t>
  </si>
  <si>
    <t>Vy,Ed</t>
  </si>
  <si>
    <t>My,Ed,milieu</t>
  </si>
  <si>
    <t>Mz,Ed,milieu</t>
  </si>
  <si>
    <t>g,M0</t>
  </si>
  <si>
    <t>t&lt;40 mm</t>
  </si>
  <si>
    <t>t&gt;40 mm</t>
  </si>
  <si>
    <t>classe</t>
  </si>
  <si>
    <t>Paroi fléchie</t>
  </si>
  <si>
    <t>Paroi comprimée</t>
  </si>
  <si>
    <t>r,internal</t>
  </si>
  <si>
    <t>α</t>
  </si>
  <si>
    <t>ψ</t>
  </si>
  <si>
    <t>ε =</t>
  </si>
  <si>
    <t>Parois interne</t>
  </si>
  <si>
    <t>3 (avec ε*)</t>
  </si>
  <si>
    <t>c/t;w =</t>
  </si>
  <si>
    <t>Paroi fléchie et comprimée</t>
  </si>
  <si>
    <t>Extrémité comprimée</t>
  </si>
  <si>
    <t>Extrémité tendue</t>
  </si>
  <si>
    <t>σ,Mz,max(,theoretical)</t>
  </si>
  <si>
    <t>σ,N + σ,My + σ,Mz,i</t>
  </si>
  <si>
    <t>EN1993-1-5, p. 19</t>
  </si>
  <si>
    <r>
      <t>k;</t>
    </r>
    <r>
      <rPr>
        <sz val="10"/>
        <rFont val="Arial"/>
        <family val="2"/>
      </rPr>
      <t>σ</t>
    </r>
  </si>
  <si>
    <t>i * ε =</t>
  </si>
  <si>
    <t>Classe</t>
  </si>
  <si>
    <t>Comprimée</t>
  </si>
  <si>
    <t>Fléchie et comprimée</t>
  </si>
  <si>
    <t>§ 5.5.2.(9)</t>
  </si>
  <si>
    <t>*profil bi-symmetrique: favorable*</t>
  </si>
  <si>
    <t>c/t;f=</t>
  </si>
  <si>
    <t>Classe ame</t>
  </si>
  <si>
    <t>3 ? (avec ε*)</t>
  </si>
  <si>
    <t>Classe semelles</t>
  </si>
  <si>
    <t>Classe section</t>
  </si>
  <si>
    <t>σ,com,Ed =</t>
  </si>
  <si>
    <t>Tableau 5.2 Parois comprimées internes</t>
  </si>
  <si>
    <t>(Compression est negative, plus grande compression est la contrainte maximale)</t>
  </si>
  <si>
    <t>Tableau 5.2 Semelles en console</t>
  </si>
  <si>
    <t xml:space="preserve">Classifications des sections rectangulaires </t>
  </si>
  <si>
    <t>σ,Mz(,theoretical)</t>
  </si>
  <si>
    <t>σ,N - σ,My - σ,Mz</t>
  </si>
  <si>
    <t>σ,N + σ,My - σ,Mz</t>
  </si>
  <si>
    <t>c/t;f =</t>
  </si>
  <si>
    <t>σ,N - σ,My + σ,Mz</t>
  </si>
  <si>
    <t>classe de l'ame</t>
  </si>
  <si>
    <t>classe de semelles</t>
  </si>
  <si>
    <t>Classifications des sections tubulaires</t>
  </si>
  <si>
    <t>d/t=</t>
  </si>
  <si>
    <t>i * ε ² =</t>
  </si>
  <si>
    <t>Tableau 5.2 Parois comprimées internes - ame</t>
  </si>
  <si>
    <t>Tableau 5.2 Parois comprimées internes - semelles</t>
  </si>
  <si>
    <t>tableau 3.1</t>
  </si>
  <si>
    <t>Classe semelle</t>
  </si>
  <si>
    <t>N/mm²</t>
  </si>
  <si>
    <t>mm²</t>
  </si>
  <si>
    <t>σ,N (N/mm²)</t>
  </si>
  <si>
    <t>σ,My(,theoretical) (N/mm²)</t>
  </si>
  <si>
    <t>σ,max,N+My (N/mm²)</t>
  </si>
  <si>
    <t>σ,min,N+My (N/mm²)</t>
  </si>
  <si>
    <t>σ,N + σ,My (N/mm²)</t>
  </si>
  <si>
    <t>σ,Mz,min (N/mm²)</t>
  </si>
  <si>
    <t>σ,min (N/mm²)</t>
  </si>
  <si>
    <t>σ,max (N/mm²)</t>
  </si>
  <si>
    <t>c,paroi interne = h - 2 r - 2 t,f =</t>
  </si>
  <si>
    <t>c,semelle = 0.5 b - 0.5 t,w - r =</t>
  </si>
  <si>
    <t>c,paroi interne = h - 3 t =</t>
  </si>
  <si>
    <t>c,paroi interne = b - 3 t =</t>
  </si>
  <si>
    <t xml:space="preserve">Classifications des sections en HE, HD, IPE &amp; IPN </t>
  </si>
  <si>
    <t>Calculation de csaillement classe 3</t>
  </si>
  <si>
    <t>Sv</t>
  </si>
  <si>
    <t xml:space="preserve">Classe 1&amp;2 </t>
  </si>
  <si>
    <t>[6.20]</t>
  </si>
  <si>
    <t>[6.19]</t>
  </si>
  <si>
    <t>$ 6.2.6.(4) - Classe 3</t>
  </si>
  <si>
    <r>
      <t xml:space="preserve">S,Vz </t>
    </r>
    <r>
      <rPr>
        <i/>
        <sz val="10"/>
        <rFont val="Times New Roman"/>
        <family val="1"/>
      </rPr>
      <t>[6.20]</t>
    </r>
  </si>
  <si>
    <r>
      <t xml:space="preserve">S,Vy </t>
    </r>
    <r>
      <rPr>
        <i/>
        <sz val="10"/>
        <rFont val="Times New Roman"/>
        <family val="1"/>
      </rPr>
      <t>[6.20]</t>
    </r>
  </si>
  <si>
    <t>S,Vz</t>
  </si>
  <si>
    <t>S,Vy</t>
  </si>
  <si>
    <t xml:space="preserve">S,Vz </t>
  </si>
  <si>
    <t>§ 6.2.8 Flexion et cisaillement (My + Vz)</t>
  </si>
  <si>
    <t>§ 6.2.6 Cisaillement (Vz)</t>
  </si>
  <si>
    <t>§ 6.2.6 Cisaillement (Vy)</t>
  </si>
  <si>
    <t>§ 6.2.9 Flexion et effort normal (My + N, Mz + N, My + Mz + N)</t>
  </si>
  <si>
    <t>ρ</t>
  </si>
  <si>
    <t>My,V,Rd</t>
  </si>
  <si>
    <t>Classe 3</t>
  </si>
  <si>
    <t>mm³</t>
  </si>
  <si>
    <t>§ 6.2.5 Moment fléchissant (My &amp; Mz)</t>
  </si>
  <si>
    <t>§ 6.2.6 Cisaillement (Vz &amp; Vy)</t>
  </si>
  <si>
    <t>§ 6.2.9 Flexion et effort normal (My + N &amp; Mz + N &amp; My + Mz + N)</t>
  </si>
  <si>
    <t>My + N</t>
  </si>
  <si>
    <t>Mz + N</t>
  </si>
  <si>
    <t>My + Vz</t>
  </si>
  <si>
    <t>My + Mz + N</t>
  </si>
  <si>
    <t>M,V,y,Rd =</t>
  </si>
  <si>
    <t>N,V,pl=Npl-ρ*Aw*fy</t>
  </si>
  <si>
    <t>§ 6.2.10 Flexion, cisaillement et effort normal (My + Vz + N)</t>
  </si>
  <si>
    <t>N,V,pl = Npl - ρ*Aw*fy =</t>
  </si>
  <si>
    <t>n=N,Ed/N,V,pl</t>
  </si>
  <si>
    <t>(1-n)/(1-0.5a(w))</t>
  </si>
  <si>
    <t>M,N,V,y,Rd</t>
  </si>
  <si>
    <t>[6.36* ou .39*]</t>
  </si>
  <si>
    <t>M,N,y,Rd =</t>
  </si>
  <si>
    <t>M,N,V,y,Rd = M,N,y,Rd - ρ*W,vz*fy =</t>
  </si>
  <si>
    <t>My + Vz + N</t>
  </si>
  <si>
    <t>§ 6.2.8 Flexion et cisaillement (Mz + Vy)</t>
  </si>
  <si>
    <t>S,vz;tot</t>
  </si>
  <si>
    <t>M,V,z,Rd =</t>
  </si>
  <si>
    <t>Mz,V,Rd</t>
  </si>
  <si>
    <t>Mz + Vy</t>
  </si>
  <si>
    <r>
      <t>EN1993-1-1</t>
    </r>
    <r>
      <rPr>
        <sz val="10"/>
        <rFont val="Times New Roman"/>
        <family val="1"/>
      </rPr>
      <t>, octobre 2005 (F)</t>
    </r>
  </si>
  <si>
    <r>
      <t>≤</t>
    </r>
    <r>
      <rPr>
        <sz val="10"/>
        <rFont val="Arial"/>
        <family val="2"/>
      </rPr>
      <t>1.00</t>
    </r>
  </si>
  <si>
    <t>§ 6.2.8 Flexion et cisaillement (My + Vz &amp; Mz + Vy)</t>
  </si>
  <si>
    <t>Classification des sections transversales selon EN 1993-1-1: octobre 2005</t>
  </si>
  <si>
    <t>σMz,x,d=</t>
  </si>
  <si>
    <t>σMy,x,d=</t>
  </si>
  <si>
    <t>σN,x,d=</t>
  </si>
  <si>
    <t>τVz,d=</t>
  </si>
  <si>
    <t>τVy,d=</t>
  </si>
  <si>
    <t>1220x10</t>
  </si>
  <si>
    <t>1220x12.5</t>
  </si>
  <si>
    <t>1220x16</t>
  </si>
  <si>
    <t>1220x20</t>
  </si>
  <si>
    <t>1220x25</t>
  </si>
  <si>
    <t>1220x32</t>
  </si>
  <si>
    <t>1220x36</t>
  </si>
  <si>
    <t>1220x40</t>
  </si>
  <si>
    <t>1220x45</t>
  </si>
  <si>
    <t>1220x50</t>
  </si>
  <si>
    <t>Version</t>
  </si>
  <si>
    <t>test 3</t>
  </si>
  <si>
    <t>added and updated CHS profiles</t>
  </si>
  <si>
    <t>Updates</t>
  </si>
  <si>
    <t>Date</t>
  </si>
  <si>
    <t>section =</t>
  </si>
  <si>
    <t>added section names to 'calcul classe'</t>
  </si>
  <si>
    <t>changed name to 'EC3 section &amp; stability'</t>
  </si>
  <si>
    <r>
      <t xml:space="preserve">facteur C1 </t>
    </r>
    <r>
      <rPr>
        <sz val="8"/>
        <rFont val="Arial"/>
        <family val="2"/>
      </rPr>
      <t>(section  2xsymm.: c3=0)</t>
    </r>
  </si>
  <si>
    <t>C1</t>
  </si>
  <si>
    <t>C2</t>
  </si>
  <si>
    <t>z,g</t>
  </si>
  <si>
    <t>added C2 and z,g for flange buckling calculation</t>
  </si>
  <si>
    <t>mm)</t>
  </si>
  <si>
    <t>fy,d</t>
  </si>
  <si>
    <t>test 4</t>
  </si>
  <si>
    <t>test 5</t>
  </si>
  <si>
    <t>It for CHS sections was corrupt, correction</t>
  </si>
  <si>
    <t>removed M+N+V check for class 3</t>
  </si>
  <si>
    <t>insertion of conditional format for unity checks</t>
  </si>
  <si>
    <t>§ 6.2.3 &amp; § 6.2.4 Traction et compression (N)</t>
  </si>
  <si>
    <t>N,Ed / N,pl,Rd</t>
  </si>
  <si>
    <t>My,Ed / My,Rd</t>
  </si>
  <si>
    <t>Mz,Ed / Mz,Rd</t>
  </si>
  <si>
    <t>Vz,Ed / Vz,,pl,Rd</t>
  </si>
  <si>
    <t>Vy,Ed / Vy,,pl,Rd</t>
  </si>
  <si>
    <t>My,Ed / My,V,Rd</t>
  </si>
  <si>
    <t>Vz&lt; 0.5 Vz,Rd ?</t>
  </si>
  <si>
    <t>Classe 1,2,3</t>
  </si>
  <si>
    <t>Vz,Ed / Vz, Rd</t>
  </si>
  <si>
    <t>Vy,Ed / Vy, Rd</t>
  </si>
  <si>
    <t>§ 6.2.8 (2)</t>
  </si>
  <si>
    <t>Mz,Ed / Mz,V,Rd</t>
  </si>
  <si>
    <t>σN,x,d</t>
  </si>
  <si>
    <t>σMy,x,d</t>
  </si>
  <si>
    <t>M;N;z;Rd</t>
  </si>
  <si>
    <t>M;N;y;Rd</t>
  </si>
  <si>
    <t>Mz,Ed / M,N,z</t>
  </si>
  <si>
    <t>My,Ed / M,N,y</t>
  </si>
  <si>
    <t>My,Ed/M,N,V,y</t>
  </si>
  <si>
    <t>Classe 1,2</t>
  </si>
  <si>
    <t xml:space="preserve">τy,Ed </t>
  </si>
  <si>
    <t>(N/mm2)</t>
  </si>
  <si>
    <t>τy,Ed</t>
  </si>
  <si>
    <t>τz,Ed</t>
  </si>
  <si>
    <t>§ 6.2.7 Torsion (T)</t>
  </si>
  <si>
    <t>test 6</t>
  </si>
  <si>
    <t>prepared sheet for multiple check</t>
  </si>
  <si>
    <t>correction of N+M interaction for class 3 according to (6.42)</t>
  </si>
  <si>
    <t>[F-4]</t>
  </si>
  <si>
    <t>Résumé de vérifications</t>
  </si>
  <si>
    <t>§ 6.2 Résistance des sections</t>
  </si>
  <si>
    <t>§ 6.3 Stabilité des barres</t>
  </si>
  <si>
    <t>§ 6.3 Résistance des barres aux instabilités</t>
  </si>
  <si>
    <t>My,Ed,début</t>
  </si>
  <si>
    <t>My,Ed,fin</t>
  </si>
  <si>
    <t>Mz,Ed,début</t>
  </si>
  <si>
    <t>Mz,Ed,fin</t>
  </si>
  <si>
    <r>
      <t xml:space="preserve">? Class 3 with </t>
    </r>
    <r>
      <rPr>
        <sz val="10"/>
        <color indexed="22"/>
        <rFont val="Times New Roman"/>
        <family val="1"/>
      </rPr>
      <t>ε</t>
    </r>
    <r>
      <rPr>
        <sz val="10"/>
        <color indexed="22"/>
        <rFont val="Arial"/>
        <family val="2"/>
      </rPr>
      <t>* : which fy for reduction (1-</t>
    </r>
    <r>
      <rPr>
        <sz val="10"/>
        <color indexed="22"/>
        <rFont val="Times New Roman"/>
        <family val="1"/>
      </rPr>
      <t>ρ</t>
    </r>
    <r>
      <rPr>
        <sz val="10"/>
        <color indexed="22"/>
        <rFont val="Arial"/>
        <family val="2"/>
      </rPr>
      <t>)fy</t>
    </r>
  </si>
  <si>
    <r>
      <t xml:space="preserve">M+N+V, class 3, factor </t>
    </r>
    <r>
      <rPr>
        <sz val="10"/>
        <color indexed="22"/>
        <rFont val="Times New Roman"/>
        <family val="1"/>
      </rPr>
      <t>ρ ?</t>
    </r>
  </si>
  <si>
    <t>v1.1</t>
  </si>
  <si>
    <t xml:space="preserve">cell I29, added validation </t>
  </si>
  <si>
    <t>Iw [G.32]</t>
  </si>
  <si>
    <t xml:space="preserve">τv,Sd </t>
  </si>
  <si>
    <t xml:space="preserve">τw,Sd </t>
  </si>
  <si>
    <t>for Vy and Vz, if uc&gt;1 , rho=1</t>
  </si>
  <si>
    <t>facteur de rotation de l'extrémité</t>
  </si>
  <si>
    <t>facteur de gauchissement de l'extrémité</t>
  </si>
  <si>
    <t>kw</t>
  </si>
  <si>
    <t>added kw for deversement</t>
  </si>
  <si>
    <t>added british sections</t>
  </si>
  <si>
    <t>changed formule for Avy</t>
  </si>
  <si>
    <t>sensibles aux déformations par torsion  ?</t>
  </si>
  <si>
    <t>sensible</t>
  </si>
  <si>
    <t>torsion</t>
  </si>
  <si>
    <t>non-sensible</t>
  </si>
  <si>
    <t>classe 3</t>
  </si>
  <si>
    <t>sections en I</t>
  </si>
  <si>
    <t>creux</t>
  </si>
  <si>
    <t>§ 6.3.3.(1)</t>
  </si>
  <si>
    <t>moment fléchissant y</t>
  </si>
  <si>
    <t>moment fléchissant z</t>
  </si>
  <si>
    <t>My,Ed</t>
  </si>
  <si>
    <t>Mz,Ed</t>
  </si>
  <si>
    <t>position charge - centre de la section</t>
  </si>
  <si>
    <t>facteur C2</t>
  </si>
  <si>
    <t>annexe F, tabl. F.1.1 &amp; F.1.2</t>
  </si>
  <si>
    <r>
      <t xml:space="preserve">charge </t>
    </r>
    <r>
      <rPr>
        <b/>
        <sz val="9"/>
        <rFont val="Arial"/>
        <family val="2"/>
      </rPr>
      <t>U</t>
    </r>
    <r>
      <rPr>
        <sz val="9"/>
        <rFont val="Arial"/>
        <family val="2"/>
      </rPr>
      <t xml:space="preserve">niforme, </t>
    </r>
    <r>
      <rPr>
        <b/>
        <sz val="9"/>
        <rFont val="Arial"/>
        <family val="2"/>
      </rPr>
      <t>C</t>
    </r>
    <r>
      <rPr>
        <sz val="9"/>
        <rFont val="Arial"/>
        <family val="2"/>
      </rPr>
      <t xml:space="preserve">oncentrée ou </t>
    </r>
    <r>
      <rPr>
        <b/>
        <sz val="9"/>
        <rFont val="Arial"/>
        <family val="2"/>
      </rPr>
      <t>N</t>
    </r>
    <r>
      <rPr>
        <sz val="9"/>
        <rFont val="Arial"/>
        <family val="2"/>
      </rPr>
      <t>œuds déplaçables</t>
    </r>
  </si>
  <si>
    <t>CmLT, points maintenus dans y-y</t>
  </si>
  <si>
    <t>facteur de moment équivalent Cmz, tableau B3</t>
  </si>
  <si>
    <t>facteur de moment équivalent Cmy, tableau B3</t>
  </si>
  <si>
    <t>facteur de moment équivalent CmLT, tableau B3</t>
  </si>
  <si>
    <t xml:space="preserve">Extraits de EC3: Annexe F: Déversement (P22-311-F, décembre 1992) et "Construction metallique" vol 10 (1994) - Ecole Poly Lausanne </t>
  </si>
  <si>
    <t>courbe de flamb. yy</t>
  </si>
  <si>
    <t>courbe de flamb. zz</t>
  </si>
  <si>
    <t>vrai valeur:</t>
  </si>
  <si>
    <t>t,f</t>
  </si>
  <si>
    <t>Géométrie</t>
  </si>
  <si>
    <r>
      <t>mm</t>
    </r>
    <r>
      <rPr>
        <vertAlign val="superscript"/>
        <sz val="9"/>
        <rFont val="Times New Roman"/>
        <family val="1"/>
      </rPr>
      <t>4</t>
    </r>
  </si>
  <si>
    <t>valeur fixe, utlisé dans calcul:</t>
  </si>
  <si>
    <t>Fléchie et comprimée yy</t>
  </si>
  <si>
    <t>Fléchie et comprimée zz</t>
  </si>
  <si>
    <t>CmLT,vrai=</t>
  </si>
  <si>
    <t>CmLT,calcul=</t>
  </si>
  <si>
    <t>Tableau B.3, facteur CmLT</t>
  </si>
  <si>
    <t>(vérification possible de vrai valeur CmLT)</t>
  </si>
  <si>
    <t>Distibution de moments pour la vérification de la stabilité</t>
  </si>
  <si>
    <t>Variables pour la vérfication de la stabilité des barres</t>
  </si>
  <si>
    <t>Variables pour la vérfication de la résistance des sections</t>
  </si>
  <si>
    <t>Caracteristiques de profil</t>
  </si>
  <si>
    <t>HE + UB</t>
  </si>
  <si>
    <t>v1.2</t>
  </si>
  <si>
    <t>v1.3</t>
  </si>
  <si>
    <t>verified with 'designers guide to En 1993</t>
  </si>
  <si>
    <r>
      <t xml:space="preserve">mm </t>
    </r>
    <r>
      <rPr>
        <sz val="9"/>
        <color indexed="23"/>
        <rFont val="Arial"/>
        <family val="2"/>
      </rPr>
      <t xml:space="preserve">    (h/2=</t>
    </r>
  </si>
  <si>
    <t>moments entre points maintenus dans z-z</t>
  </si>
  <si>
    <t>moments entre points maintenus dans y-y</t>
  </si>
  <si>
    <t>v1.33</t>
  </si>
  <si>
    <t>psi factor for RHS rightly attributed</t>
  </si>
  <si>
    <t>Classe 1 &amp; 2</t>
  </si>
  <si>
    <t>kzy for mass control of I</t>
  </si>
  <si>
    <t>removed kzy=0 for Mz=0</t>
  </si>
  <si>
    <t>[6.36]&amp;[6.39]</t>
  </si>
  <si>
    <t>courbe de déversement:</t>
  </si>
  <si>
    <t>added formulas in sheet for déversement</t>
  </si>
  <si>
    <t>class indication also depending on max M in variables pour resistance</t>
  </si>
  <si>
    <t>correction of buckling curve determination for fy=460 &amp; tf &gt; 40 mm</t>
  </si>
  <si>
    <t>mot de passe: tess</t>
  </si>
  <si>
    <t>660x60</t>
  </si>
  <si>
    <t>660x70</t>
  </si>
  <si>
    <t>660x80</t>
  </si>
  <si>
    <t>711x50</t>
  </si>
  <si>
    <t>711x60</t>
  </si>
  <si>
    <t>711x70</t>
  </si>
  <si>
    <t>711x80</t>
  </si>
  <si>
    <t>711x90</t>
  </si>
  <si>
    <t>[6.2]</t>
  </si>
  <si>
    <t>[6.3]</t>
  </si>
  <si>
    <t>zcdg</t>
  </si>
  <si>
    <t>e</t>
  </si>
  <si>
    <t>ELU</t>
  </si>
  <si>
    <t>ELS</t>
  </si>
  <si>
    <t>Chargement</t>
  </si>
  <si>
    <t>Charges permanentes</t>
  </si>
  <si>
    <t>kN/m</t>
  </si>
  <si>
    <t>Charges variables</t>
  </si>
  <si>
    <t>x=</t>
  </si>
  <si>
    <t>Ponctuel</t>
  </si>
  <si>
    <t>Linéaire</t>
  </si>
  <si>
    <t>Coeff</t>
  </si>
  <si>
    <t>Torseur de sollicitations</t>
  </si>
  <si>
    <t>Conditions limites</t>
  </si>
  <si>
    <t>Flèche nuisible (Q)</t>
  </si>
  <si>
    <t>Flèche totale (G+Q)</t>
  </si>
  <si>
    <r>
      <t>§ 7.2 Déformation des sections (u</t>
    </r>
    <r>
      <rPr>
        <b/>
        <vertAlign val="subscript"/>
        <sz val="10"/>
        <rFont val="Arial"/>
        <family val="2"/>
      </rPr>
      <t>z</t>
    </r>
    <r>
      <rPr>
        <b/>
        <sz val="10"/>
        <rFont val="Arial"/>
        <family val="2"/>
      </rPr>
      <t>)</t>
    </r>
  </si>
  <si>
    <r>
      <t>G</t>
    </r>
    <r>
      <rPr>
        <sz val="8"/>
        <rFont val="Arial"/>
        <family val="2"/>
      </rPr>
      <t>(F</t>
    </r>
    <r>
      <rPr>
        <vertAlign val="subscript"/>
        <sz val="8"/>
        <rFont val="Arial"/>
        <family val="2"/>
      </rPr>
      <t>z</t>
    </r>
    <r>
      <rPr>
        <sz val="8"/>
        <rFont val="Arial"/>
        <family val="2"/>
      </rPr>
      <t>)</t>
    </r>
  </si>
  <si>
    <r>
      <t>Q</t>
    </r>
    <r>
      <rPr>
        <sz val="8"/>
        <rFont val="Arial"/>
        <family val="2"/>
      </rPr>
      <t>(F</t>
    </r>
    <r>
      <rPr>
        <vertAlign val="subscript"/>
        <sz val="8"/>
        <rFont val="Arial"/>
        <family val="2"/>
      </rPr>
      <t>z</t>
    </r>
    <r>
      <rPr>
        <sz val="8"/>
        <rFont val="Arial"/>
        <family val="2"/>
      </rPr>
      <t>)</t>
    </r>
  </si>
  <si>
    <r>
      <t>G</t>
    </r>
    <r>
      <rPr>
        <sz val="8"/>
        <rFont val="Arial"/>
        <family val="2"/>
      </rPr>
      <t>(F</t>
    </r>
    <r>
      <rPr>
        <vertAlign val="subscript"/>
        <sz val="8"/>
        <rFont val="Arial"/>
        <family val="2"/>
      </rPr>
      <t>y</t>
    </r>
    <r>
      <rPr>
        <sz val="8"/>
        <rFont val="Arial"/>
        <family val="2"/>
      </rPr>
      <t>)</t>
    </r>
  </si>
  <si>
    <r>
      <t>Q</t>
    </r>
    <r>
      <rPr>
        <sz val="8"/>
        <rFont val="Arial"/>
        <family val="2"/>
      </rPr>
      <t>(F</t>
    </r>
    <r>
      <rPr>
        <vertAlign val="subscript"/>
        <sz val="8"/>
        <rFont val="Arial"/>
        <family val="2"/>
      </rPr>
      <t>y</t>
    </r>
    <r>
      <rPr>
        <sz val="8"/>
        <rFont val="Arial"/>
        <family val="2"/>
      </rPr>
      <t>)</t>
    </r>
  </si>
  <si>
    <t>conditions limites</t>
  </si>
  <si>
    <t>Appuyé - Appuyé</t>
  </si>
  <si>
    <t>Gauche</t>
  </si>
  <si>
    <t>Milieu</t>
  </si>
  <si>
    <t>Droite</t>
  </si>
  <si>
    <t>Perm</t>
  </si>
  <si>
    <t>Variable</t>
  </si>
  <si>
    <t>flèche</t>
  </si>
  <si>
    <t>F_Linéaire</t>
  </si>
  <si>
    <t>F_Ponctuel</t>
  </si>
  <si>
    <t>aqy</t>
  </si>
  <si>
    <t>bqy</t>
  </si>
  <si>
    <t>aqz</t>
  </si>
  <si>
    <t>bqz</t>
  </si>
  <si>
    <t>Var</t>
  </si>
  <si>
    <t>agy</t>
  </si>
  <si>
    <t>bgy</t>
  </si>
  <si>
    <t>agz</t>
  </si>
  <si>
    <t>bgz</t>
  </si>
  <si>
    <t>x</t>
  </si>
  <si>
    <t>L/10</t>
  </si>
  <si>
    <t>2L/10</t>
  </si>
  <si>
    <t>3L/10</t>
  </si>
  <si>
    <t>4L/10</t>
  </si>
  <si>
    <t>5L/10</t>
  </si>
  <si>
    <t>6L/10</t>
  </si>
  <si>
    <t>7L/10</t>
  </si>
  <si>
    <t>8L/10</t>
  </si>
  <si>
    <t>9L/10</t>
  </si>
  <si>
    <t>Encastré/Encastré</t>
  </si>
  <si>
    <t>Permanent</t>
  </si>
  <si>
    <t>Appuyé -Encastré</t>
  </si>
  <si>
    <t>Position</t>
  </si>
  <si>
    <t>Encastré / Encastré</t>
  </si>
  <si>
    <t>Appuyé / Encastré</t>
  </si>
  <si>
    <t>Appuyé / Appuyé</t>
  </si>
  <si>
    <t xml:space="preserve">Encastré / </t>
  </si>
  <si>
    <t>1. Encastré / Encastré</t>
  </si>
  <si>
    <t>2. Appuyé / Encastré</t>
  </si>
  <si>
    <t>3. Appuyé / Appuyé</t>
  </si>
  <si>
    <t xml:space="preserve">4. Encastré / </t>
  </si>
  <si>
    <t>2. Milieu</t>
  </si>
  <si>
    <t>1. Gauche</t>
  </si>
  <si>
    <t>3. Droite</t>
  </si>
  <si>
    <t>Flèche</t>
  </si>
  <si>
    <t>Totale</t>
  </si>
  <si>
    <t>Nuisible</t>
  </si>
  <si>
    <t>Limite de flèche</t>
  </si>
  <si>
    <t>L/</t>
  </si>
  <si>
    <t>EC3 - Prédim</t>
  </si>
  <si>
    <t>V1.5</t>
  </si>
  <si>
    <t>Contrainte</t>
  </si>
  <si>
    <t>Stabilité</t>
  </si>
  <si>
    <t>[7.2]</t>
  </si>
  <si>
    <t>Poids propre</t>
  </si>
  <si>
    <t>1. Oui</t>
  </si>
  <si>
    <t>2. Non</t>
  </si>
  <si>
    <t>Prise en compte du poids propre</t>
  </si>
  <si>
    <t>Coefficients pour la vérification de la stabilité du profil</t>
  </si>
  <si>
    <t>Totale (G+Q)</t>
  </si>
  <si>
    <t>Nuisible (Q)</t>
  </si>
  <si>
    <t>Projet :</t>
  </si>
  <si>
    <t>Limites dlèches</t>
  </si>
  <si>
    <r>
      <rPr>
        <sz val="10"/>
        <rFont val="Calibri"/>
        <family val="2"/>
      </rPr>
      <t>λ</t>
    </r>
    <r>
      <rPr>
        <sz val="10"/>
        <rFont val="Arial"/>
        <family val="2"/>
      </rPr>
      <t>=</t>
    </r>
  </si>
  <si>
    <t>T320x100x10x10</t>
  </si>
  <si>
    <t>Triangle h=280</t>
  </si>
  <si>
    <t>Triangle h=400</t>
  </si>
  <si>
    <t>T95x50x10x10</t>
  </si>
  <si>
    <t>U</t>
  </si>
  <si>
    <t>oui</t>
  </si>
  <si>
    <t>bande de chargement (m):</t>
  </si>
  <si>
    <t>Poutre acier étage courant</t>
  </si>
  <si>
    <t>portée 6,5m</t>
  </si>
  <si>
    <t>Fréq. propre</t>
  </si>
  <si>
    <t>Hz</t>
  </si>
  <si>
    <t>Suivi des modifications de la feuille</t>
  </si>
  <si>
    <t>Qui ?</t>
  </si>
  <si>
    <t>Nouvel
version</t>
  </si>
  <si>
    <t>Version de
référence</t>
  </si>
  <si>
    <t>Modifications apportées</t>
  </si>
  <si>
    <t>AE</t>
  </si>
  <si>
    <t>v1</t>
  </si>
  <si>
    <t>Création de la feuille</t>
  </si>
  <si>
    <t>v2</t>
  </si>
  <si>
    <t>Ajout du calcul de la fréquence propre (à vide)</t>
  </si>
  <si>
    <t>v3</t>
  </si>
  <si>
    <t>Compiler les formules de calcul des propriétés de sections pour différents types de PRS (RHS, I, ronds pleins, carrés pleins….)
Ajouter la prise en compte de charges dans le calcul de la fréquence propre ?</t>
  </si>
  <si>
    <t>PRS 750*350*25*50</t>
  </si>
  <si>
    <t>PRS 650*250*25*35</t>
  </si>
  <si>
    <t>CG</t>
  </si>
  <si>
    <t>Coef. dyn</t>
  </si>
  <si>
    <t xml:space="preserve">§ 6.4.1 Raideur </t>
  </si>
  <si>
    <t>Raideur de la poutre</t>
  </si>
  <si>
    <t>IsEs</t>
  </si>
  <si>
    <t>Module d'Young acier</t>
  </si>
  <si>
    <t>Es</t>
  </si>
  <si>
    <t>N.m²/m</t>
  </si>
  <si>
    <t>§ 6.4.2 Fréquence propre</t>
  </si>
  <si>
    <t>masse linéique</t>
  </si>
  <si>
    <t xml:space="preserve">coefficient de masse </t>
  </si>
  <si>
    <t>masse modale</t>
  </si>
  <si>
    <t>M*</t>
  </si>
  <si>
    <t>kg</t>
  </si>
  <si>
    <t>première fréquence propre</t>
  </si>
  <si>
    <t>f</t>
  </si>
  <si>
    <t>250-</t>
  </si>
  <si>
    <t>350*250</t>
  </si>
  <si>
    <t>250-150</t>
  </si>
  <si>
    <t>UPN 240</t>
  </si>
  <si>
    <t>Projet</t>
  </si>
  <si>
    <t>IPEAA80</t>
  </si>
  <si>
    <t>IPEA80</t>
  </si>
  <si>
    <t>IPE80</t>
  </si>
  <si>
    <t>IPEAA100</t>
  </si>
  <si>
    <t>IPEAA120</t>
  </si>
  <si>
    <t>IPEAA140</t>
  </si>
  <si>
    <t>IPEAA160</t>
  </si>
  <si>
    <t>IPEAA180</t>
  </si>
  <si>
    <t>IPEAA200</t>
  </si>
  <si>
    <t>IPEAA220</t>
  </si>
  <si>
    <t>IPEAA240</t>
  </si>
  <si>
    <t>IPEA360</t>
  </si>
  <si>
    <t>IPEA400</t>
  </si>
  <si>
    <t>IPEV400</t>
  </si>
  <si>
    <t>IPEA450</t>
  </si>
  <si>
    <t>IPEV450</t>
  </si>
  <si>
    <t>IPEA500</t>
  </si>
  <si>
    <t>IPEV500</t>
  </si>
  <si>
    <t>IPEA550</t>
  </si>
  <si>
    <t>IPE550</t>
  </si>
  <si>
    <t>IPEV550</t>
  </si>
  <si>
    <t>IPEA600</t>
  </si>
  <si>
    <t>IPEO600</t>
  </si>
  <si>
    <t>IPEV600</t>
  </si>
  <si>
    <t>IPE750x134</t>
  </si>
  <si>
    <t>IPE750x147</t>
  </si>
  <si>
    <t>IPE750x173</t>
  </si>
  <si>
    <t>IPE750x196</t>
  </si>
  <si>
    <t>IPE750x220</t>
  </si>
  <si>
    <t>IPN80</t>
  </si>
  <si>
    <t>IPN600</t>
  </si>
  <si>
    <t>HD260x54.1</t>
  </si>
  <si>
    <t>HD260x68.2</t>
  </si>
  <si>
    <t>HD260x93</t>
  </si>
  <si>
    <t>HD260x114</t>
  </si>
  <si>
    <t>HD260x142</t>
  </si>
  <si>
    <t>HD260x172</t>
  </si>
  <si>
    <t>HD260x225</t>
  </si>
  <si>
    <t>HD260x299</t>
  </si>
  <si>
    <t>HD320x74.2</t>
  </si>
  <si>
    <t>HD320x97.6</t>
  </si>
  <si>
    <t>HD320x127</t>
  </si>
  <si>
    <t>HD320x158</t>
  </si>
  <si>
    <t>HD320x198</t>
  </si>
  <si>
    <t>HD320x245</t>
  </si>
  <si>
    <t>HD320x300</t>
  </si>
  <si>
    <t>HD360x134</t>
  </si>
  <si>
    <t>HD360x147</t>
  </si>
  <si>
    <t>HD360x162</t>
  </si>
  <si>
    <t>HD360x179</t>
  </si>
  <si>
    <t>HD360x196</t>
  </si>
  <si>
    <t>HD400x187</t>
  </si>
  <si>
    <t>HD400x216</t>
  </si>
  <si>
    <t>HD400x237</t>
  </si>
  <si>
    <t>HD400x262</t>
  </si>
  <si>
    <t>HD400x287</t>
  </si>
  <si>
    <t>HD400x314</t>
  </si>
  <si>
    <t>HD400x347</t>
  </si>
  <si>
    <t>HD400x382</t>
  </si>
  <si>
    <t>HD400x421</t>
  </si>
  <si>
    <t>HD400x463</t>
  </si>
  <si>
    <t>HD400x509</t>
  </si>
  <si>
    <t>HD400x551</t>
  </si>
  <si>
    <t>HD400x592</t>
  </si>
  <si>
    <t>HD400x634</t>
  </si>
  <si>
    <t>HD400x677</t>
  </si>
  <si>
    <t>HD400x744</t>
  </si>
  <si>
    <t>HD400x818</t>
  </si>
  <si>
    <t>HD400x900</t>
  </si>
  <si>
    <t>HD400x990</t>
  </si>
  <si>
    <t>HD400x1086</t>
  </si>
  <si>
    <t>HD400x1202</t>
  </si>
  <si>
    <t>HD400x1299</t>
  </si>
  <si>
    <t>UC152x152x23</t>
  </si>
  <si>
    <t>UC152x152x30</t>
  </si>
  <si>
    <t>UC152x152x37</t>
  </si>
  <si>
    <t>UC152x152x44</t>
  </si>
  <si>
    <t>UC152x152x51</t>
  </si>
  <si>
    <t>UC203x203x46</t>
  </si>
  <si>
    <t>UC203x203x52</t>
  </si>
  <si>
    <t>UC203x203x60</t>
  </si>
  <si>
    <t>UC203x203x71</t>
  </si>
  <si>
    <t>UC203x203x86</t>
  </si>
  <si>
    <t>UC203x203x100</t>
  </si>
  <si>
    <t>UC254x254x73</t>
  </si>
  <si>
    <t>UC254x254x89</t>
  </si>
  <si>
    <t>UC254x254x107</t>
  </si>
  <si>
    <t>UC254x254x132</t>
  </si>
  <si>
    <t>UC254x254x167</t>
  </si>
  <si>
    <t>UC305x305x97</t>
  </si>
  <si>
    <t>UC305x305x118</t>
  </si>
  <si>
    <t>UC305x305x137</t>
  </si>
  <si>
    <t>UC305x305x158</t>
  </si>
  <si>
    <t>UC305x305x198</t>
  </si>
  <si>
    <t>UC305x305x240</t>
  </si>
  <si>
    <t>UC305x305x283</t>
  </si>
  <si>
    <t>UC305x305x313</t>
  </si>
  <si>
    <t>UC305x305x342</t>
  </si>
  <si>
    <t>UC356x368x129</t>
  </si>
  <si>
    <t>UC356x368x153</t>
  </si>
  <si>
    <t>UC356x368x177</t>
  </si>
  <si>
    <t>UC356x368x202</t>
  </si>
  <si>
    <t>UC356x406x235</t>
  </si>
  <si>
    <t>UC356x406x287</t>
  </si>
  <si>
    <t>UC356x406x340</t>
  </si>
  <si>
    <t>UC356x406x393</t>
  </si>
  <si>
    <t>UC356x406x467</t>
  </si>
  <si>
    <t>UC356x406x509</t>
  </si>
  <si>
    <t>UC356x406x551</t>
  </si>
  <si>
    <t>UC356x406x592</t>
  </si>
  <si>
    <t>UC356x406x634</t>
  </si>
  <si>
    <t>UC356x406x677</t>
  </si>
  <si>
    <t>UC356x406x744</t>
  </si>
  <si>
    <t>UC356x406x818</t>
  </si>
  <si>
    <t>UC356x406x900</t>
  </si>
  <si>
    <t>UC356x406x990</t>
  </si>
  <si>
    <t>UC356x406x1086</t>
  </si>
  <si>
    <t>UC356x406x1202</t>
  </si>
  <si>
    <t>UC356x406x1299</t>
  </si>
  <si>
    <t>HE100AA</t>
  </si>
  <si>
    <t>HE100A</t>
  </si>
  <si>
    <t>HE100B</t>
  </si>
  <si>
    <t>HE100C</t>
  </si>
  <si>
    <t>HE100M</t>
  </si>
  <si>
    <t>HE120AA</t>
  </si>
  <si>
    <t>HE120A</t>
  </si>
  <si>
    <t>HE120B</t>
  </si>
  <si>
    <t>HE120C</t>
  </si>
  <si>
    <t>HE120M</t>
  </si>
  <si>
    <t>HE140AA</t>
  </si>
  <si>
    <t>HE140A</t>
  </si>
  <si>
    <t>HE140B</t>
  </si>
  <si>
    <t>HE140C</t>
  </si>
  <si>
    <t>HE140M</t>
  </si>
  <si>
    <t>HE160AA</t>
  </si>
  <si>
    <t>HE160A</t>
  </si>
  <si>
    <t>HE160B</t>
  </si>
  <si>
    <t>HE160C</t>
  </si>
  <si>
    <t>HE160M</t>
  </si>
  <si>
    <t>HE180AA</t>
  </si>
  <si>
    <t>HE180A</t>
  </si>
  <si>
    <t>HE180B</t>
  </si>
  <si>
    <t>HE180C</t>
  </si>
  <si>
    <t>HE180M</t>
  </si>
  <si>
    <t>HE200AA</t>
  </si>
  <si>
    <t>HE200A</t>
  </si>
  <si>
    <t>HE200B</t>
  </si>
  <si>
    <t>HE200C</t>
  </si>
  <si>
    <t>HE200M</t>
  </si>
  <si>
    <t>HE220AA</t>
  </si>
  <si>
    <t>HE220A</t>
  </si>
  <si>
    <t>HE220B</t>
  </si>
  <si>
    <t>HE220C</t>
  </si>
  <si>
    <t>HE220M</t>
  </si>
  <si>
    <t>HE240AA</t>
  </si>
  <si>
    <t>HE240A</t>
  </si>
  <si>
    <t>HE240B</t>
  </si>
  <si>
    <t>HE240C</t>
  </si>
  <si>
    <t>HE240M</t>
  </si>
  <si>
    <t>HE260AA</t>
  </si>
  <si>
    <t>HE260A</t>
  </si>
  <si>
    <t>HE260B</t>
  </si>
  <si>
    <t>HE260C</t>
  </si>
  <si>
    <t>HE260M</t>
  </si>
  <si>
    <t>HE280AA</t>
  </si>
  <si>
    <t>HE280A</t>
  </si>
  <si>
    <t>HE280B</t>
  </si>
  <si>
    <t>HE280C</t>
  </si>
  <si>
    <t>HE280M</t>
  </si>
  <si>
    <t>HE300AA</t>
  </si>
  <si>
    <t>HE300A</t>
  </si>
  <si>
    <t>HE300B</t>
  </si>
  <si>
    <t>HE300C</t>
  </si>
  <si>
    <t>HE300M</t>
  </si>
  <si>
    <t>HE320AA</t>
  </si>
  <si>
    <t>HE320A</t>
  </si>
  <si>
    <t>HE320B</t>
  </si>
  <si>
    <t>HE320C</t>
  </si>
  <si>
    <t>HE320M</t>
  </si>
  <si>
    <t>HE340AA</t>
  </si>
  <si>
    <t>HE340A</t>
  </si>
  <si>
    <t>HE340B</t>
  </si>
  <si>
    <t>HE340M</t>
  </si>
  <si>
    <t>HE360AA</t>
  </si>
  <si>
    <t>HE360A</t>
  </si>
  <si>
    <t>HE360B</t>
  </si>
  <si>
    <t>HE360M</t>
  </si>
  <si>
    <t>HE400AA</t>
  </si>
  <si>
    <t>HE400A</t>
  </si>
  <si>
    <t>HE400B</t>
  </si>
  <si>
    <t>HE400M</t>
  </si>
  <si>
    <t>HE450AA</t>
  </si>
  <si>
    <t>HE450A</t>
  </si>
  <si>
    <t>HE450B</t>
  </si>
  <si>
    <t>HE450M</t>
  </si>
  <si>
    <t>HE500AA</t>
  </si>
  <si>
    <t>HE500A</t>
  </si>
  <si>
    <t>HE500B</t>
  </si>
  <si>
    <t>HE500M</t>
  </si>
  <si>
    <t>HE550AA</t>
  </si>
  <si>
    <t>HE550A</t>
  </si>
  <si>
    <t>HE550B</t>
  </si>
  <si>
    <t>HE550M</t>
  </si>
  <si>
    <t>HE600AA</t>
  </si>
  <si>
    <t>HE600A</t>
  </si>
  <si>
    <t>HE600B</t>
  </si>
  <si>
    <t>HE600M</t>
  </si>
  <si>
    <t>HE600x337</t>
  </si>
  <si>
    <t>HE600x399</t>
  </si>
  <si>
    <t>HE650AA</t>
  </si>
  <si>
    <t>HE650A</t>
  </si>
  <si>
    <t>HE650B</t>
  </si>
  <si>
    <t>HE650M</t>
  </si>
  <si>
    <t>HE650x343</t>
  </si>
  <si>
    <t>HE650x407</t>
  </si>
  <si>
    <t>HE700AA</t>
  </si>
  <si>
    <t>HE700A</t>
  </si>
  <si>
    <t>HE700B</t>
  </si>
  <si>
    <t>HE700M</t>
  </si>
  <si>
    <t>HE700x352</t>
  </si>
  <si>
    <t>HE700x418</t>
  </si>
  <si>
    <t>HE800AA</t>
  </si>
  <si>
    <t>HE800A</t>
  </si>
  <si>
    <t>HE800B</t>
  </si>
  <si>
    <t>HE800M</t>
  </si>
  <si>
    <t>HE800x373</t>
  </si>
  <si>
    <t>HE800x444</t>
  </si>
  <si>
    <t>HE900AA</t>
  </si>
  <si>
    <t>HE900A</t>
  </si>
  <si>
    <t>HE900B</t>
  </si>
  <si>
    <t>HE900M</t>
  </si>
  <si>
    <t>HE900x391</t>
  </si>
  <si>
    <t>HE900x466</t>
  </si>
  <si>
    <t>HE1000AA</t>
  </si>
  <si>
    <t>HE1000x249</t>
  </si>
  <si>
    <t>HE1000A</t>
  </si>
  <si>
    <t>HE1000B</t>
  </si>
  <si>
    <t>HE1000M</t>
  </si>
  <si>
    <t>HE1000x393</t>
  </si>
  <si>
    <t>HE1000x415</t>
  </si>
  <si>
    <t>HE1000x438</t>
  </si>
  <si>
    <t>HE1000x494</t>
  </si>
  <si>
    <t>HE1000x584</t>
  </si>
  <si>
    <t>UB127x76x13</t>
  </si>
  <si>
    <t>UB152x89x16</t>
  </si>
  <si>
    <t>UB178x102x19</t>
  </si>
  <si>
    <t>UB203x102x23</t>
  </si>
  <si>
    <t>UB203x133x25</t>
  </si>
  <si>
    <t>UB203x133x30</t>
  </si>
  <si>
    <t>UB254x102x22</t>
  </si>
  <si>
    <t>UB254x102x25</t>
  </si>
  <si>
    <t>UB254x102x28</t>
  </si>
  <si>
    <t>UB254x146x31</t>
  </si>
  <si>
    <t>UB254x146x37</t>
  </si>
  <si>
    <t>UB254x146x43</t>
  </si>
  <si>
    <t>UB305x102x25</t>
  </si>
  <si>
    <t>UB305x102x28</t>
  </si>
  <si>
    <t>UB305x102x33</t>
  </si>
  <si>
    <t>UB305x127x37</t>
  </si>
  <si>
    <t>UB305x165x40</t>
  </si>
  <si>
    <t>UB305x127x42</t>
  </si>
  <si>
    <t>UB305x165x46</t>
  </si>
  <si>
    <t>UB305x127x48</t>
  </si>
  <si>
    <t>UB305x165x54</t>
  </si>
  <si>
    <t>UB356x127x33</t>
  </si>
  <si>
    <t>UB356x127x39</t>
  </si>
  <si>
    <t>UB356x171x45</t>
  </si>
  <si>
    <t>UB356x171x51</t>
  </si>
  <si>
    <t>UB356x171x57</t>
  </si>
  <si>
    <t>UB356x171x67</t>
  </si>
  <si>
    <t>UB406x140x39</t>
  </si>
  <si>
    <t>UB406x140x46</t>
  </si>
  <si>
    <t>UB406x140x53</t>
  </si>
  <si>
    <t>UB406x178x54</t>
  </si>
  <si>
    <t>UB406x178x60</t>
  </si>
  <si>
    <t>UB406x178x67</t>
  </si>
  <si>
    <t>UB406x178x74</t>
  </si>
  <si>
    <t>UB406x178x85</t>
  </si>
  <si>
    <t>UB457x152x52</t>
  </si>
  <si>
    <t>UB457x152x60</t>
  </si>
  <si>
    <t>UB457x191x67</t>
  </si>
  <si>
    <t>UB457x152x67</t>
  </si>
  <si>
    <t>UB457x152x74</t>
  </si>
  <si>
    <t>UB457x191x74</t>
  </si>
  <si>
    <t>UB457x191x82</t>
  </si>
  <si>
    <t>UB457x152x82</t>
  </si>
  <si>
    <t>UB457x191x89</t>
  </si>
  <si>
    <t>UB457x191x98</t>
  </si>
  <si>
    <t>UB457x191x106</t>
  </si>
  <si>
    <t>UB533x165x66</t>
  </si>
  <si>
    <t>UB533x165x74</t>
  </si>
  <si>
    <t>UB533x210x82</t>
  </si>
  <si>
    <t>UB533x165x85</t>
  </si>
  <si>
    <t>UB533x210x92</t>
  </si>
  <si>
    <t>UB533x210x101</t>
  </si>
  <si>
    <t>UB533x210x109</t>
  </si>
  <si>
    <t>UB533x210x122</t>
  </si>
  <si>
    <t>UB533x210x138</t>
  </si>
  <si>
    <t>UB610x178x82</t>
  </si>
  <si>
    <t>UB610x178x92</t>
  </si>
  <si>
    <t>UB610x229x101</t>
  </si>
  <si>
    <t>UB610x229x113</t>
  </si>
  <si>
    <t>UB610x229x125</t>
  </si>
  <si>
    <t>UB610x229x140</t>
  </si>
  <si>
    <t>UB610x305x149</t>
  </si>
  <si>
    <t>UB610x229x153</t>
  </si>
  <si>
    <t>UB610x305x179</t>
  </si>
  <si>
    <t>UB610x305x238</t>
  </si>
  <si>
    <t>UB686x254x125</t>
  </si>
  <si>
    <t>UB686x254x140</t>
  </si>
  <si>
    <t>UB686x254x152</t>
  </si>
  <si>
    <t>UB686x254x170</t>
  </si>
  <si>
    <t>UB686x254x192</t>
  </si>
  <si>
    <t>UB762x267x134</t>
  </si>
  <si>
    <t>UB762x267x147</t>
  </si>
  <si>
    <t>UB762x267x173</t>
  </si>
  <si>
    <t>UB762x267x197</t>
  </si>
  <si>
    <t>UB762x267x220</t>
  </si>
  <si>
    <t>UB838x292x176</t>
  </si>
  <si>
    <t>UB838x292x194</t>
  </si>
  <si>
    <t>UB838x292x226</t>
  </si>
  <si>
    <t>UB838x292x251</t>
  </si>
  <si>
    <t>UB914x305x201</t>
  </si>
  <si>
    <t>UB914x305x224</t>
  </si>
  <si>
    <t>UB914x305x238</t>
  </si>
  <si>
    <t>UB914x305x253</t>
  </si>
  <si>
    <t>UB914x305x271</t>
  </si>
  <si>
    <t>UB914x305x289</t>
  </si>
  <si>
    <t>UB914x305x313</t>
  </si>
  <si>
    <t>UB914x305x345</t>
  </si>
  <si>
    <t>UB914x305x381</t>
  </si>
  <si>
    <t>UB914x305x425</t>
  </si>
  <si>
    <t>UB914x305x474</t>
  </si>
  <si>
    <t>UB914x305x521</t>
  </si>
  <si>
    <t>UB914x305x576</t>
  </si>
  <si>
    <t>UB920x420x344</t>
  </si>
  <si>
    <t>UB920x420x368</t>
  </si>
  <si>
    <t>UB920x420x390</t>
  </si>
  <si>
    <t>UB920x420x420</t>
  </si>
  <si>
    <t>UB920x420x449</t>
  </si>
  <si>
    <t>UB920x420x491</t>
  </si>
  <si>
    <t>UB920x420x537</t>
  </si>
  <si>
    <t>UB920x420x588</t>
  </si>
  <si>
    <t>UB920x420x656</t>
  </si>
  <si>
    <t>UB920x420x725</t>
  </si>
  <si>
    <t>UB920x420x787</t>
  </si>
  <si>
    <t>UB920x420x970</t>
  </si>
  <si>
    <t>UB920x420x1077</t>
  </si>
  <si>
    <t>UB920x420x1194</t>
  </si>
  <si>
    <t>UB920x420x1269</t>
  </si>
  <si>
    <t>UB920x420x1377</t>
  </si>
  <si>
    <t>UB1000x400x296</t>
  </si>
  <si>
    <t>UB1000x400x321</t>
  </si>
  <si>
    <t>UB1000x400x371</t>
  </si>
  <si>
    <t>UB1000x400x412</t>
  </si>
  <si>
    <t>UB1000x400x443</t>
  </si>
  <si>
    <t>UB1000x400x483</t>
  </si>
  <si>
    <t>UB1000x400x539</t>
  </si>
  <si>
    <t>UB1000x400x554</t>
  </si>
  <si>
    <t>UB1000x400x591</t>
  </si>
  <si>
    <t>UB1000x400x642</t>
  </si>
  <si>
    <t>UB1000x400x748</t>
  </si>
  <si>
    <t>UB1000x400x883</t>
  </si>
  <si>
    <t>UB1000x400x976</t>
  </si>
  <si>
    <t>UB1016x305x222</t>
  </si>
  <si>
    <t>UB1016x305x249</t>
  </si>
  <si>
    <t>UB1016x305x272</t>
  </si>
  <si>
    <t>UB1016x305x314</t>
  </si>
  <si>
    <t>UB1016x305x350</t>
  </si>
  <si>
    <t>UB1016x305x393</t>
  </si>
  <si>
    <t>UB1016x305x415</t>
  </si>
  <si>
    <t>UB1016x305x438</t>
  </si>
  <si>
    <t>UB1016x305x494</t>
  </si>
  <si>
    <t>UB1016x305x584</t>
  </si>
  <si>
    <t>UB1100x400x343</t>
  </si>
  <si>
    <t>UB1100x400x390</t>
  </si>
  <si>
    <t>UB1100x400x433</t>
  </si>
  <si>
    <t>UB1100x400x499</t>
  </si>
  <si>
    <t>UB1100x400x548</t>
  </si>
  <si>
    <t>UB1100x400x607</t>
  </si>
  <si>
    <t>CHS21x2.3</t>
  </si>
  <si>
    <t>CHS21x2.6</t>
  </si>
  <si>
    <t>CHS21x2.9</t>
  </si>
  <si>
    <t>CHS21x3.2</t>
  </si>
  <si>
    <t>CHS27x2.3</t>
  </si>
  <si>
    <t>CHS27x2.6</t>
  </si>
  <si>
    <t>CHS27x2.9</t>
  </si>
  <si>
    <t>CHS27x3.2</t>
  </si>
  <si>
    <t>CHS27x3.6</t>
  </si>
  <si>
    <t>CHS34x2.6</t>
  </si>
  <si>
    <t>CHS34x2.9</t>
  </si>
  <si>
    <t>CHS34x3.2</t>
  </si>
  <si>
    <t>CHS34x3.6</t>
  </si>
  <si>
    <t>CHS34x4.0</t>
  </si>
  <si>
    <t>CHS34x4.5</t>
  </si>
  <si>
    <t>CHS34x5.0</t>
  </si>
  <si>
    <t>CHS42x2.6</t>
  </si>
  <si>
    <t>CHS42x2.9</t>
  </si>
  <si>
    <t>CHS42x3.2</t>
  </si>
  <si>
    <t>CHS42x3.6</t>
  </si>
  <si>
    <t>CHS42x4.0</t>
  </si>
  <si>
    <t>CHS42x4.5</t>
  </si>
  <si>
    <t>CHS42x5.0</t>
  </si>
  <si>
    <t>CHS48x2.6</t>
  </si>
  <si>
    <t>CHS48x2.9</t>
  </si>
  <si>
    <t>CHS48x3.2</t>
  </si>
  <si>
    <t>CHS48x3.6</t>
  </si>
  <si>
    <t>CHS48x4.0</t>
  </si>
  <si>
    <t>CHS48x4.5</t>
  </si>
  <si>
    <t>CHS48x5.0</t>
  </si>
  <si>
    <t>CHS48x5.6</t>
  </si>
  <si>
    <t>CHS48x6.3</t>
  </si>
  <si>
    <t>CHS60x2.6</t>
  </si>
  <si>
    <t>CHS60x2.9</t>
  </si>
  <si>
    <t>CHS60x3.2</t>
  </si>
  <si>
    <t>CHS60x3.6</t>
  </si>
  <si>
    <t>CHS60x4.0</t>
  </si>
  <si>
    <t>CHS60x4.5</t>
  </si>
  <si>
    <t>CHS60x5.0</t>
  </si>
  <si>
    <t>CHS60x5.6</t>
  </si>
  <si>
    <t>CHS60x6.3</t>
  </si>
  <si>
    <t>CHS60x8.0</t>
  </si>
  <si>
    <t>CHS76x2.6</t>
  </si>
  <si>
    <t>CHS76x2.9</t>
  </si>
  <si>
    <t>CHS76x3.2</t>
  </si>
  <si>
    <t>CHS76x3.6</t>
  </si>
  <si>
    <t>CHS76x4.0</t>
  </si>
  <si>
    <t>CHS76x4.5</t>
  </si>
  <si>
    <t>CHS76x5.0</t>
  </si>
  <si>
    <t>CHS76x5.6</t>
  </si>
  <si>
    <t>CHS76x6.3</t>
  </si>
  <si>
    <t>CHS76x8.0</t>
  </si>
  <si>
    <t>CHS89x2.9</t>
  </si>
  <si>
    <t>CHS89x3.2</t>
  </si>
  <si>
    <t>CHS89x3.6</t>
  </si>
  <si>
    <t>CHS89x4.0</t>
  </si>
  <si>
    <t>CHS89x4.5</t>
  </si>
  <si>
    <t>CHS89x5.0</t>
  </si>
  <si>
    <t>CHS89x5.6</t>
  </si>
  <si>
    <t>CHS89x6.3</t>
  </si>
  <si>
    <t>CHS89x8.0</t>
  </si>
  <si>
    <t>CHS89x10.0</t>
  </si>
  <si>
    <t>CHS102x3.2</t>
  </si>
  <si>
    <t>CHS102x3.6</t>
  </si>
  <si>
    <t>CHS102x4.0</t>
  </si>
  <si>
    <t>CHS102x4.5</t>
  </si>
  <si>
    <t>CHS102x5.0</t>
  </si>
  <si>
    <t>CHS102x5.6</t>
  </si>
  <si>
    <t>CHS102x6.3</t>
  </si>
  <si>
    <t>CHS102x8.0</t>
  </si>
  <si>
    <t>CHS102x10.0</t>
  </si>
  <si>
    <t>CHS114x3.2</t>
  </si>
  <si>
    <t>CHS114x3.6</t>
  </si>
  <si>
    <t>CHS114x4.0</t>
  </si>
  <si>
    <t>CHS114x4.5</t>
  </si>
  <si>
    <t>CHS114x5.0</t>
  </si>
  <si>
    <t>CHS114x5.6</t>
  </si>
  <si>
    <t>CHS114x6.3</t>
  </si>
  <si>
    <t>CHS114x8.0</t>
  </si>
  <si>
    <t>CHS114x10.0</t>
  </si>
  <si>
    <t>CHS140x3.2</t>
  </si>
  <si>
    <t>CHS140x3.6</t>
  </si>
  <si>
    <t>CHS140x4.0</t>
  </si>
  <si>
    <t>CHS140x4.5</t>
  </si>
  <si>
    <t>CHS140x5.0</t>
  </si>
  <si>
    <t>CHS140x5.6</t>
  </si>
  <si>
    <t>CHS140x6.3</t>
  </si>
  <si>
    <t>CHS140x8.0</t>
  </si>
  <si>
    <t>CHS140x10.0</t>
  </si>
  <si>
    <t>CHS140x12.5</t>
  </si>
  <si>
    <t>CHS168x4.0</t>
  </si>
  <si>
    <t>CHS168x5.0</t>
  </si>
  <si>
    <t>CHS168x5.6</t>
  </si>
  <si>
    <t>CHS168x6.3</t>
  </si>
  <si>
    <t>CHS168x8.0</t>
  </si>
  <si>
    <t>CHS168x10.0</t>
  </si>
  <si>
    <t>CHS168x12.5</t>
  </si>
  <si>
    <t>CHS178x5.0</t>
  </si>
  <si>
    <t>CHS178x6.3</t>
  </si>
  <si>
    <t>CHS178x8.0</t>
  </si>
  <si>
    <t>CHS178x10.0</t>
  </si>
  <si>
    <t>CHS178x12.5</t>
  </si>
  <si>
    <t>CHS194x5.0</t>
  </si>
  <si>
    <t>CHS194x5.6</t>
  </si>
  <si>
    <t>CHS194x6.3</t>
  </si>
  <si>
    <t>CHS194x8.0</t>
  </si>
  <si>
    <t>CHS194x10.0</t>
  </si>
  <si>
    <t>CHS194x12.5</t>
  </si>
  <si>
    <t>CHS194x14.2</t>
  </si>
  <si>
    <t>CHS194x16.0</t>
  </si>
  <si>
    <t>CHS219x4.5</t>
  </si>
  <si>
    <t>CHS219x5.0</t>
  </si>
  <si>
    <t>CHS219x5.6</t>
  </si>
  <si>
    <t>CHS219x6.3</t>
  </si>
  <si>
    <t>CHS219x8.0</t>
  </si>
  <si>
    <t>CHS219x10.0</t>
  </si>
  <si>
    <t>CHS219x12.5</t>
  </si>
  <si>
    <t>CHS219x14.2</t>
  </si>
  <si>
    <t>CHS219x16.0</t>
  </si>
  <si>
    <t>CHS219x20.0</t>
  </si>
  <si>
    <t>CHS245x5.0</t>
  </si>
  <si>
    <t>CHS245x5.6</t>
  </si>
  <si>
    <t>CHS245x6.3</t>
  </si>
  <si>
    <t>CHS245x8.0</t>
  </si>
  <si>
    <t>CHS245x10.0</t>
  </si>
  <si>
    <t>CHS245x12.5</t>
  </si>
  <si>
    <t>CHS245x14.2</t>
  </si>
  <si>
    <t>CHS245x16.0</t>
  </si>
  <si>
    <t>CHS245x20.0</t>
  </si>
  <si>
    <t>CHS245x25.0</t>
  </si>
  <si>
    <t>CHS273x5.0</t>
  </si>
  <si>
    <t>CHS273x5.6</t>
  </si>
  <si>
    <t>CHS273x6.3</t>
  </si>
  <si>
    <t>CHS273x8.0</t>
  </si>
  <si>
    <t>CHS273x10.0</t>
  </si>
  <si>
    <t>CHS273x12.5</t>
  </si>
  <si>
    <t>CHS273x14.2</t>
  </si>
  <si>
    <t>CHS273x16.0</t>
  </si>
  <si>
    <t>CHS273x20.0</t>
  </si>
  <si>
    <t>CHS273x25.0</t>
  </si>
  <si>
    <t>CHS324x5.0</t>
  </si>
  <si>
    <t>CHS324x5.6</t>
  </si>
  <si>
    <t>CHS324x6.3</t>
  </si>
  <si>
    <t>CHS324x8.0</t>
  </si>
  <si>
    <t>CHS324x10.0</t>
  </si>
  <si>
    <t>CHS324x12.5</t>
  </si>
  <si>
    <t>CHS324x14.2</t>
  </si>
  <si>
    <t>CHS324x16.0</t>
  </si>
  <si>
    <t>CHS324x19.0</t>
  </si>
  <si>
    <t>CHS324x20.0</t>
  </si>
  <si>
    <t>CHS324x22.0</t>
  </si>
  <si>
    <t>CHS324x25.0</t>
  </si>
  <si>
    <t>CHS356x6.3</t>
  </si>
  <si>
    <t>CHS356x8.0</t>
  </si>
  <si>
    <t>CHS356x10.0</t>
  </si>
  <si>
    <t>CHS356x12.5</t>
  </si>
  <si>
    <t>CHS356x14.2</t>
  </si>
  <si>
    <t>CHS356x16.0</t>
  </si>
  <si>
    <t>CHS356x19.0</t>
  </si>
  <si>
    <t>CHS356x20.0</t>
  </si>
  <si>
    <t>CHS356x22.0</t>
  </si>
  <si>
    <t>CHS356x25.0</t>
  </si>
  <si>
    <t>CHS406x6.3</t>
  </si>
  <si>
    <t>CHS406x8.0</t>
  </si>
  <si>
    <t>CHS406x10.0</t>
  </si>
  <si>
    <t>CHS406x12.5</t>
  </si>
  <si>
    <t>CHS406x14.2</t>
  </si>
  <si>
    <t>CHS406x16.0</t>
  </si>
  <si>
    <t>CHS406x19.0</t>
  </si>
  <si>
    <t>CHS406x20.0</t>
  </si>
  <si>
    <t>CHS406x22.0</t>
  </si>
  <si>
    <t>CHS406x25.0</t>
  </si>
  <si>
    <t>CHS406x28.0</t>
  </si>
  <si>
    <t>CHS406x30.0</t>
  </si>
  <si>
    <t>CHS406x32.0</t>
  </si>
  <si>
    <t>CHS406x36.0</t>
  </si>
  <si>
    <t>CHS406x40.0</t>
  </si>
  <si>
    <t>CHS457x6.3</t>
  </si>
  <si>
    <t>CHS457x8.0</t>
  </si>
  <si>
    <t>CHS457x10.0</t>
  </si>
  <si>
    <t>CHS457x12.5</t>
  </si>
  <si>
    <t>CHS457x14.2</t>
  </si>
  <si>
    <t>CHS457x16.0</t>
  </si>
  <si>
    <t>CHS457x20.0</t>
  </si>
  <si>
    <t>CHS457x22.0</t>
  </si>
  <si>
    <t>CHS457x25.0</t>
  </si>
  <si>
    <t>CHS457x28.0</t>
  </si>
  <si>
    <t>CHS457x30.0</t>
  </si>
  <si>
    <t>CHS457x32.0</t>
  </si>
  <si>
    <t>CHS457x36.0</t>
  </si>
  <si>
    <t>CHS457x40.0</t>
  </si>
  <si>
    <t>CHS457x45.0</t>
  </si>
  <si>
    <t>CHS508x6.3</t>
  </si>
  <si>
    <t>CHS508x8.0</t>
  </si>
  <si>
    <t>CHS508x10.0</t>
  </si>
  <si>
    <t>CHS508x12.5</t>
  </si>
  <si>
    <t>CHS508x14.2</t>
  </si>
  <si>
    <t>CHS508x16.0</t>
  </si>
  <si>
    <t>CHS508x20.0</t>
  </si>
  <si>
    <t>CHS508x22.0</t>
  </si>
  <si>
    <t>CHS508x25.0</t>
  </si>
  <si>
    <t>CHS508x28.0</t>
  </si>
  <si>
    <t>CHS508x30.0</t>
  </si>
  <si>
    <t>CHS508x32.0</t>
  </si>
  <si>
    <t>CHS508x36.0</t>
  </si>
  <si>
    <t>CHS508x40.0</t>
  </si>
  <si>
    <t>CHS508x45.0</t>
  </si>
  <si>
    <t>CHS508x50.0</t>
  </si>
  <si>
    <t>CHS610x6.3</t>
  </si>
  <si>
    <t>CHS610x8.0</t>
  </si>
  <si>
    <t>CHS610x10.0</t>
  </si>
  <si>
    <t>CHS610x12.5</t>
  </si>
  <si>
    <t>CHS610x14.2</t>
  </si>
  <si>
    <t>CHS610x16.0</t>
  </si>
  <si>
    <t>CHS610x20.0</t>
  </si>
  <si>
    <t>CHS610x25.0</t>
  </si>
  <si>
    <t>CHS610x28.0</t>
  </si>
  <si>
    <t>CHS610x30.0</t>
  </si>
  <si>
    <t>CHS610x32.0</t>
  </si>
  <si>
    <t>CHS610x36.0</t>
  </si>
  <si>
    <t>CHS610x40.0</t>
  </si>
  <si>
    <t>CHS610x45.0</t>
  </si>
  <si>
    <t>CHS610x50.0</t>
  </si>
  <si>
    <t>CHS610x55.0</t>
  </si>
  <si>
    <t>CHS610x60.0</t>
  </si>
  <si>
    <t>CHS711x6.3</t>
  </si>
  <si>
    <t>CHS711x8.0</t>
  </si>
  <si>
    <t>CHS711x10.0</t>
  </si>
  <si>
    <t>CHS711x12.5</t>
  </si>
  <si>
    <t>CHS711x14.2</t>
  </si>
  <si>
    <t>CHS711x16.0</t>
  </si>
  <si>
    <t>CHS711x20.0</t>
  </si>
  <si>
    <t>CHS711x25.0</t>
  </si>
  <si>
    <t>CHS711x30.0</t>
  </si>
  <si>
    <t>CHS711x32.0</t>
  </si>
  <si>
    <t>CHS711x36.0</t>
  </si>
  <si>
    <t>CHS711x40.0</t>
  </si>
  <si>
    <t>CHS711x45.0</t>
  </si>
  <si>
    <t>CHS711x50.0</t>
  </si>
  <si>
    <t>CHS711x55.0</t>
  </si>
  <si>
    <t>CHS711x60.0</t>
  </si>
  <si>
    <t>CHS711x65.0</t>
  </si>
  <si>
    <t>CHS711x70.0</t>
  </si>
  <si>
    <t>CHS762x6.3</t>
  </si>
  <si>
    <t>CHS762x8.0</t>
  </si>
  <si>
    <t>CHS762x10.0</t>
  </si>
  <si>
    <t>CHS762x12.5</t>
  </si>
  <si>
    <t>CHS762x14.2</t>
  </si>
  <si>
    <t>CHS762x16.0</t>
  </si>
  <si>
    <t>CHS762x20.0</t>
  </si>
  <si>
    <t>CHS762x25.0</t>
  </si>
  <si>
    <t>CHS762x30.0</t>
  </si>
  <si>
    <t>CHS762x32.0</t>
  </si>
  <si>
    <t>CHS762x36.0</t>
  </si>
  <si>
    <t>CHS762x40.0</t>
  </si>
  <si>
    <t>CHS762x45.0</t>
  </si>
  <si>
    <t>CHS762x50.0</t>
  </si>
  <si>
    <t>CHS762x55.0</t>
  </si>
  <si>
    <t>CHS762x60.0</t>
  </si>
  <si>
    <t>CHS762x65.0</t>
  </si>
  <si>
    <t>CHS762x70.0</t>
  </si>
  <si>
    <t>CHS813x8.0</t>
  </si>
  <si>
    <t>CHS813x10.0</t>
  </si>
  <si>
    <t>CHS813x12.5</t>
  </si>
  <si>
    <t>CHS813x14.2</t>
  </si>
  <si>
    <t>CHS813x16.0</t>
  </si>
  <si>
    <t>CHS813x20.0</t>
  </si>
  <si>
    <t>CHS813x25.0</t>
  </si>
  <si>
    <t>CHS813x30.0</t>
  </si>
  <si>
    <t>CHS813x32.0</t>
  </si>
  <si>
    <t>CHS813x36.0</t>
  </si>
  <si>
    <t>CHS813x40.0</t>
  </si>
  <si>
    <t>CHS813x45.0</t>
  </si>
  <si>
    <t>CHS813x50.0</t>
  </si>
  <si>
    <t>CHS813x55.0</t>
  </si>
  <si>
    <t>CHS813x60.0</t>
  </si>
  <si>
    <t>CHS813x65.0</t>
  </si>
  <si>
    <t>CHS813x70.0</t>
  </si>
  <si>
    <t>CHS914x8.0</t>
  </si>
  <si>
    <t>CHS914x10.0</t>
  </si>
  <si>
    <t>CHS914x12.5</t>
  </si>
  <si>
    <t>CHS914x14.2</t>
  </si>
  <si>
    <t>CHS914x16.0</t>
  </si>
  <si>
    <t>CHS914x20.0</t>
  </si>
  <si>
    <t>CHS914x25.0</t>
  </si>
  <si>
    <t>CHS914x30.0</t>
  </si>
  <si>
    <t>CHS1016x8.0</t>
  </si>
  <si>
    <t>CHS1016x10.0</t>
  </si>
  <si>
    <t>CHS1016x12.5</t>
  </si>
  <si>
    <t>CHS1016x14.2</t>
  </si>
  <si>
    <t>CHS1016x16.0</t>
  </si>
  <si>
    <t>CHS1016x20.0</t>
  </si>
  <si>
    <t>CHS1016x25.0</t>
  </si>
  <si>
    <t>CHS1016x30.0</t>
  </si>
  <si>
    <t>CHS1067x10.0</t>
  </si>
  <si>
    <t>CHS1067x12.5</t>
  </si>
  <si>
    <t>CHS1067x14.2</t>
  </si>
  <si>
    <t>CHS1067x16.0</t>
  </si>
  <si>
    <t>CHS1067x20.0</t>
  </si>
  <si>
    <t>CHS1067x25.0</t>
  </si>
  <si>
    <t>CHS1067x30.0</t>
  </si>
  <si>
    <t>CHS1168x10.0</t>
  </si>
  <si>
    <t>CHS1168x12.5</t>
  </si>
  <si>
    <t>CHS1168x14.2</t>
  </si>
  <si>
    <t>CHS1168x16.0</t>
  </si>
  <si>
    <t>CHS1168x20.0</t>
  </si>
  <si>
    <t>CHS1168x25.0</t>
  </si>
  <si>
    <t>CHS1219x10.0</t>
  </si>
  <si>
    <t>CHS1219x12.5</t>
  </si>
  <si>
    <t>CHS1219x14.2</t>
  </si>
  <si>
    <t>CHS1219x16.0</t>
  </si>
  <si>
    <t>CHS1219x20.0</t>
  </si>
  <si>
    <t>CHS1219x25.0</t>
  </si>
  <si>
    <t>SHS40x40x2.6</t>
  </si>
  <si>
    <t>SHS40x40x3</t>
  </si>
  <si>
    <t>SHS40x40x3.2</t>
  </si>
  <si>
    <t>SHS40x40x3.6</t>
  </si>
  <si>
    <t>SHS40x40x4</t>
  </si>
  <si>
    <t>SHS40x40x5</t>
  </si>
  <si>
    <t>RHS50x30x2.6</t>
  </si>
  <si>
    <t>RHS50x30x3</t>
  </si>
  <si>
    <t>RHS50x30x3.2</t>
  </si>
  <si>
    <t>SHS50x50x2.6</t>
  </si>
  <si>
    <t>RHS50x30x3.6</t>
  </si>
  <si>
    <t>SHS50x50x3</t>
  </si>
  <si>
    <t>RHS50x30x4</t>
  </si>
  <si>
    <t>SHS50x50x3.2</t>
  </si>
  <si>
    <t>SHS50x50x3.6</t>
  </si>
  <si>
    <t>RHS50x30x5</t>
  </si>
  <si>
    <t>RHS50x30x5.0</t>
  </si>
  <si>
    <t>SHS50x50x4</t>
  </si>
  <si>
    <t>SHS50x50x5</t>
  </si>
  <si>
    <t>SHS50x50x6.3</t>
  </si>
  <si>
    <t>SHS50x50x7.1</t>
  </si>
  <si>
    <t>SHS50x50x8</t>
  </si>
  <si>
    <t>RHS60x40x2.6</t>
  </si>
  <si>
    <t>RHS60x40x3</t>
  </si>
  <si>
    <t>RHS60x40x3.2</t>
  </si>
  <si>
    <t>SHS60x60x2.6</t>
  </si>
  <si>
    <t>RHS60x40x3.6</t>
  </si>
  <si>
    <t>SHS60x60x3</t>
  </si>
  <si>
    <t>SHS60x60x3.2</t>
  </si>
  <si>
    <t>RHS60x40x4</t>
  </si>
  <si>
    <t>SHS60x60x3.6</t>
  </si>
  <si>
    <t>RHS60x40x5</t>
  </si>
  <si>
    <t>RHS60x40x5.0</t>
  </si>
  <si>
    <t>SHS60x60x4</t>
  </si>
  <si>
    <t>RHS60x40x6.3</t>
  </si>
  <si>
    <t>SHS60x60x5</t>
  </si>
  <si>
    <t>SHS60x60x6.3</t>
  </si>
  <si>
    <t>SHS60x60x7.1</t>
  </si>
  <si>
    <t>SHS60x60x8</t>
  </si>
  <si>
    <t>SHS70x70x3</t>
  </si>
  <si>
    <t>SHS70x70x3.2</t>
  </si>
  <si>
    <t>SHS70x70x3.6</t>
  </si>
  <si>
    <t>SHS70x70x4</t>
  </si>
  <si>
    <t>SHS70x70x5</t>
  </si>
  <si>
    <t>SHS70x70x6.3</t>
  </si>
  <si>
    <t>SHS70x70x7.1</t>
  </si>
  <si>
    <t>SHS70x70x8</t>
  </si>
  <si>
    <t>SHS70x70x8.8</t>
  </si>
  <si>
    <t>RHS80x40x3</t>
  </si>
  <si>
    <t>RHS80x40x3.2</t>
  </si>
  <si>
    <t>RHS80x40x3.6</t>
  </si>
  <si>
    <t>RHS80x40x4</t>
  </si>
  <si>
    <t>SHS80x80x3</t>
  </si>
  <si>
    <t>SHS80x80x3.2</t>
  </si>
  <si>
    <t>RHS80x40x5</t>
  </si>
  <si>
    <t>SHS80x80x3.6</t>
  </si>
  <si>
    <t>SHS80x80x4</t>
  </si>
  <si>
    <t>RHS80x40x6.3</t>
  </si>
  <si>
    <t>RHS80x40x7.1</t>
  </si>
  <si>
    <t>SHS80x80x5</t>
  </si>
  <si>
    <t>RHS80x40x8</t>
  </si>
  <si>
    <t>SHS80x80x6.3</t>
  </si>
  <si>
    <t>SHS80x80x7.1</t>
  </si>
  <si>
    <t>SHS80x80x8</t>
  </si>
  <si>
    <t>SHS80x80x8.8</t>
  </si>
  <si>
    <t>SHS80x80x10</t>
  </si>
  <si>
    <t>SHS80x80x12.5</t>
  </si>
  <si>
    <t>RHS90x50x3</t>
  </si>
  <si>
    <t>RHS90x50x3.2</t>
  </si>
  <si>
    <t>RHS90x50x3.6</t>
  </si>
  <si>
    <t>RHS90x50x4</t>
  </si>
  <si>
    <t>SHS90x90x3.6</t>
  </si>
  <si>
    <t>RHS90x50x5</t>
  </si>
  <si>
    <t>SHS90x90x4</t>
  </si>
  <si>
    <t>RHS90x50x6.3</t>
  </si>
  <si>
    <t>SHS90x90x5</t>
  </si>
  <si>
    <t>RHS90x50x7.1</t>
  </si>
  <si>
    <t>RHS90x50x8</t>
  </si>
  <si>
    <t>SHS90x90x6.3</t>
  </si>
  <si>
    <t>SHS90x90x7.1</t>
  </si>
  <si>
    <t>SHS90x90x8</t>
  </si>
  <si>
    <t>SHS90x90x8.8</t>
  </si>
  <si>
    <t>SHS90x90x10</t>
  </si>
  <si>
    <t>SHS90x90x12.5</t>
  </si>
  <si>
    <t>RHS100x50x3</t>
  </si>
  <si>
    <t>RHS100x50x3.2</t>
  </si>
  <si>
    <t>RHS100x60x3</t>
  </si>
  <si>
    <t>RHS100x60x3.2</t>
  </si>
  <si>
    <t>RHS100x50x3.6</t>
  </si>
  <si>
    <t>RHS100x60x3.6</t>
  </si>
  <si>
    <t>RHS100x50x4</t>
  </si>
  <si>
    <t>RHS100x60x4</t>
  </si>
  <si>
    <t>RHS100x50x5</t>
  </si>
  <si>
    <t>SHS100x100x3.6</t>
  </si>
  <si>
    <t>RHS100x60x5</t>
  </si>
  <si>
    <t>SHS100x100x4</t>
  </si>
  <si>
    <t>RHS100x50x6.3</t>
  </si>
  <si>
    <t>RHS100x60x6.3</t>
  </si>
  <si>
    <t>RHS100x50x7.1</t>
  </si>
  <si>
    <t>SHS100x100x5</t>
  </si>
  <si>
    <t>RHS100x60x7.1</t>
  </si>
  <si>
    <t>RHS100x50x8</t>
  </si>
  <si>
    <t>RHS100x60x8</t>
  </si>
  <si>
    <t>RHS100x50x8.8</t>
  </si>
  <si>
    <t>SHS100x100x6.3</t>
  </si>
  <si>
    <t>RHS100x60x8.8</t>
  </si>
  <si>
    <t>RHS100x50x10</t>
  </si>
  <si>
    <t>SHS100x100x7.1</t>
  </si>
  <si>
    <t>RHS100x60x10</t>
  </si>
  <si>
    <t>SHS100x100x8</t>
  </si>
  <si>
    <t>SHS100x100x8.8</t>
  </si>
  <si>
    <t>RHS100x60x12.5</t>
  </si>
  <si>
    <t>SHS100x100x10</t>
  </si>
  <si>
    <t>SHS100x100x12.5</t>
  </si>
  <si>
    <t>RHS120x60x3</t>
  </si>
  <si>
    <t>RHS120x60x3.2</t>
  </si>
  <si>
    <t>RHS120x60x3.6</t>
  </si>
  <si>
    <t>RHS120x60x4</t>
  </si>
  <si>
    <t>RHS120x80x3.6</t>
  </si>
  <si>
    <t>RHS120x80x4</t>
  </si>
  <si>
    <t>RHS120x60x5</t>
  </si>
  <si>
    <t>SHS120x120x4</t>
  </si>
  <si>
    <t>RHS120x80x5</t>
  </si>
  <si>
    <t>RHS120x60x6.3</t>
  </si>
  <si>
    <t>SHS120x120x5</t>
  </si>
  <si>
    <t>RHS120x60x7.1</t>
  </si>
  <si>
    <t>RHS120x80x6.3</t>
  </si>
  <si>
    <t>RHS120x60x8</t>
  </si>
  <si>
    <t>RHS120x80x7.1</t>
  </si>
  <si>
    <t>RHS120x60x8.8</t>
  </si>
  <si>
    <t>SHS120x120x6.3</t>
  </si>
  <si>
    <t>RHS120x80x8</t>
  </si>
  <si>
    <t>RHS120x60x10</t>
  </si>
  <si>
    <t>RHS120x80x8.8</t>
  </si>
  <si>
    <t>SHS120x120x7.1</t>
  </si>
  <si>
    <t>RHS120x80x10</t>
  </si>
  <si>
    <t>SHS120x120x8</t>
  </si>
  <si>
    <t>RHS120x60x12.5</t>
  </si>
  <si>
    <t>SHS120x120x8.8</t>
  </si>
  <si>
    <t>RHS120x80x12.5</t>
  </si>
  <si>
    <t>SHS120x120x10</t>
  </si>
  <si>
    <t>SHS120x120x12.5</t>
  </si>
  <si>
    <t>RHS140x80x4.0</t>
  </si>
  <si>
    <t>RHS140x80x5.0</t>
  </si>
  <si>
    <t>RHS140x80x6.3</t>
  </si>
  <si>
    <t>SHS140x140x5</t>
  </si>
  <si>
    <t>RHS140x80x8.0</t>
  </si>
  <si>
    <t>SHS140x140x6.3</t>
  </si>
  <si>
    <t>SHS140x140x7.1</t>
  </si>
  <si>
    <t>RHS140x80x10.0</t>
  </si>
  <si>
    <t>SHS140x140x8</t>
  </si>
  <si>
    <t>SHS140x140x8.8</t>
  </si>
  <si>
    <t>SHS140x140x10</t>
  </si>
  <si>
    <t>SHS140x140x12.5</t>
  </si>
  <si>
    <t>RHS150x100x4</t>
  </si>
  <si>
    <t>RHS150x100x5</t>
  </si>
  <si>
    <t>SHS150x150x5</t>
  </si>
  <si>
    <t>RHS150x100x6.3</t>
  </si>
  <si>
    <t>RHS150x100x7.1</t>
  </si>
  <si>
    <t>SHS150x150x6.3</t>
  </si>
  <si>
    <t>RHS150x100x8</t>
  </si>
  <si>
    <t>SHS150x150x7.1</t>
  </si>
  <si>
    <t>RHS150x100x8.8</t>
  </si>
  <si>
    <t>SHS150x150x8</t>
  </si>
  <si>
    <t>RHS150x100x10</t>
  </si>
  <si>
    <t>SHS150x150x8.8</t>
  </si>
  <si>
    <t>RHS150x100x12.5</t>
  </si>
  <si>
    <t>SHS150x150x10</t>
  </si>
  <si>
    <t>SHS150x150x12.5</t>
  </si>
  <si>
    <t>SHS150x150x14.2</t>
  </si>
  <si>
    <t>SHS150x150x16</t>
  </si>
  <si>
    <t>RHS160x80x4</t>
  </si>
  <si>
    <t>RHS160x80x5</t>
  </si>
  <si>
    <t>RHS160x80x6.3</t>
  </si>
  <si>
    <t>SHS160x160x5</t>
  </si>
  <si>
    <t>RHS160x80x7.1</t>
  </si>
  <si>
    <t>RHS160x80x8</t>
  </si>
  <si>
    <t>RHS160x80x8.8</t>
  </si>
  <si>
    <t>SHS160x160x6.3</t>
  </si>
  <si>
    <t>RHS160x80x10</t>
  </si>
  <si>
    <t>SHS160x160x7.1</t>
  </si>
  <si>
    <t>SHS160x160x8</t>
  </si>
  <si>
    <t>RHS160x80x12.5</t>
  </si>
  <si>
    <t>SHS160x160x8.8</t>
  </si>
  <si>
    <t>SHS160x160x10</t>
  </si>
  <si>
    <t>SHS160x160x12.5</t>
  </si>
  <si>
    <t>SHS160x160x14.2</t>
  </si>
  <si>
    <t>SHS160x160x16</t>
  </si>
  <si>
    <t>RHS180x60x4</t>
  </si>
  <si>
    <t>RHS180x100x4</t>
  </si>
  <si>
    <t>RHS180x60x5</t>
  </si>
  <si>
    <t>RHS180x100x5</t>
  </si>
  <si>
    <t>RHS180x60x6.3</t>
  </si>
  <si>
    <t>RHS180x60x7.1</t>
  </si>
  <si>
    <t>RHS180x100x6.3</t>
  </si>
  <si>
    <t>SHS180x180x5</t>
  </si>
  <si>
    <t>RHS180x60x8</t>
  </si>
  <si>
    <t>RHS180x100x7.1</t>
  </si>
  <si>
    <t>RHS180x60x8.8</t>
  </si>
  <si>
    <t>RHS180x100x8</t>
  </si>
  <si>
    <t>RHS180x60x10</t>
  </si>
  <si>
    <t>SHS180x180x6.3</t>
  </si>
  <si>
    <t>RHS180x100x8.8</t>
  </si>
  <si>
    <t>SHS180x180x7.1</t>
  </si>
  <si>
    <t>RHS180x100x10</t>
  </si>
  <si>
    <t>RHS180x60x12.5</t>
  </si>
  <si>
    <t>SHS180x180x8</t>
  </si>
  <si>
    <t>SHS180x180x8.8</t>
  </si>
  <si>
    <t>RHS180x100x12.5</t>
  </si>
  <si>
    <t>SHS180x180x10</t>
  </si>
  <si>
    <t>SHS180x180x12.5</t>
  </si>
  <si>
    <t>SHS180x180x14.2</t>
  </si>
  <si>
    <t>SHS180x180x16</t>
  </si>
  <si>
    <t>RHS200x100x4</t>
  </si>
  <si>
    <t>RHS200x100x5</t>
  </si>
  <si>
    <t>RHS200x100x5.0</t>
  </si>
  <si>
    <t>RHS200x120x5</t>
  </si>
  <si>
    <t>RHS200x150x5</t>
  </si>
  <si>
    <t>RHS200x100x6.3</t>
  </si>
  <si>
    <t>RHS200x120x6.3</t>
  </si>
  <si>
    <t>SHS200x200x5</t>
  </si>
  <si>
    <t>RHS200x100x7.1</t>
  </si>
  <si>
    <t>RHS200x150x6.3</t>
  </si>
  <si>
    <t>RHS200x120x7.1</t>
  </si>
  <si>
    <t>RHS200x100x8</t>
  </si>
  <si>
    <t>RHS200x150x7.1</t>
  </si>
  <si>
    <t>RHS200x120x8</t>
  </si>
  <si>
    <t>RHS200x120x8.0</t>
  </si>
  <si>
    <t>SHS200x200x6.3</t>
  </si>
  <si>
    <t>RHS200x100x8.8</t>
  </si>
  <si>
    <t>RHS200x120x8.8</t>
  </si>
  <si>
    <t>RHS200x150x8</t>
  </si>
  <si>
    <t>SHS200x200x7.1</t>
  </si>
  <si>
    <t>RHS200x100x10</t>
  </si>
  <si>
    <t>RHS200x150x8.8</t>
  </si>
  <si>
    <t>RHS200x120x10</t>
  </si>
  <si>
    <t>RHS200x120x10.0</t>
  </si>
  <si>
    <t>SHS200x200x8</t>
  </si>
  <si>
    <t>RHS200x150x10</t>
  </si>
  <si>
    <t>SHS200x200x8.8</t>
  </si>
  <si>
    <t>RHS200x100x12.5</t>
  </si>
  <si>
    <t>RHS200x120x12.5</t>
  </si>
  <si>
    <t>SHS200x200x10</t>
  </si>
  <si>
    <t>RHS200x100x14.2</t>
  </si>
  <si>
    <t>RHS200x150x12.5</t>
  </si>
  <si>
    <t>RHS200x120x14.2</t>
  </si>
  <si>
    <t>RHS200x150x14.2</t>
  </si>
  <si>
    <t>RHS200x120x16</t>
  </si>
  <si>
    <t>SHS200x200x12.5</t>
  </si>
  <si>
    <t>RHS200x150x16</t>
  </si>
  <si>
    <t>SHS200x200x14.2</t>
  </si>
  <si>
    <t>SHS200x200x16</t>
  </si>
  <si>
    <t>RHS220x120x5</t>
  </si>
  <si>
    <t>RHS220x120x6.3</t>
  </si>
  <si>
    <t>RHS220x120x7.1</t>
  </si>
  <si>
    <t>RHS220x120x8</t>
  </si>
  <si>
    <t>SHS220x220x6.3</t>
  </si>
  <si>
    <t>RHS220x120x8.8</t>
  </si>
  <si>
    <t>RHS220x120x10</t>
  </si>
  <si>
    <t>SHS220x220x8.0</t>
  </si>
  <si>
    <t>RHS220x120x12.5</t>
  </si>
  <si>
    <t>SHS220x220x10.0</t>
  </si>
  <si>
    <t>RHS220x120x14.2</t>
  </si>
  <si>
    <t>RHS220x120x16</t>
  </si>
  <si>
    <t>SHS220x220x12.5</t>
  </si>
  <si>
    <t>SHS220x220x14.2</t>
  </si>
  <si>
    <t>SHS220x220x16.0</t>
  </si>
  <si>
    <t>RHS250x100x5</t>
  </si>
  <si>
    <t>RHS250x100x6.3</t>
  </si>
  <si>
    <t>RHS250x200x5</t>
  </si>
  <si>
    <t>RHS250x100x7.1</t>
  </si>
  <si>
    <t>RHS250x150x6.3</t>
  </si>
  <si>
    <t>SHS250x250x5</t>
  </si>
  <si>
    <t>RHS250x100x8</t>
  </si>
  <si>
    <t>RHS250x200x6.3</t>
  </si>
  <si>
    <t>RHS250x100x8.8</t>
  </si>
  <si>
    <t>RHS250x150x8.0</t>
  </si>
  <si>
    <t>SHS250x250x6.3</t>
  </si>
  <si>
    <t>RHS250x200x7.1</t>
  </si>
  <si>
    <t>RHS250x100x10</t>
  </si>
  <si>
    <t>SHS250x250x7.1</t>
  </si>
  <si>
    <t>RHS250x200x8</t>
  </si>
  <si>
    <t>RHS250x150x10.0</t>
  </si>
  <si>
    <t>RHS250x200x8.8</t>
  </si>
  <si>
    <t>SHS250x250x8</t>
  </si>
  <si>
    <t>RHS250x100x12.5</t>
  </si>
  <si>
    <t>SHS250x250x8.8</t>
  </si>
  <si>
    <t>RHS250x200x10</t>
  </si>
  <si>
    <t>RHS250x100x14.2</t>
  </si>
  <si>
    <t>RHS250x150x12.5</t>
  </si>
  <si>
    <t>SHS250x250x10</t>
  </si>
  <si>
    <t>RHS250x100x16</t>
  </si>
  <si>
    <t>RHS250x150x14.2</t>
  </si>
  <si>
    <t>RHS250x200x12.5</t>
  </si>
  <si>
    <t>RHS250x150x16.0</t>
  </si>
  <si>
    <t>SHS250x250x12.5</t>
  </si>
  <si>
    <t>RHS250x200x14.2</t>
  </si>
  <si>
    <t>RHS250x200x16</t>
  </si>
  <si>
    <t>SHS250x250x14.2</t>
  </si>
  <si>
    <t>SHS250x250x16</t>
  </si>
  <si>
    <t>RHS260x140x5</t>
  </si>
  <si>
    <t>RHS260x180x5</t>
  </si>
  <si>
    <t>RHS260x140x6.3</t>
  </si>
  <si>
    <t>RHS260x180x6.3</t>
  </si>
  <si>
    <t>RHS260x140x7.1</t>
  </si>
  <si>
    <t>RHS260x180x7.1</t>
  </si>
  <si>
    <t>RHS260x140x8</t>
  </si>
  <si>
    <t>SHS260x260x6.3</t>
  </si>
  <si>
    <t>RHS260x140x8.8</t>
  </si>
  <si>
    <t>RHS260x180x8</t>
  </si>
  <si>
    <t>RHS260x180x8.0</t>
  </si>
  <si>
    <t>SHS260x260x7.1</t>
  </si>
  <si>
    <t>RHS260x180x8.8</t>
  </si>
  <si>
    <t>RHS260x140x10</t>
  </si>
  <si>
    <t>SHS260x260x8</t>
  </si>
  <si>
    <t>RHS260x180x10</t>
  </si>
  <si>
    <t>SHS260x260x8.8</t>
  </si>
  <si>
    <t>RHS260x140x12.5</t>
  </si>
  <si>
    <t>SHS260x260x10</t>
  </si>
  <si>
    <t>RHS260x180x12.5</t>
  </si>
  <si>
    <t>RHS260x140x14.2</t>
  </si>
  <si>
    <t>RHS260x180x14.2</t>
  </si>
  <si>
    <t>RHS260x140x16</t>
  </si>
  <si>
    <t>SHS260x260x12.5</t>
  </si>
  <si>
    <t>RHS260x180x16</t>
  </si>
  <si>
    <t>RHS260x180x16.0</t>
  </si>
  <si>
    <t>SHS260x260x14.2</t>
  </si>
  <si>
    <t>SHS260x260x16</t>
  </si>
  <si>
    <t>RHS300x100x5</t>
  </si>
  <si>
    <t>RHS300x100x6.3</t>
  </si>
  <si>
    <t>RHS300x200x5</t>
  </si>
  <si>
    <t>RHS300x250x5</t>
  </si>
  <si>
    <t>RHS300x100x7.1</t>
  </si>
  <si>
    <t>RHS300x100x8</t>
  </si>
  <si>
    <t>RHS300x200x6.3</t>
  </si>
  <si>
    <t>RHS300x100x8.8</t>
  </si>
  <si>
    <t>RHS300x250x6.3</t>
  </si>
  <si>
    <t>RHS300x200x7.1</t>
  </si>
  <si>
    <t>RHS300x150x8</t>
  </si>
  <si>
    <t>SHS300x300x6.3</t>
  </si>
  <si>
    <t>RHS300x100x10</t>
  </si>
  <si>
    <t>RHS300x150x8.8</t>
  </si>
  <si>
    <t>RHS300x250x7.1</t>
  </si>
  <si>
    <t>RHS300x200x8</t>
  </si>
  <si>
    <t>SHS300x300x7.1</t>
  </si>
  <si>
    <t>RHS300x200x8.8</t>
  </si>
  <si>
    <t>RHS300x250x8</t>
  </si>
  <si>
    <t>RHS300x150x10</t>
  </si>
  <si>
    <t>RHS300x100x12.5</t>
  </si>
  <si>
    <t>SHS300x300x8</t>
  </si>
  <si>
    <t>RHS300x250x8.8</t>
  </si>
  <si>
    <t>RHS300x200x10</t>
  </si>
  <si>
    <t>RHS300x200x10.0</t>
  </si>
  <si>
    <t>SHS300x300x8.8</t>
  </si>
  <si>
    <t>RHS300x100x14.2</t>
  </si>
  <si>
    <t>RHS300x150x12.5</t>
  </si>
  <si>
    <t>RHS300x250x10</t>
  </si>
  <si>
    <t>SHS300x300x10</t>
  </si>
  <si>
    <t>RHS300x100x16</t>
  </si>
  <si>
    <t>RHS300x200x12.5</t>
  </si>
  <si>
    <t>RHS300x150x14.2</t>
  </si>
  <si>
    <t>RHS300x250x12.5</t>
  </si>
  <si>
    <t>RHS300x150x16</t>
  </si>
  <si>
    <t>RHS300x200x14.2</t>
  </si>
  <si>
    <t>SHS300x300x12.5</t>
  </si>
  <si>
    <t>RHS300x200x16</t>
  </si>
  <si>
    <t>RHS300x250x14.2</t>
  </si>
  <si>
    <t>SHS300x300x14.2</t>
  </si>
  <si>
    <t>RHS300x250x16</t>
  </si>
  <si>
    <t>SHS300x300x16</t>
  </si>
  <si>
    <t>RHS340x100x10</t>
  </si>
  <si>
    <t>RHS350x150x5</t>
  </si>
  <si>
    <t>RHS350x150x6.3</t>
  </si>
  <si>
    <t>RHS350x150x7.1</t>
  </si>
  <si>
    <t>RHS350x250x6.3</t>
  </si>
  <si>
    <t>RHS350x150x8</t>
  </si>
  <si>
    <t>RHS350x250x7.1</t>
  </si>
  <si>
    <t>RHS350x150x8.8</t>
  </si>
  <si>
    <t>RHS350x250x8</t>
  </si>
  <si>
    <t>RHS350x150x10</t>
  </si>
  <si>
    <t>RHS350x250x8.8</t>
  </si>
  <si>
    <t>SHS350x350x8</t>
  </si>
  <si>
    <t>RHS350x250x10</t>
  </si>
  <si>
    <t>RHS350x150x12.5</t>
  </si>
  <si>
    <t>SHS350x350x8.8</t>
  </si>
  <si>
    <t>RHS350x150x14.2</t>
  </si>
  <si>
    <t>SHS350x350x10</t>
  </si>
  <si>
    <t>RHS350x250x12.5</t>
  </si>
  <si>
    <t>RHS350x150x16</t>
  </si>
  <si>
    <t>RHS350x250x14.2</t>
  </si>
  <si>
    <t>SHS350x350x12.5</t>
  </si>
  <si>
    <t>RHS350x250x16</t>
  </si>
  <si>
    <t>SHS350x350x14.2</t>
  </si>
  <si>
    <t>SHS350x350x16</t>
  </si>
  <si>
    <t>SHS350x350x19</t>
  </si>
  <si>
    <t>SHS350x350x22</t>
  </si>
  <si>
    <t>SHS350x350x25</t>
  </si>
  <si>
    <t>RHS400x120x6.3</t>
  </si>
  <si>
    <t>RHS400x150x6.3</t>
  </si>
  <si>
    <t>RHS400x120x7.1</t>
  </si>
  <si>
    <t>RHS400x200x6.3</t>
  </si>
  <si>
    <t>RHS400x150x7.1</t>
  </si>
  <si>
    <t>RHS400x120x8</t>
  </si>
  <si>
    <t>RHS400x200x7.1</t>
  </si>
  <si>
    <t>RHS400x150x8</t>
  </si>
  <si>
    <t>RHS400x120x8.8</t>
  </si>
  <si>
    <t>RHS400x200x8</t>
  </si>
  <si>
    <t>RHS400x150x8.8</t>
  </si>
  <si>
    <t>RHS400x120x10</t>
  </si>
  <si>
    <t>RHS400x200x8.8</t>
  </si>
  <si>
    <t>RHS400x150x10</t>
  </si>
  <si>
    <t>RHS400x300x8</t>
  </si>
  <si>
    <t>RHS400x200x10</t>
  </si>
  <si>
    <t>RHS400x300x8.8</t>
  </si>
  <si>
    <t>RHS400x120x12.5</t>
  </si>
  <si>
    <t>SHS400x400x8</t>
  </si>
  <si>
    <t>RHS400x150x12.5</t>
  </si>
  <si>
    <t>RHS400x300x10</t>
  </si>
  <si>
    <t>SHS400x400x8.8</t>
  </si>
  <si>
    <t>RHS400x120x14.2</t>
  </si>
  <si>
    <t>RHS400x200x12.5</t>
  </si>
  <si>
    <t>RHS400x150x14.2</t>
  </si>
  <si>
    <t>RHS400x120x16</t>
  </si>
  <si>
    <t>SHS400x400x10</t>
  </si>
  <si>
    <t>RHS400x200x14.2</t>
  </si>
  <si>
    <t>RHS400x150x16</t>
  </si>
  <si>
    <t>RHS400x300x12.5</t>
  </si>
  <si>
    <t>RHS400x200x16</t>
  </si>
  <si>
    <t>RHS400x300x14.2</t>
  </si>
  <si>
    <t>SHS400x400x12.5</t>
  </si>
  <si>
    <t>RHS400x300x16</t>
  </si>
  <si>
    <t>SHS400x400x14.2</t>
  </si>
  <si>
    <t>SHS400x400x16</t>
  </si>
  <si>
    <t>SHS400x400x20</t>
  </si>
  <si>
    <t>SHS400x400x22</t>
  </si>
  <si>
    <t>SHS400x400x25</t>
  </si>
  <si>
    <t>SHS400x400x28</t>
  </si>
  <si>
    <t>SHS400x400x32</t>
  </si>
  <si>
    <t>SHS400x400x36</t>
  </si>
  <si>
    <t>SHS400x400x40</t>
  </si>
  <si>
    <t>RHS450x250x8</t>
  </si>
  <si>
    <t>RHS450x250x8.0</t>
  </si>
  <si>
    <t>RHS450x250x8.8</t>
  </si>
  <si>
    <t>RHS450x250x10</t>
  </si>
  <si>
    <t>RHS450x250x10.0</t>
  </si>
  <si>
    <t>RHS450x250x12.5</t>
  </si>
  <si>
    <t>RHS450x250x14.2</t>
  </si>
  <si>
    <t>SHS450x450x12</t>
  </si>
  <si>
    <t>RHS450x250x16</t>
  </si>
  <si>
    <t>SHS450x450x16</t>
  </si>
  <si>
    <t>SHS450x450x19</t>
  </si>
  <si>
    <t>SHS450x450x22</t>
  </si>
  <si>
    <t>SHS450x450x25</t>
  </si>
  <si>
    <t>SHS450x450x28</t>
  </si>
  <si>
    <t>SHS450x450x32</t>
  </si>
  <si>
    <t>SHS450x450x36</t>
  </si>
  <si>
    <t>SHS450x450x40</t>
  </si>
  <si>
    <t>SHS450x450x45</t>
  </si>
  <si>
    <t>RHS500x200x8</t>
  </si>
  <si>
    <t>RHS500x200x8.8</t>
  </si>
  <si>
    <t>RHS500x300x8</t>
  </si>
  <si>
    <t>RHS500x200x10</t>
  </si>
  <si>
    <t>RHS500x300x8.8</t>
  </si>
  <si>
    <t>RHS500x300x10</t>
  </si>
  <si>
    <t>RHS500x200x12.5</t>
  </si>
  <si>
    <t>RHS500x200x14.2</t>
  </si>
  <si>
    <t>RHS500x300x12.5</t>
  </si>
  <si>
    <t>RHS500x200x16</t>
  </si>
  <si>
    <t>RHS500x300x14.2</t>
  </si>
  <si>
    <t>SHS500x500x12</t>
  </si>
  <si>
    <t>RHS500x300x16</t>
  </si>
  <si>
    <t>RHS500x300x20</t>
  </si>
  <si>
    <t>SHS500x500x16</t>
  </si>
  <si>
    <t>SHS500x500x19</t>
  </si>
  <si>
    <t>SHS500x500x22</t>
  </si>
  <si>
    <t>SHS500x500x25</t>
  </si>
  <si>
    <t>SHS500x500x28</t>
  </si>
  <si>
    <t>SHS500x500x32</t>
  </si>
  <si>
    <t>SHS500x500x36</t>
  </si>
  <si>
    <t>SHS500x500x40</t>
  </si>
  <si>
    <t>SHS500x500x45</t>
  </si>
  <si>
    <t>SHS500x500x50</t>
  </si>
  <si>
    <t>RHS550x350x12</t>
  </si>
  <si>
    <t>RHS550x350x16</t>
  </si>
  <si>
    <t>RHS550x350x19</t>
  </si>
  <si>
    <t>SHS550x550x16</t>
  </si>
  <si>
    <t>RHS550x350x22</t>
  </si>
  <si>
    <t>SHS550x550x19</t>
  </si>
  <si>
    <t>RHS550x350x25</t>
  </si>
  <si>
    <t>SHS550x550x22</t>
  </si>
  <si>
    <t>SHS550x550x25</t>
  </si>
  <si>
    <t>SHS550x550x28</t>
  </si>
  <si>
    <t>SHS550x550x32</t>
  </si>
  <si>
    <t>SHS550x550x36</t>
  </si>
  <si>
    <t>SHS550x550x40</t>
  </si>
  <si>
    <t>SHS550x550x45</t>
  </si>
  <si>
    <t>SHS550x550x50</t>
  </si>
  <si>
    <t>SHS550x550x55</t>
  </si>
  <si>
    <t>RHS600x400x12</t>
  </si>
  <si>
    <t>RHS600x400x16</t>
  </si>
  <si>
    <t>RHS600x400x19</t>
  </si>
  <si>
    <t>SHS600x600x16</t>
  </si>
  <si>
    <t>RHS600x400x22</t>
  </si>
  <si>
    <t>SHS600x600x19</t>
  </si>
  <si>
    <t>RHS600x400x25</t>
  </si>
  <si>
    <t>SHS600x600x22</t>
  </si>
  <si>
    <t>RHS600x400x28</t>
  </si>
  <si>
    <t>SHS600x600x25</t>
  </si>
  <si>
    <t>RHS600x400x32</t>
  </si>
  <si>
    <t>SHS600x600x28</t>
  </si>
  <si>
    <t>RHS600x400x36</t>
  </si>
  <si>
    <t>RHS600x400x40</t>
  </si>
  <si>
    <t>SHS600x600x32</t>
  </si>
  <si>
    <t>SHS600x600x36</t>
  </si>
  <si>
    <t>SHS600x600x40</t>
  </si>
  <si>
    <t>SHS600x600x45</t>
  </si>
  <si>
    <t>SHS600x600x50</t>
  </si>
  <si>
    <t>SHS600x600x55</t>
  </si>
  <si>
    <t>SHS600x600x60</t>
  </si>
  <si>
    <t>RHS650x450x12</t>
  </si>
  <si>
    <t>RHS650x450x16</t>
  </si>
  <si>
    <t>RHS650x450x19</t>
  </si>
  <si>
    <t>SHS650x650x16</t>
  </si>
  <si>
    <t>RHS650x450x22</t>
  </si>
  <si>
    <t>SHS650x650x19</t>
  </si>
  <si>
    <t>RHS650x450x25</t>
  </si>
  <si>
    <t>SHS650x650x22</t>
  </si>
  <si>
    <t>RHS650x450x28</t>
  </si>
  <si>
    <t>SHS650x650x25</t>
  </si>
  <si>
    <t>RHS650x450x32</t>
  </si>
  <si>
    <t>SHS650x650x28</t>
  </si>
  <si>
    <t>RHS650x450x36</t>
  </si>
  <si>
    <t>SHS650x650x32</t>
  </si>
  <si>
    <t>RHS650x450x40</t>
  </si>
  <si>
    <t>SHS650x650x36</t>
  </si>
  <si>
    <t>RHS650x450x45</t>
  </si>
  <si>
    <t>SHS650x650x40</t>
  </si>
  <si>
    <t>SHS650x650x45</t>
  </si>
  <si>
    <t>SHS650x650x50</t>
  </si>
  <si>
    <t>SHS650x650x55</t>
  </si>
  <si>
    <t>SHS650x650x60</t>
  </si>
  <si>
    <t>SHS650x650x65</t>
  </si>
  <si>
    <t>SHS700x700x16</t>
  </si>
  <si>
    <t>SHS700x700x19</t>
  </si>
  <si>
    <t>SHS700x700x22</t>
  </si>
  <si>
    <t>SHS700x700x25</t>
  </si>
  <si>
    <t>SHS700x700x28</t>
  </si>
  <si>
    <t>SHS700x700x32</t>
  </si>
  <si>
    <t>SHS700x700x36</t>
  </si>
  <si>
    <t>SHS700x700x40</t>
  </si>
  <si>
    <t>SHS700x700x45</t>
  </si>
  <si>
    <t>SHS700x700x50</t>
  </si>
  <si>
    <t>SHS700x700x55</t>
  </si>
  <si>
    <t>SHS700x700x60</t>
  </si>
  <si>
    <t>SHS700x700x65</t>
  </si>
  <si>
    <t>SHS700x700x70</t>
  </si>
  <si>
    <t>RHS750x500x12</t>
  </si>
  <si>
    <t>RHS750x500x16</t>
  </si>
  <si>
    <t>RHS750x500x19</t>
  </si>
  <si>
    <t>SHS750x750x16</t>
  </si>
  <si>
    <t>RHS750x500x22</t>
  </si>
  <si>
    <t>SHS750x750x19</t>
  </si>
  <si>
    <t>RHS750x500x25</t>
  </si>
  <si>
    <t>SHS750x750x22</t>
  </si>
  <si>
    <t>RHS750x500x28</t>
  </si>
  <si>
    <t>SHS750x750x25</t>
  </si>
  <si>
    <t>RHS750x500x32</t>
  </si>
  <si>
    <t>SHS750x750x28</t>
  </si>
  <si>
    <t>RHS750x500x36</t>
  </si>
  <si>
    <t>SHS750x750x32</t>
  </si>
  <si>
    <t>RHS750x500x40</t>
  </si>
  <si>
    <t>RHS750x500x45</t>
  </si>
  <si>
    <t>SHS750x750x36</t>
  </si>
  <si>
    <t>RHS750x500x50</t>
  </si>
  <si>
    <t>SHS750x750x40</t>
  </si>
  <si>
    <t>SHS750x750x45</t>
  </si>
  <si>
    <t>SHS750x750x50</t>
  </si>
  <si>
    <t>SHS750x750x55</t>
  </si>
  <si>
    <t>SHS750x750x60</t>
  </si>
  <si>
    <t>SHS750x750x65</t>
  </si>
  <si>
    <t>SHS750x750x70</t>
  </si>
  <si>
    <t>Combi</t>
  </si>
  <si>
    <t>Pos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</si>
</sst>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0.0_)"/>
    <numFmt numFmtId="165" formatCode="0_)"/>
    <numFmt numFmtId="166" formatCode="0.0"/>
    <numFmt numFmtId="167" formatCode="0.0000"/>
    <numFmt numFmtId="168" formatCode="0.000"/>
    <numFmt numFmtId="169" formatCode="0.00_)"/>
    <numFmt numFmtId="170" formatCode="0.000_)"/>
    <numFmt numFmtId="171" formatCode="&quot;&gt; &quot;0.0"/>
    <numFmt numFmtId="172" formatCode="&quot;avec ε* = &quot;0.00"/>
    <numFmt numFmtId="173" formatCode="0.000E+00"/>
  </numFmts>
  <fonts count="96">
    <font>
      <sz val="10"/>
      <name val="Arial"/>
    </font>
    <font>
      <sz val="10"/>
      <name val="Arial"/>
      <family val="2"/>
    </font>
    <font>
      <sz val="10"/>
      <name val="Times New Roman"/>
      <family val="1"/>
    </font>
    <font>
      <sz val="8"/>
      <name val="Arial"/>
      <family val="2"/>
    </font>
    <font>
      <b/>
      <sz val="10"/>
      <color indexed="12"/>
      <name val="Arial"/>
      <family val="2"/>
    </font>
    <font>
      <sz val="10"/>
      <name val="Symbol"/>
      <family val="1"/>
      <charset val="2"/>
    </font>
    <font>
      <sz val="10"/>
      <name val="Arial"/>
      <family val="2"/>
    </font>
    <font>
      <sz val="10"/>
      <color indexed="12"/>
      <name val="Arial"/>
      <family val="2"/>
    </font>
    <font>
      <sz val="10"/>
      <name val="Arial"/>
      <family val="2"/>
    </font>
    <font>
      <u/>
      <sz val="10"/>
      <name val="Arial"/>
      <family val="2"/>
    </font>
    <font>
      <sz val="12"/>
      <name val="Times New Roman"/>
      <family val="1"/>
    </font>
    <font>
      <i/>
      <sz val="10"/>
      <name val="Arial"/>
      <family val="2"/>
    </font>
    <font>
      <i/>
      <sz val="9"/>
      <name val="Arial"/>
      <family val="2"/>
    </font>
    <font>
      <b/>
      <u/>
      <sz val="10"/>
      <name val="Arial"/>
      <family val="2"/>
    </font>
    <font>
      <sz val="8"/>
      <name val="Arial"/>
      <family val="2"/>
    </font>
    <font>
      <sz val="9"/>
      <name val="Arial"/>
      <family val="2"/>
    </font>
    <font>
      <u/>
      <sz val="10"/>
      <name val="Arial"/>
      <family val="2"/>
    </font>
    <font>
      <u/>
      <sz val="10"/>
      <name val="Times New Roman"/>
      <family val="1"/>
    </font>
    <font>
      <sz val="14"/>
      <name val="Times New Roman"/>
      <family val="1"/>
    </font>
    <font>
      <sz val="10"/>
      <color indexed="12"/>
      <name val="Times New Roman"/>
      <family val="1"/>
    </font>
    <font>
      <sz val="10"/>
      <color indexed="55"/>
      <name val="Arial"/>
      <family val="2"/>
    </font>
    <font>
      <sz val="10"/>
      <color indexed="55"/>
      <name val="Times New Roman"/>
      <family val="1"/>
    </font>
    <font>
      <i/>
      <sz val="9"/>
      <color indexed="23"/>
      <name val="Times New Roman"/>
      <family val="1"/>
    </font>
    <font>
      <i/>
      <sz val="9"/>
      <color indexed="23"/>
      <name val="Arial"/>
      <family val="2"/>
    </font>
    <font>
      <sz val="10"/>
      <color indexed="8"/>
      <name val="Times New Roman"/>
      <family val="1"/>
    </font>
    <font>
      <sz val="10"/>
      <name val="Arial"/>
      <family val="2"/>
    </font>
    <font>
      <b/>
      <sz val="16"/>
      <color indexed="9"/>
      <name val="Times New Roman"/>
      <family val="1"/>
    </font>
    <font>
      <sz val="10"/>
      <color indexed="9"/>
      <name val="Arial"/>
      <family val="2"/>
    </font>
    <font>
      <b/>
      <sz val="9"/>
      <color indexed="9"/>
      <name val="Arial"/>
      <family val="2"/>
    </font>
    <font>
      <sz val="10"/>
      <color indexed="10"/>
      <name val="Arial"/>
      <family val="2"/>
    </font>
    <font>
      <sz val="10"/>
      <color indexed="55"/>
      <name val="Arial"/>
      <family val="2"/>
    </font>
    <font>
      <b/>
      <sz val="10"/>
      <name val="Arial"/>
      <family val="2"/>
    </font>
    <font>
      <b/>
      <sz val="12"/>
      <name val="Arial"/>
      <family val="2"/>
    </font>
    <font>
      <b/>
      <sz val="11"/>
      <name val="Arial"/>
      <family val="2"/>
    </font>
    <font>
      <b/>
      <sz val="10"/>
      <color indexed="9"/>
      <name val="Arial"/>
      <family val="2"/>
    </font>
    <font>
      <b/>
      <sz val="12"/>
      <color indexed="9"/>
      <name val="Arial"/>
      <family val="2"/>
    </font>
    <font>
      <u/>
      <sz val="11"/>
      <name val="Arial"/>
      <family val="2"/>
    </font>
    <font>
      <b/>
      <sz val="14"/>
      <color indexed="9"/>
      <name val="Arial"/>
      <family val="2"/>
    </font>
    <font>
      <b/>
      <sz val="12"/>
      <color indexed="10"/>
      <name val="Arial"/>
      <family val="2"/>
    </font>
    <font>
      <i/>
      <sz val="10"/>
      <name val="Times New Roman"/>
      <family val="1"/>
    </font>
    <font>
      <sz val="10"/>
      <color indexed="9"/>
      <name val="Arial"/>
      <family val="2"/>
    </font>
    <font>
      <sz val="11"/>
      <color indexed="9"/>
      <name val="Arial"/>
      <family val="2"/>
    </font>
    <font>
      <sz val="11"/>
      <color indexed="9"/>
      <name val="Times New Roman"/>
      <family val="1"/>
    </font>
    <font>
      <sz val="11"/>
      <color indexed="9"/>
      <name val="Arial"/>
      <family val="2"/>
    </font>
    <font>
      <b/>
      <sz val="10"/>
      <color indexed="11"/>
      <name val="Arial"/>
      <family val="2"/>
    </font>
    <font>
      <sz val="11"/>
      <color indexed="11"/>
      <name val="Arial"/>
      <family val="2"/>
    </font>
    <font>
      <sz val="11"/>
      <color indexed="11"/>
      <name val="Arial"/>
      <family val="2"/>
    </font>
    <font>
      <sz val="10"/>
      <color indexed="10"/>
      <name val="Arial"/>
      <family val="2"/>
    </font>
    <font>
      <sz val="8"/>
      <color indexed="81"/>
      <name val="Tahoma"/>
      <family val="2"/>
    </font>
    <font>
      <sz val="8"/>
      <color indexed="81"/>
      <name val="Arial"/>
      <family val="2"/>
    </font>
    <font>
      <sz val="6.8"/>
      <color indexed="81"/>
      <name val="Tahoma"/>
      <family val="2"/>
    </font>
    <font>
      <sz val="9"/>
      <color indexed="81"/>
      <name val="Tahoma"/>
      <family val="2"/>
    </font>
    <font>
      <b/>
      <sz val="8"/>
      <color indexed="81"/>
      <name val="Tahoma"/>
      <family val="2"/>
    </font>
    <font>
      <sz val="10"/>
      <color indexed="13"/>
      <name val="Arial"/>
      <family val="2"/>
    </font>
    <font>
      <b/>
      <sz val="14"/>
      <name val="Arial"/>
      <family val="2"/>
    </font>
    <font>
      <sz val="10"/>
      <color indexed="22"/>
      <name val="Arial"/>
      <family val="2"/>
    </font>
    <font>
      <i/>
      <sz val="9"/>
      <name val="Times New Roman"/>
      <family val="1"/>
    </font>
    <font>
      <sz val="10"/>
      <color indexed="11"/>
      <name val="Arial"/>
      <family val="2"/>
    </font>
    <font>
      <i/>
      <sz val="10"/>
      <color indexed="55"/>
      <name val="Arial"/>
      <family val="2"/>
    </font>
    <font>
      <sz val="11"/>
      <color indexed="13"/>
      <name val="Arial"/>
      <family val="2"/>
    </font>
    <font>
      <i/>
      <sz val="10"/>
      <color indexed="55"/>
      <name val="Times New Roman"/>
      <family val="1"/>
    </font>
    <font>
      <i/>
      <sz val="10"/>
      <color indexed="23"/>
      <name val="Arial"/>
      <family val="2"/>
    </font>
    <font>
      <sz val="9"/>
      <color indexed="23"/>
      <name val="Arial"/>
      <family val="2"/>
    </font>
    <font>
      <sz val="9"/>
      <color indexed="23"/>
      <name val="Times New Roman"/>
      <family val="1"/>
    </font>
    <font>
      <sz val="10"/>
      <color indexed="22"/>
      <name val="Arial"/>
      <family val="2"/>
    </font>
    <font>
      <sz val="10"/>
      <color indexed="22"/>
      <name val="Times New Roman"/>
      <family val="1"/>
    </font>
    <font>
      <b/>
      <sz val="10"/>
      <color indexed="22"/>
      <name val="Arial"/>
      <family val="2"/>
    </font>
    <font>
      <u/>
      <sz val="10"/>
      <color indexed="22"/>
      <name val="Arial"/>
      <family val="2"/>
    </font>
    <font>
      <u/>
      <sz val="10"/>
      <color indexed="22"/>
      <name val="Times New Roman"/>
      <family val="1"/>
    </font>
    <font>
      <sz val="10"/>
      <name val="Arial"/>
      <family val="2"/>
    </font>
    <font>
      <sz val="9"/>
      <name val="Arial"/>
      <family val="2"/>
    </font>
    <font>
      <sz val="10"/>
      <color indexed="81"/>
      <name val="Tahoma"/>
      <family val="2"/>
    </font>
    <font>
      <u/>
      <sz val="10"/>
      <color indexed="81"/>
      <name val="Tahoma"/>
      <family val="2"/>
    </font>
    <font>
      <b/>
      <sz val="10"/>
      <color indexed="10"/>
      <name val="Arial"/>
      <family val="2"/>
    </font>
    <font>
      <b/>
      <sz val="9"/>
      <name val="Arial"/>
      <family val="2"/>
    </font>
    <font>
      <i/>
      <sz val="10"/>
      <name val="Arial"/>
      <family val="2"/>
    </font>
    <font>
      <i/>
      <u/>
      <sz val="10"/>
      <name val="Arial"/>
      <family val="2"/>
    </font>
    <font>
      <u/>
      <sz val="10"/>
      <color indexed="9"/>
      <name val="Arial"/>
      <family val="2"/>
    </font>
    <font>
      <b/>
      <sz val="12"/>
      <color indexed="9"/>
      <name val="Arial"/>
      <family val="2"/>
    </font>
    <font>
      <sz val="10"/>
      <name val="Arial"/>
      <family val="2"/>
    </font>
    <font>
      <vertAlign val="superscript"/>
      <sz val="9"/>
      <name val="Times New Roman"/>
      <family val="1"/>
    </font>
    <font>
      <sz val="10"/>
      <color indexed="11"/>
      <name val="Times New Roman"/>
      <family val="1"/>
    </font>
    <font>
      <i/>
      <sz val="8"/>
      <name val="Arial"/>
      <family val="2"/>
    </font>
    <font>
      <b/>
      <sz val="16"/>
      <color indexed="9"/>
      <name val="Arial"/>
      <family val="2"/>
    </font>
    <font>
      <sz val="10"/>
      <color indexed="57"/>
      <name val="Arial"/>
      <family val="2"/>
    </font>
    <font>
      <sz val="10"/>
      <color indexed="57"/>
      <name val="Arial"/>
      <family val="2"/>
    </font>
    <font>
      <b/>
      <vertAlign val="subscript"/>
      <sz val="10"/>
      <name val="Arial"/>
      <family val="2"/>
    </font>
    <font>
      <vertAlign val="subscript"/>
      <sz val="8"/>
      <name val="Arial"/>
      <family val="2"/>
    </font>
    <font>
      <b/>
      <sz val="10"/>
      <color indexed="8"/>
      <name val="Arial"/>
      <family val="2"/>
    </font>
    <font>
      <b/>
      <sz val="8"/>
      <color indexed="10"/>
      <name val="Arial"/>
      <family val="2"/>
    </font>
    <font>
      <b/>
      <sz val="10"/>
      <color rgb="FFFF0000"/>
      <name val="Arial"/>
      <family val="2"/>
    </font>
    <font>
      <sz val="10"/>
      <name val="Calibri"/>
      <family val="2"/>
    </font>
    <font>
      <b/>
      <sz val="11"/>
      <color theme="1"/>
      <name val="Calibri"/>
      <family val="2"/>
      <scheme val="minor"/>
    </font>
    <font>
      <sz val="20"/>
      <color theme="1"/>
      <name val="ISOCTEUR"/>
      <family val="3"/>
    </font>
    <font>
      <sz val="10"/>
      <color rgb="FFFF0000"/>
      <name val="Arial"/>
      <family val="2"/>
    </font>
    <font>
      <b/>
      <sz val="9"/>
      <color indexed="81"/>
      <name val="Tahoma"/>
      <family val="2"/>
    </font>
  </fonts>
  <fills count="15">
    <fill>
      <patternFill patternType="none"/>
    </fill>
    <fill>
      <patternFill patternType="gray125"/>
    </fill>
    <fill>
      <patternFill patternType="solid">
        <fgColor indexed="22"/>
        <bgColor indexed="64"/>
      </patternFill>
    </fill>
    <fill>
      <patternFill patternType="solid">
        <fgColor indexed="8"/>
        <bgColor indexed="64"/>
      </patternFill>
    </fill>
    <fill>
      <patternFill patternType="solid">
        <fgColor indexed="44"/>
        <bgColor indexed="64"/>
      </patternFill>
    </fill>
    <fill>
      <patternFill patternType="solid">
        <fgColor indexed="48"/>
        <bgColor indexed="64"/>
      </patternFill>
    </fill>
    <fill>
      <patternFill patternType="solid">
        <fgColor indexed="18"/>
        <bgColor indexed="64"/>
      </patternFill>
    </fill>
    <fill>
      <patternFill patternType="solid">
        <fgColor indexed="12"/>
        <bgColor indexed="64"/>
      </patternFill>
    </fill>
    <fill>
      <patternFill patternType="solid">
        <fgColor indexed="55"/>
        <bgColor indexed="64"/>
      </patternFill>
    </fill>
    <fill>
      <patternFill patternType="solid">
        <fgColor indexed="11"/>
        <bgColor indexed="64"/>
      </patternFill>
    </fill>
    <fill>
      <patternFill patternType="solid">
        <fgColor indexed="63"/>
        <bgColor indexed="64"/>
      </patternFill>
    </fill>
    <fill>
      <patternFill patternType="solid">
        <fgColor indexed="15"/>
        <bgColor indexed="64"/>
      </patternFill>
    </fill>
    <fill>
      <patternFill patternType="solid">
        <fgColor indexed="13"/>
        <bgColor indexed="64"/>
      </patternFill>
    </fill>
    <fill>
      <patternFill patternType="solid">
        <fgColor indexed="47"/>
        <bgColor indexed="64"/>
      </patternFill>
    </fill>
    <fill>
      <patternFill patternType="solid">
        <fgColor theme="0" tint="-0.14999847407452621"/>
        <bgColor indexed="64"/>
      </patternFill>
    </fill>
  </fills>
  <borders count="29">
    <border>
      <left/>
      <right/>
      <top/>
      <bottom/>
      <diagonal/>
    </border>
    <border>
      <left/>
      <right style="medium">
        <color indexed="64"/>
      </right>
      <top/>
      <bottom/>
      <diagonal/>
    </border>
    <border>
      <left/>
      <right style="medium">
        <color indexed="64"/>
      </right>
      <top/>
      <bottom style="medium">
        <color indexed="64"/>
      </bottom>
      <diagonal/>
    </border>
    <border>
      <left/>
      <right/>
      <top/>
      <bottom style="medium">
        <color indexed="64"/>
      </bottom>
      <diagonal/>
    </border>
    <border>
      <left/>
      <right style="hair">
        <color indexed="64"/>
      </right>
      <top/>
      <bottom/>
      <diagonal/>
    </border>
    <border>
      <left/>
      <right style="hair">
        <color indexed="64"/>
      </right>
      <top/>
      <bottom style="hair">
        <color indexed="64"/>
      </bottom>
      <diagonal/>
    </border>
    <border>
      <left/>
      <right/>
      <top/>
      <bottom style="hair">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n">
        <color indexed="64"/>
      </bottom>
      <diagonal/>
    </border>
    <border>
      <left style="medium">
        <color indexed="64"/>
      </left>
      <right/>
      <top/>
      <bottom/>
      <diagonal/>
    </border>
    <border>
      <left/>
      <right style="thin">
        <color indexed="64"/>
      </right>
      <top/>
      <bottom style="medium">
        <color indexed="64"/>
      </bottom>
      <diagonal/>
    </border>
    <border>
      <left/>
      <right style="thin">
        <color indexed="64"/>
      </right>
      <top/>
      <bottom/>
      <diagonal/>
    </border>
    <border>
      <left/>
      <right/>
      <top style="medium">
        <color indexed="64"/>
      </top>
      <bottom/>
      <diagonal/>
    </border>
    <border>
      <left style="medium">
        <color indexed="64"/>
      </left>
      <right/>
      <top/>
      <bottom style="medium">
        <color indexed="64"/>
      </bottom>
      <diagonal/>
    </border>
    <border>
      <left style="thin">
        <color indexed="64"/>
      </left>
      <right/>
      <top/>
      <bottom/>
      <diagonal/>
    </border>
    <border>
      <left style="thin">
        <color indexed="64"/>
      </left>
      <right/>
      <top/>
      <bottom style="medium">
        <color indexed="64"/>
      </bottom>
      <diagonal/>
    </border>
    <border>
      <left style="thin">
        <color indexed="64"/>
      </left>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right style="thin">
        <color indexed="64"/>
      </right>
      <top/>
      <bottom style="thin">
        <color indexed="64"/>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right/>
      <top style="dashed">
        <color rgb="FF0070C0"/>
      </top>
      <bottom/>
      <diagonal/>
    </border>
    <border>
      <left/>
      <right style="medium">
        <color indexed="64"/>
      </right>
      <top style="dashed">
        <color rgb="FF0070C0"/>
      </top>
      <bottom/>
      <diagonal/>
    </border>
  </borders>
  <cellStyleXfs count="1">
    <xf numFmtId="0" fontId="0" fillId="0" borderId="0"/>
  </cellStyleXfs>
  <cellXfs count="414">
    <xf numFmtId="0" fontId="0" fillId="0" borderId="0" xfId="0"/>
    <xf numFmtId="0" fontId="0" fillId="0" borderId="1" xfId="0" applyBorder="1"/>
    <xf numFmtId="0" fontId="0" fillId="0" borderId="2" xfId="0" applyBorder="1"/>
    <xf numFmtId="0" fontId="2" fillId="0" borderId="0" xfId="0" applyFont="1"/>
    <xf numFmtId="165" fontId="2" fillId="0" borderId="0" xfId="0" applyNumberFormat="1" applyFont="1"/>
    <xf numFmtId="166" fontId="2" fillId="0" borderId="0" xfId="0" applyNumberFormat="1" applyFont="1"/>
    <xf numFmtId="165" fontId="2" fillId="0" borderId="0" xfId="0" applyNumberFormat="1" applyFont="1" applyAlignment="1">
      <alignment horizontal="right"/>
    </xf>
    <xf numFmtId="166" fontId="2" fillId="0" borderId="0" xfId="0" applyNumberFormat="1" applyFont="1" applyAlignment="1">
      <alignment horizontal="right"/>
    </xf>
    <xf numFmtId="164" fontId="2" fillId="0" borderId="0" xfId="0" applyNumberFormat="1" applyFont="1"/>
    <xf numFmtId="0" fontId="0" fillId="0" borderId="0" xfId="0" applyAlignment="1">
      <alignment horizontal="center"/>
    </xf>
    <xf numFmtId="166" fontId="7" fillId="0" borderId="0" xfId="0" applyNumberFormat="1" applyFont="1" applyAlignment="1">
      <alignment horizontal="center"/>
    </xf>
    <xf numFmtId="2" fontId="7" fillId="0" borderId="0" xfId="0" applyNumberFormat="1" applyFont="1" applyAlignment="1">
      <alignment horizontal="center"/>
    </xf>
    <xf numFmtId="0" fontId="5" fillId="0" borderId="0" xfId="0" applyFont="1" applyAlignment="1">
      <alignment horizontal="left"/>
    </xf>
    <xf numFmtId="2" fontId="6" fillId="0" borderId="0" xfId="0" applyNumberFormat="1" applyFont="1" applyAlignment="1">
      <alignment horizontal="center"/>
    </xf>
    <xf numFmtId="0" fontId="6" fillId="0" borderId="0" xfId="0" applyFont="1" applyAlignment="1">
      <alignment horizontal="center"/>
    </xf>
    <xf numFmtId="166" fontId="0" fillId="0" borderId="0" xfId="0" applyNumberFormat="1" applyAlignment="1">
      <alignment horizontal="center"/>
    </xf>
    <xf numFmtId="2" fontId="0" fillId="0" borderId="0" xfId="0" applyNumberFormat="1" applyAlignment="1">
      <alignment horizontal="center"/>
    </xf>
    <xf numFmtId="0" fontId="0" fillId="0" borderId="0" xfId="0" applyAlignment="1">
      <alignment horizontal="left"/>
    </xf>
    <xf numFmtId="0" fontId="8" fillId="0" borderId="0" xfId="0" applyFont="1" applyAlignment="1">
      <alignment horizontal="left"/>
    </xf>
    <xf numFmtId="0" fontId="10" fillId="0" borderId="0" xfId="0" applyFont="1"/>
    <xf numFmtId="0" fontId="8" fillId="0" borderId="0" xfId="0" applyFont="1"/>
    <xf numFmtId="0" fontId="9" fillId="0" borderId="0" xfId="0" applyFont="1"/>
    <xf numFmtId="2" fontId="8" fillId="0" borderId="0" xfId="0" applyNumberFormat="1" applyFont="1" applyAlignment="1">
      <alignment horizontal="center"/>
    </xf>
    <xf numFmtId="0" fontId="12" fillId="0" borderId="1" xfId="0" applyFont="1" applyBorder="1"/>
    <xf numFmtId="0" fontId="12" fillId="0" borderId="0" xfId="0" applyFont="1"/>
    <xf numFmtId="0" fontId="11" fillId="0" borderId="0" xfId="0" applyFont="1"/>
    <xf numFmtId="0" fontId="12" fillId="0" borderId="0" xfId="0" applyFont="1" applyAlignment="1">
      <alignment horizontal="left"/>
    </xf>
    <xf numFmtId="0" fontId="13" fillId="0" borderId="0" xfId="0" applyFont="1" applyAlignment="1">
      <alignment horizontal="left"/>
    </xf>
    <xf numFmtId="1" fontId="0" fillId="0" borderId="0" xfId="0" applyNumberFormat="1" applyAlignment="1">
      <alignment horizontal="center"/>
    </xf>
    <xf numFmtId="168" fontId="7" fillId="0" borderId="0" xfId="0" applyNumberFormat="1" applyFont="1" applyAlignment="1">
      <alignment horizontal="center"/>
    </xf>
    <xf numFmtId="0" fontId="15" fillId="0" borderId="1" xfId="0" applyFont="1" applyBorder="1"/>
    <xf numFmtId="165" fontId="2" fillId="0" borderId="0" xfId="0" applyNumberFormat="1" applyFont="1" applyAlignment="1">
      <alignment horizontal="center"/>
    </xf>
    <xf numFmtId="166" fontId="2" fillId="0" borderId="0" xfId="0" applyNumberFormat="1" applyFont="1" applyAlignment="1">
      <alignment horizontal="center"/>
    </xf>
    <xf numFmtId="0" fontId="9" fillId="0" borderId="0" xfId="0" applyFont="1" applyAlignment="1">
      <alignment horizontal="left"/>
    </xf>
    <xf numFmtId="0" fontId="8" fillId="0" borderId="0" xfId="0" applyFont="1" applyAlignment="1">
      <alignment horizontal="center"/>
    </xf>
    <xf numFmtId="2" fontId="2" fillId="0" borderId="0" xfId="0" applyNumberFormat="1" applyFont="1"/>
    <xf numFmtId="166" fontId="0" fillId="0" borderId="0" xfId="0" applyNumberFormat="1"/>
    <xf numFmtId="166" fontId="8" fillId="0" borderId="0" xfId="0" applyNumberFormat="1" applyFont="1"/>
    <xf numFmtId="2" fontId="0" fillId="0" borderId="0" xfId="0" applyNumberFormat="1"/>
    <xf numFmtId="169" fontId="2" fillId="0" borderId="0" xfId="0" applyNumberFormat="1" applyFont="1" applyAlignment="1">
      <alignment horizontal="center"/>
    </xf>
    <xf numFmtId="2" fontId="2" fillId="0" borderId="0" xfId="0" applyNumberFormat="1" applyFont="1" applyAlignment="1">
      <alignment horizontal="center"/>
    </xf>
    <xf numFmtId="166" fontId="4" fillId="0" borderId="0" xfId="0" applyNumberFormat="1" applyFont="1" applyAlignment="1">
      <alignment horizontal="center"/>
    </xf>
    <xf numFmtId="170" fontId="2" fillId="0" borderId="0" xfId="0" applyNumberFormat="1" applyFont="1" applyAlignment="1">
      <alignment horizontal="center"/>
    </xf>
    <xf numFmtId="165" fontId="17" fillId="0" borderId="0" xfId="0" applyNumberFormat="1" applyFont="1" applyAlignment="1">
      <alignment horizontal="right"/>
    </xf>
    <xf numFmtId="168" fontId="0" fillId="0" borderId="0" xfId="0" applyNumberFormat="1" applyAlignment="1">
      <alignment horizontal="center"/>
    </xf>
    <xf numFmtId="169" fontId="0" fillId="0" borderId="0" xfId="0" applyNumberFormat="1" applyAlignment="1">
      <alignment horizontal="center"/>
    </xf>
    <xf numFmtId="168" fontId="2" fillId="0" borderId="0" xfId="0" applyNumberFormat="1" applyFont="1" applyAlignment="1">
      <alignment horizontal="center"/>
    </xf>
    <xf numFmtId="0" fontId="0" fillId="0" borderId="0" xfId="0" applyAlignment="1">
      <alignment horizontal="right"/>
    </xf>
    <xf numFmtId="165" fontId="17" fillId="0" borderId="0" xfId="0" applyNumberFormat="1" applyFont="1" applyAlignment="1">
      <alignment horizontal="left"/>
    </xf>
    <xf numFmtId="169" fontId="2" fillId="0" borderId="0" xfId="0" applyNumberFormat="1" applyFont="1" applyAlignment="1">
      <alignment horizontal="left"/>
    </xf>
    <xf numFmtId="49" fontId="2" fillId="0" borderId="0" xfId="0" applyNumberFormat="1" applyFont="1"/>
    <xf numFmtId="49" fontId="0" fillId="0" borderId="0" xfId="0" applyNumberFormat="1"/>
    <xf numFmtId="164" fontId="0" fillId="0" borderId="0" xfId="0" applyNumberFormat="1"/>
    <xf numFmtId="165" fontId="0" fillId="0" borderId="0" xfId="0" applyNumberFormat="1"/>
    <xf numFmtId="0" fontId="0" fillId="0" borderId="0" xfId="0" applyAlignment="1">
      <alignment wrapText="1"/>
    </xf>
    <xf numFmtId="0" fontId="0" fillId="0" borderId="0" xfId="0" applyAlignment="1">
      <alignment horizontal="center" wrapText="1"/>
    </xf>
    <xf numFmtId="166" fontId="0" fillId="0" borderId="0" xfId="0" applyNumberFormat="1" applyAlignment="1">
      <alignment wrapText="1"/>
    </xf>
    <xf numFmtId="0" fontId="0" fillId="0" borderId="3" xfId="0" applyBorder="1"/>
    <xf numFmtId="49" fontId="19" fillId="0" borderId="0" xfId="0" applyNumberFormat="1" applyFont="1"/>
    <xf numFmtId="0" fontId="2" fillId="0" borderId="0" xfId="0" applyFont="1" applyAlignment="1">
      <alignment horizontal="center"/>
    </xf>
    <xf numFmtId="0" fontId="0" fillId="2" borderId="0" xfId="0" applyFill="1" applyAlignment="1">
      <alignment horizontal="center"/>
    </xf>
    <xf numFmtId="0" fontId="20" fillId="0" borderId="0" xfId="0" applyFont="1" applyAlignment="1">
      <alignment horizontal="right"/>
    </xf>
    <xf numFmtId="0" fontId="4" fillId="0" borderId="0" xfId="0" applyFont="1" applyAlignment="1">
      <alignment horizontal="center"/>
    </xf>
    <xf numFmtId="0" fontId="20" fillId="0" borderId="0" xfId="0" applyFont="1"/>
    <xf numFmtId="164" fontId="2" fillId="0" borderId="0" xfId="0" applyNumberFormat="1" applyFont="1" applyAlignment="1">
      <alignment horizontal="right"/>
    </xf>
    <xf numFmtId="165" fontId="2" fillId="0" borderId="0" xfId="0" applyNumberFormat="1" applyFont="1" applyAlignment="1">
      <alignment horizontal="left"/>
    </xf>
    <xf numFmtId="0" fontId="20" fillId="0" borderId="0" xfId="0" applyFont="1" applyAlignment="1">
      <alignment horizontal="center"/>
    </xf>
    <xf numFmtId="0" fontId="2" fillId="0" borderId="0" xfId="0" applyFont="1" applyAlignment="1">
      <alignment horizontal="right"/>
    </xf>
    <xf numFmtId="0" fontId="23" fillId="0" borderId="0" xfId="0" applyFont="1"/>
    <xf numFmtId="0" fontId="22" fillId="0" borderId="0" xfId="0" applyFont="1" applyAlignment="1">
      <alignment horizontal="right"/>
    </xf>
    <xf numFmtId="166" fontId="23" fillId="0" borderId="0" xfId="0" applyNumberFormat="1" applyFont="1" applyAlignment="1">
      <alignment horizontal="center"/>
    </xf>
    <xf numFmtId="0" fontId="2" fillId="0" borderId="4" xfId="0" applyFont="1" applyBorder="1" applyAlignment="1">
      <alignment horizontal="center"/>
    </xf>
    <xf numFmtId="0" fontId="2" fillId="0" borderId="0" xfId="0" applyFont="1" applyAlignment="1">
      <alignment horizontal="left"/>
    </xf>
    <xf numFmtId="0" fontId="24" fillId="0" borderId="0" xfId="0" applyFont="1" applyAlignment="1">
      <alignment horizontal="center"/>
    </xf>
    <xf numFmtId="0" fontId="2" fillId="0" borderId="5" xfId="0" applyFont="1" applyBorder="1" applyAlignment="1">
      <alignment horizontal="center"/>
    </xf>
    <xf numFmtId="0" fontId="2" fillId="0" borderId="4" xfId="0" applyFont="1" applyBorder="1" applyAlignment="1">
      <alignment horizontal="right"/>
    </xf>
    <xf numFmtId="2" fontId="2" fillId="0" borderId="0" xfId="0" applyNumberFormat="1" applyFont="1" applyAlignment="1">
      <alignment horizontal="right"/>
    </xf>
    <xf numFmtId="165" fontId="2" fillId="0" borderId="5" xfId="0" applyNumberFormat="1" applyFont="1" applyBorder="1" applyAlignment="1">
      <alignment horizontal="right"/>
    </xf>
    <xf numFmtId="2" fontId="2" fillId="0" borderId="5" xfId="0" applyNumberFormat="1" applyFont="1" applyBorder="1" applyAlignment="1">
      <alignment horizontal="right"/>
    </xf>
    <xf numFmtId="2" fontId="2" fillId="0" borderId="6" xfId="0" applyNumberFormat="1" applyFont="1" applyBorder="1" applyAlignment="1">
      <alignment horizontal="right"/>
    </xf>
    <xf numFmtId="1" fontId="2" fillId="0" borderId="5" xfId="0" applyNumberFormat="1" applyFont="1" applyBorder="1" applyAlignment="1">
      <alignment horizontal="right"/>
    </xf>
    <xf numFmtId="1" fontId="2" fillId="0" borderId="5" xfId="0" applyNumberFormat="1" applyFont="1" applyBorder="1" applyAlignment="1">
      <alignment horizontal="center"/>
    </xf>
    <xf numFmtId="0" fontId="18" fillId="0" borderId="7" xfId="0" applyFont="1" applyBorder="1"/>
    <xf numFmtId="0" fontId="25" fillId="0" borderId="8" xfId="0" applyFont="1" applyBorder="1"/>
    <xf numFmtId="0" fontId="25" fillId="0" borderId="9" xfId="0" applyFont="1" applyBorder="1"/>
    <xf numFmtId="0" fontId="20" fillId="0" borderId="0" xfId="0" applyFont="1" applyAlignment="1">
      <alignment horizontal="left"/>
    </xf>
    <xf numFmtId="0" fontId="21" fillId="0" borderId="0" xfId="0" applyFont="1" applyAlignment="1">
      <alignment horizontal="left"/>
    </xf>
    <xf numFmtId="0" fontId="1" fillId="0" borderId="0" xfId="0" applyFont="1"/>
    <xf numFmtId="0" fontId="0" fillId="0" borderId="10" xfId="0" applyBorder="1"/>
    <xf numFmtId="0" fontId="8" fillId="0" borderId="10" xfId="0" applyFont="1" applyBorder="1" applyAlignment="1">
      <alignment horizontal="center"/>
    </xf>
    <xf numFmtId="0" fontId="0" fillId="0" borderId="10" xfId="0" applyBorder="1" applyAlignment="1">
      <alignment horizontal="center"/>
    </xf>
    <xf numFmtId="0" fontId="7" fillId="0" borderId="0" xfId="0" applyFont="1" applyAlignment="1">
      <alignment horizontal="center"/>
    </xf>
    <xf numFmtId="166" fontId="2" fillId="0" borderId="0" xfId="0" applyNumberFormat="1" applyFont="1" applyAlignment="1">
      <alignment horizontal="left"/>
    </xf>
    <xf numFmtId="1" fontId="30" fillId="0" borderId="0" xfId="0" applyNumberFormat="1" applyFont="1" applyAlignment="1">
      <alignment horizontal="left"/>
    </xf>
    <xf numFmtId="0" fontId="13" fillId="0" borderId="0" xfId="0" applyFont="1"/>
    <xf numFmtId="0" fontId="0" fillId="0" borderId="11" xfId="0" applyBorder="1"/>
    <xf numFmtId="0" fontId="13" fillId="0" borderId="11" xfId="0" applyFont="1" applyBorder="1" applyAlignment="1">
      <alignment horizontal="left"/>
    </xf>
    <xf numFmtId="0" fontId="9" fillId="0" borderId="11" xfId="0" applyFont="1" applyBorder="1"/>
    <xf numFmtId="0" fontId="12" fillId="0" borderId="11" xfId="0" applyFont="1" applyBorder="1"/>
    <xf numFmtId="0" fontId="16" fillId="0" borderId="11" xfId="0" applyFont="1" applyBorder="1"/>
    <xf numFmtId="1" fontId="21" fillId="0" borderId="0" xfId="0" applyNumberFormat="1" applyFont="1" applyAlignment="1">
      <alignment horizontal="left"/>
    </xf>
    <xf numFmtId="164" fontId="0" fillId="0" borderId="0" xfId="0" applyNumberFormat="1" applyAlignment="1">
      <alignment horizontal="center"/>
    </xf>
    <xf numFmtId="0" fontId="2" fillId="0" borderId="4" xfId="0" applyFont="1" applyBorder="1" applyAlignment="1">
      <alignment horizontal="left"/>
    </xf>
    <xf numFmtId="168" fontId="0" fillId="0" borderId="0" xfId="0" applyNumberFormat="1"/>
    <xf numFmtId="2" fontId="1" fillId="0" borderId="0" xfId="0" applyNumberFormat="1" applyFont="1" applyAlignment="1">
      <alignment horizontal="center"/>
    </xf>
    <xf numFmtId="0" fontId="21" fillId="0" borderId="0" xfId="0" applyFont="1" applyAlignment="1">
      <alignment horizontal="center"/>
    </xf>
    <xf numFmtId="164" fontId="8" fillId="0" borderId="0" xfId="0" applyNumberFormat="1" applyFont="1" applyAlignment="1">
      <alignment horizontal="center"/>
    </xf>
    <xf numFmtId="166" fontId="8" fillId="0" borderId="0" xfId="0" applyNumberFormat="1" applyFont="1" applyAlignment="1">
      <alignment horizontal="center"/>
    </xf>
    <xf numFmtId="171" fontId="0" fillId="0" borderId="0" xfId="0" applyNumberFormat="1" applyAlignment="1">
      <alignment horizontal="center"/>
    </xf>
    <xf numFmtId="0" fontId="33" fillId="0" borderId="0" xfId="0" applyFont="1" applyAlignment="1">
      <alignment horizontal="center"/>
    </xf>
    <xf numFmtId="166" fontId="33" fillId="0" borderId="0" xfId="0" applyNumberFormat="1" applyFont="1" applyAlignment="1">
      <alignment horizontal="center"/>
    </xf>
    <xf numFmtId="2" fontId="20" fillId="0" borderId="0" xfId="0" applyNumberFormat="1" applyFont="1" applyAlignment="1">
      <alignment horizontal="center"/>
    </xf>
    <xf numFmtId="169" fontId="21" fillId="0" borderId="0" xfId="0" applyNumberFormat="1" applyFont="1" applyAlignment="1">
      <alignment horizontal="center"/>
    </xf>
    <xf numFmtId="0" fontId="30" fillId="0" borderId="0" xfId="0" applyFont="1" applyAlignment="1">
      <alignment horizontal="center"/>
    </xf>
    <xf numFmtId="165" fontId="21" fillId="0" borderId="0" xfId="0" applyNumberFormat="1" applyFont="1"/>
    <xf numFmtId="0" fontId="36" fillId="0" borderId="0" xfId="0" applyFont="1"/>
    <xf numFmtId="0" fontId="8" fillId="0" borderId="3" xfId="0" applyFont="1" applyBorder="1" applyAlignment="1">
      <alignment horizontal="center"/>
    </xf>
    <xf numFmtId="0" fontId="8" fillId="0" borderId="12" xfId="0" applyFont="1" applyBorder="1" applyAlignment="1">
      <alignment horizontal="center"/>
    </xf>
    <xf numFmtId="1" fontId="0" fillId="0" borderId="13" xfId="0" applyNumberFormat="1" applyBorder="1" applyAlignment="1">
      <alignment horizontal="center"/>
    </xf>
    <xf numFmtId="0" fontId="0" fillId="0" borderId="13" xfId="0" applyBorder="1"/>
    <xf numFmtId="0" fontId="0" fillId="0" borderId="12" xfId="0" applyBorder="1" applyAlignment="1">
      <alignment horizontal="center"/>
    </xf>
    <xf numFmtId="0" fontId="0" fillId="0" borderId="13" xfId="0" applyBorder="1" applyAlignment="1">
      <alignment horizontal="center"/>
    </xf>
    <xf numFmtId="2" fontId="0" fillId="0" borderId="13" xfId="0" applyNumberFormat="1" applyBorder="1" applyAlignment="1">
      <alignment horizontal="left"/>
    </xf>
    <xf numFmtId="2" fontId="0" fillId="0" borderId="12" xfId="0" applyNumberFormat="1" applyBorder="1" applyAlignment="1">
      <alignment horizontal="center"/>
    </xf>
    <xf numFmtId="0" fontId="1" fillId="0" borderId="13" xfId="0" applyFont="1" applyBorder="1"/>
    <xf numFmtId="172" fontId="0" fillId="0" borderId="0" xfId="0" applyNumberFormat="1" applyAlignment="1">
      <alignment horizontal="left"/>
    </xf>
    <xf numFmtId="165" fontId="2" fillId="0" borderId="3" xfId="0" applyNumberFormat="1" applyFont="1" applyBorder="1"/>
    <xf numFmtId="0" fontId="0" fillId="0" borderId="3" xfId="0" applyBorder="1" applyAlignment="1">
      <alignment horizontal="center"/>
    </xf>
    <xf numFmtId="165" fontId="8" fillId="0" borderId="0" xfId="0" applyNumberFormat="1" applyFont="1" applyAlignment="1">
      <alignment horizontal="center"/>
    </xf>
    <xf numFmtId="165" fontId="2" fillId="0" borderId="3" xfId="0" applyNumberFormat="1" applyFont="1" applyBorder="1" applyAlignment="1">
      <alignment horizontal="center"/>
    </xf>
    <xf numFmtId="0" fontId="0" fillId="0" borderId="3" xfId="0" applyBorder="1" applyAlignment="1">
      <alignment horizontal="left"/>
    </xf>
    <xf numFmtId="1" fontId="20" fillId="0" borderId="0" xfId="0" applyNumberFormat="1" applyFont="1" applyAlignment="1">
      <alignment horizontal="center"/>
    </xf>
    <xf numFmtId="0" fontId="27" fillId="3" borderId="0" xfId="0" applyFont="1" applyFill="1"/>
    <xf numFmtId="0" fontId="27" fillId="4" borderId="0" xfId="0" applyFont="1" applyFill="1"/>
    <xf numFmtId="0" fontId="27" fillId="4" borderId="0" xfId="0" applyFont="1" applyFill="1" applyAlignment="1">
      <alignment horizontal="center" textRotation="90"/>
    </xf>
    <xf numFmtId="0" fontId="35" fillId="4" borderId="0" xfId="0" applyFont="1" applyFill="1"/>
    <xf numFmtId="0" fontId="32" fillId="4" borderId="0" xfId="0" applyFont="1" applyFill="1"/>
    <xf numFmtId="0" fontId="0" fillId="4" borderId="0" xfId="0" applyFill="1"/>
    <xf numFmtId="0" fontId="0" fillId="5" borderId="0" xfId="0" applyFill="1"/>
    <xf numFmtId="0" fontId="35" fillId="5" borderId="0" xfId="0" applyFont="1" applyFill="1"/>
    <xf numFmtId="0" fontId="32" fillId="5" borderId="0" xfId="0" applyFont="1" applyFill="1"/>
    <xf numFmtId="165" fontId="2" fillId="5" borderId="0" xfId="0" applyNumberFormat="1" applyFont="1" applyFill="1"/>
    <xf numFmtId="0" fontId="0" fillId="6" borderId="0" xfId="0" applyFill="1"/>
    <xf numFmtId="0" fontId="35" fillId="6" borderId="0" xfId="0" applyFont="1" applyFill="1"/>
    <xf numFmtId="0" fontId="32" fillId="6" borderId="0" xfId="0" applyFont="1" applyFill="1"/>
    <xf numFmtId="165" fontId="2" fillId="6" borderId="0" xfId="0" applyNumberFormat="1" applyFont="1" applyFill="1"/>
    <xf numFmtId="0" fontId="34" fillId="6" borderId="0" xfId="0" applyFont="1" applyFill="1"/>
    <xf numFmtId="1" fontId="34" fillId="6" borderId="0" xfId="0" applyNumberFormat="1" applyFont="1" applyFill="1" applyAlignment="1">
      <alignment horizontal="center"/>
    </xf>
    <xf numFmtId="0" fontId="34" fillId="7" borderId="0" xfId="0" applyFont="1" applyFill="1"/>
    <xf numFmtId="0" fontId="34" fillId="7" borderId="0" xfId="0" applyFont="1" applyFill="1" applyAlignment="1">
      <alignment horizontal="center"/>
    </xf>
    <xf numFmtId="0" fontId="34" fillId="4" borderId="0" xfId="0" applyFont="1" applyFill="1"/>
    <xf numFmtId="0" fontId="34" fillId="4" borderId="0" xfId="0" applyFont="1" applyFill="1" applyAlignment="1">
      <alignment horizontal="center"/>
    </xf>
    <xf numFmtId="0" fontId="37" fillId="3" borderId="0" xfId="0" applyFont="1" applyFill="1"/>
    <xf numFmtId="165" fontId="21" fillId="0" borderId="0" xfId="0" applyNumberFormat="1" applyFont="1" applyAlignment="1">
      <alignment horizontal="right"/>
    </xf>
    <xf numFmtId="165" fontId="21" fillId="0" borderId="0" xfId="0" applyNumberFormat="1" applyFont="1" applyAlignment="1">
      <alignment horizontal="center"/>
    </xf>
    <xf numFmtId="0" fontId="0" fillId="8" borderId="0" xfId="0" applyFill="1"/>
    <xf numFmtId="1" fontId="2" fillId="0" borderId="0" xfId="0" applyNumberFormat="1" applyFont="1" applyAlignment="1">
      <alignment horizontal="center"/>
    </xf>
    <xf numFmtId="0" fontId="6" fillId="0" borderId="0" xfId="0" applyFont="1"/>
    <xf numFmtId="0" fontId="2" fillId="0" borderId="3" xfId="0" applyFont="1" applyBorder="1" applyAlignment="1">
      <alignment horizontal="center"/>
    </xf>
    <xf numFmtId="173" fontId="2" fillId="0" borderId="0" xfId="0" applyNumberFormat="1" applyFont="1" applyAlignment="1">
      <alignment horizontal="right"/>
    </xf>
    <xf numFmtId="164" fontId="44" fillId="8" borderId="0" xfId="0" applyNumberFormat="1" applyFont="1" applyFill="1" applyAlignment="1">
      <alignment horizontal="right"/>
    </xf>
    <xf numFmtId="0" fontId="2" fillId="8" borderId="0" xfId="0" applyFont="1" applyFill="1"/>
    <xf numFmtId="165" fontId="42" fillId="8" borderId="0" xfId="0" applyNumberFormat="1" applyFont="1" applyFill="1" applyAlignment="1">
      <alignment horizontal="right"/>
    </xf>
    <xf numFmtId="166" fontId="42" fillId="8" borderId="0" xfId="0" applyNumberFormat="1" applyFont="1" applyFill="1"/>
    <xf numFmtId="0" fontId="43" fillId="8" borderId="0" xfId="0" applyFont="1" applyFill="1"/>
    <xf numFmtId="0" fontId="41" fillId="8" borderId="0" xfId="0" applyFont="1" applyFill="1"/>
    <xf numFmtId="0" fontId="40" fillId="8" borderId="0" xfId="0" applyFont="1" applyFill="1"/>
    <xf numFmtId="172" fontId="20" fillId="0" borderId="0" xfId="0" applyNumberFormat="1" applyFont="1" applyAlignment="1">
      <alignment horizontal="center"/>
    </xf>
    <xf numFmtId="0" fontId="45" fillId="8" borderId="0" xfId="0" applyFont="1" applyFill="1"/>
    <xf numFmtId="0" fontId="46" fillId="8" borderId="0" xfId="0" applyFont="1" applyFill="1"/>
    <xf numFmtId="165" fontId="45" fillId="8" borderId="0" xfId="0" applyNumberFormat="1" applyFont="1" applyFill="1" applyAlignment="1">
      <alignment horizontal="left"/>
    </xf>
    <xf numFmtId="0" fontId="11" fillId="0" borderId="0" xfId="0" applyFont="1" applyAlignment="1">
      <alignment horizontal="center"/>
    </xf>
    <xf numFmtId="2" fontId="47" fillId="0" borderId="0" xfId="0" applyNumberFormat="1" applyFont="1" applyAlignment="1">
      <alignment horizontal="center"/>
    </xf>
    <xf numFmtId="2" fontId="29" fillId="0" borderId="0" xfId="0" applyNumberFormat="1" applyFont="1" applyAlignment="1">
      <alignment horizontal="center"/>
    </xf>
    <xf numFmtId="0" fontId="1" fillId="0" borderId="0" xfId="0" applyFont="1" applyAlignment="1">
      <alignment horizontal="left"/>
    </xf>
    <xf numFmtId="0" fontId="20" fillId="0" borderId="3" xfId="0" applyFont="1" applyBorder="1" applyAlignment="1">
      <alignment horizontal="center"/>
    </xf>
    <xf numFmtId="0" fontId="1" fillId="0" borderId="3" xfId="0" applyFont="1" applyBorder="1" applyAlignment="1">
      <alignment horizontal="center"/>
    </xf>
    <xf numFmtId="166" fontId="1" fillId="0" borderId="0" xfId="0" applyNumberFormat="1" applyFont="1" applyAlignment="1">
      <alignment horizontal="center"/>
    </xf>
    <xf numFmtId="0" fontId="20" fillId="0" borderId="3" xfId="0" applyFont="1" applyBorder="1"/>
    <xf numFmtId="0" fontId="1" fillId="0" borderId="0" xfId="0" applyFont="1" applyAlignment="1">
      <alignment horizontal="center"/>
    </xf>
    <xf numFmtId="0" fontId="0" fillId="0" borderId="14" xfId="0" applyBorder="1"/>
    <xf numFmtId="0" fontId="15" fillId="0" borderId="0" xfId="0" applyFont="1"/>
    <xf numFmtId="0" fontId="1" fillId="9" borderId="0" xfId="0" applyFont="1" applyFill="1"/>
    <xf numFmtId="0" fontId="0" fillId="9" borderId="0" xfId="0" applyFill="1"/>
    <xf numFmtId="0" fontId="0" fillId="10" borderId="0" xfId="0" applyFill="1"/>
    <xf numFmtId="166" fontId="8" fillId="0" borderId="0" xfId="0" applyNumberFormat="1" applyFont="1" applyAlignment="1">
      <alignment horizontal="left"/>
    </xf>
    <xf numFmtId="166" fontId="47" fillId="0" borderId="0" xfId="0" applyNumberFormat="1" applyFont="1" applyAlignment="1">
      <alignment horizontal="center"/>
    </xf>
    <xf numFmtId="166" fontId="12" fillId="0" borderId="11" xfId="0" applyNumberFormat="1" applyFont="1" applyBorder="1" applyAlignment="1">
      <alignment horizontal="left"/>
    </xf>
    <xf numFmtId="0" fontId="12" fillId="0" borderId="15" xfId="0" applyFont="1" applyBorder="1"/>
    <xf numFmtId="0" fontId="54" fillId="0" borderId="0" xfId="0" applyFont="1"/>
    <xf numFmtId="0" fontId="55" fillId="0" borderId="0" xfId="0" applyFont="1"/>
    <xf numFmtId="0" fontId="16" fillId="0" borderId="0" xfId="0" applyFont="1"/>
    <xf numFmtId="166" fontId="15" fillId="0" borderId="0" xfId="0" applyNumberFormat="1" applyFont="1" applyAlignment="1">
      <alignment horizontal="center"/>
    </xf>
    <xf numFmtId="0" fontId="12" fillId="0" borderId="0" xfId="0" applyFont="1" applyAlignment="1">
      <alignment horizontal="center"/>
    </xf>
    <xf numFmtId="0" fontId="8" fillId="9" borderId="3" xfId="0" applyFont="1" applyFill="1" applyBorder="1" applyAlignment="1">
      <alignment horizontal="center"/>
    </xf>
    <xf numFmtId="0" fontId="8" fillId="9" borderId="3" xfId="0" applyFont="1" applyFill="1" applyBorder="1"/>
    <xf numFmtId="0" fontId="1" fillId="9" borderId="3" xfId="0" applyFont="1" applyFill="1" applyBorder="1" applyAlignment="1">
      <alignment horizontal="center"/>
    </xf>
    <xf numFmtId="0" fontId="56" fillId="0" borderId="3" xfId="0" applyFont="1" applyBorder="1" applyAlignment="1">
      <alignment horizontal="center"/>
    </xf>
    <xf numFmtId="0" fontId="0" fillId="9" borderId="3" xfId="0" applyFill="1" applyBorder="1" applyAlignment="1">
      <alignment horizontal="center"/>
    </xf>
    <xf numFmtId="0" fontId="12" fillId="0" borderId="10" xfId="0" applyFont="1" applyBorder="1" applyAlignment="1">
      <alignment horizontal="center"/>
    </xf>
    <xf numFmtId="0" fontId="1" fillId="9" borderId="0" xfId="0" applyFont="1" applyFill="1" applyAlignment="1">
      <alignment horizontal="center"/>
    </xf>
    <xf numFmtId="0" fontId="8" fillId="9" borderId="0" xfId="0" applyFont="1" applyFill="1" applyAlignment="1">
      <alignment horizontal="center"/>
    </xf>
    <xf numFmtId="0" fontId="0" fillId="9" borderId="0" xfId="0" applyFill="1" applyAlignment="1">
      <alignment horizontal="center"/>
    </xf>
    <xf numFmtId="0" fontId="57" fillId="8" borderId="16" xfId="0" applyFont="1" applyFill="1" applyBorder="1"/>
    <xf numFmtId="0" fontId="0" fillId="0" borderId="16" xfId="0" applyBorder="1"/>
    <xf numFmtId="0" fontId="0" fillId="9" borderId="17" xfId="0" applyFill="1" applyBorder="1" applyAlignment="1">
      <alignment horizontal="center"/>
    </xf>
    <xf numFmtId="2" fontId="1" fillId="0" borderId="16" xfId="0" applyNumberFormat="1" applyFont="1" applyBorder="1" applyAlignment="1">
      <alignment horizontal="center"/>
    </xf>
    <xf numFmtId="0" fontId="45" fillId="8" borderId="16" xfId="0" applyFont="1" applyFill="1" applyBorder="1"/>
    <xf numFmtId="0" fontId="11" fillId="0" borderId="16" xfId="0" applyFont="1" applyBorder="1" applyAlignment="1">
      <alignment horizontal="center"/>
    </xf>
    <xf numFmtId="0" fontId="0" fillId="0" borderId="17" xfId="0" applyBorder="1"/>
    <xf numFmtId="2" fontId="0" fillId="0" borderId="16" xfId="0" applyNumberFormat="1" applyBorder="1" applyAlignment="1">
      <alignment horizontal="center"/>
    </xf>
    <xf numFmtId="0" fontId="12" fillId="0" borderId="16" xfId="0" applyFont="1" applyBorder="1" applyAlignment="1">
      <alignment horizontal="center"/>
    </xf>
    <xf numFmtId="0" fontId="0" fillId="0" borderId="16" xfId="0" applyBorder="1" applyAlignment="1">
      <alignment horizontal="center"/>
    </xf>
    <xf numFmtId="0" fontId="0" fillId="0" borderId="18" xfId="0" applyBorder="1"/>
    <xf numFmtId="0" fontId="8" fillId="0" borderId="16" xfId="0" applyFont="1" applyBorder="1" applyAlignment="1">
      <alignment horizontal="center"/>
    </xf>
    <xf numFmtId="0" fontId="11" fillId="0" borderId="0" xfId="0" applyFont="1" applyAlignment="1">
      <alignment horizontal="left"/>
    </xf>
    <xf numFmtId="0" fontId="8" fillId="0" borderId="3" xfId="0" applyFont="1" applyBorder="1"/>
    <xf numFmtId="0" fontId="3" fillId="0" borderId="0" xfId="0" applyFont="1"/>
    <xf numFmtId="166" fontId="12" fillId="0" borderId="0" xfId="0" applyNumberFormat="1" applyFont="1" applyAlignment="1">
      <alignment horizontal="left"/>
    </xf>
    <xf numFmtId="0" fontId="12" fillId="0" borderId="3" xfId="0" applyFont="1" applyBorder="1"/>
    <xf numFmtId="0" fontId="18" fillId="0" borderId="8" xfId="0" applyFont="1" applyBorder="1"/>
    <xf numFmtId="0" fontId="31" fillId="0" borderId="0" xfId="0" applyFont="1"/>
    <xf numFmtId="166" fontId="58" fillId="0" borderId="0" xfId="0" applyNumberFormat="1" applyFont="1" applyAlignment="1">
      <alignment horizontal="center"/>
    </xf>
    <xf numFmtId="0" fontId="59" fillId="0" borderId="0" xfId="0" applyFont="1"/>
    <xf numFmtId="1" fontId="58" fillId="0" borderId="0" xfId="0" applyNumberFormat="1" applyFont="1" applyAlignment="1">
      <alignment horizontal="center"/>
    </xf>
    <xf numFmtId="1" fontId="8" fillId="0" borderId="0" xfId="0" applyNumberFormat="1" applyFont="1" applyAlignment="1">
      <alignment horizontal="center"/>
    </xf>
    <xf numFmtId="1" fontId="1" fillId="0" borderId="0" xfId="0" applyNumberFormat="1" applyFont="1" applyAlignment="1">
      <alignment horizontal="center"/>
    </xf>
    <xf numFmtId="1" fontId="60" fillId="0" borderId="0" xfId="0" applyNumberFormat="1" applyFont="1" applyAlignment="1">
      <alignment horizontal="center"/>
    </xf>
    <xf numFmtId="1" fontId="61" fillId="0" borderId="0" xfId="0" applyNumberFormat="1" applyFont="1" applyAlignment="1">
      <alignment horizontal="center"/>
    </xf>
    <xf numFmtId="0" fontId="20" fillId="0" borderId="0" xfId="0" applyFont="1" applyAlignment="1" applyProtection="1">
      <alignment horizontal="center"/>
      <protection locked="0"/>
    </xf>
    <xf numFmtId="0" fontId="0" fillId="0" borderId="8" xfId="0" applyBorder="1"/>
    <xf numFmtId="0" fontId="63" fillId="0" borderId="0" xfId="0" applyFont="1"/>
    <xf numFmtId="166" fontId="63" fillId="0" borderId="0" xfId="0" applyNumberFormat="1" applyFont="1" applyAlignment="1">
      <alignment horizontal="center"/>
    </xf>
    <xf numFmtId="0" fontId="68" fillId="0" borderId="0" xfId="0" applyFont="1"/>
    <xf numFmtId="14" fontId="64" fillId="0" borderId="0" xfId="0" applyNumberFormat="1" applyFont="1" applyAlignment="1">
      <alignment horizontal="center"/>
    </xf>
    <xf numFmtId="0" fontId="64" fillId="0" borderId="0" xfId="0" applyFont="1"/>
    <xf numFmtId="0" fontId="64" fillId="0" borderId="0" xfId="0" applyFont="1" applyAlignment="1">
      <alignment horizontal="right"/>
    </xf>
    <xf numFmtId="0" fontId="64" fillId="0" borderId="0" xfId="0" applyFont="1" applyAlignment="1">
      <alignment horizontal="center"/>
    </xf>
    <xf numFmtId="14" fontId="64" fillId="0" borderId="0" xfId="0" applyNumberFormat="1" applyFont="1"/>
    <xf numFmtId="0" fontId="66" fillId="8" borderId="0" xfId="0" applyFont="1" applyFill="1"/>
    <xf numFmtId="0" fontId="64" fillId="8" borderId="0" xfId="0" applyFont="1" applyFill="1"/>
    <xf numFmtId="0" fontId="67" fillId="0" borderId="0" xfId="0" applyFont="1"/>
    <xf numFmtId="173" fontId="2" fillId="0" borderId="5" xfId="0" applyNumberFormat="1" applyFont="1" applyBorder="1" applyAlignment="1">
      <alignment horizontal="right"/>
    </xf>
    <xf numFmtId="173" fontId="0" fillId="0" borderId="0" xfId="0" applyNumberFormat="1" applyAlignment="1">
      <alignment wrapText="1"/>
    </xf>
    <xf numFmtId="0" fontId="0" fillId="0" borderId="15" xfId="0" applyBorder="1"/>
    <xf numFmtId="0" fontId="69" fillId="0" borderId="0" xfId="0" applyFont="1"/>
    <xf numFmtId="0" fontId="69" fillId="0" borderId="0" xfId="0" applyFont="1" applyAlignment="1">
      <alignment horizontal="center"/>
    </xf>
    <xf numFmtId="0" fontId="25" fillId="0" borderId="0" xfId="0" applyFont="1"/>
    <xf numFmtId="0" fontId="25" fillId="0" borderId="1" xfId="0" applyFont="1" applyBorder="1"/>
    <xf numFmtId="0" fontId="25" fillId="0" borderId="0" xfId="0" applyFont="1" applyAlignment="1">
      <alignment horizontal="center"/>
    </xf>
    <xf numFmtId="2" fontId="25" fillId="0" borderId="0" xfId="0" applyNumberFormat="1" applyFont="1" applyAlignment="1">
      <alignment horizontal="center"/>
    </xf>
    <xf numFmtId="0" fontId="70" fillId="0" borderId="0" xfId="0" applyFont="1"/>
    <xf numFmtId="2" fontId="0" fillId="0" borderId="0" xfId="0" applyNumberFormat="1" applyAlignment="1">
      <alignment horizontal="left"/>
    </xf>
    <xf numFmtId="0" fontId="1" fillId="11" borderId="0" xfId="0" applyFont="1" applyFill="1"/>
    <xf numFmtId="0" fontId="1" fillId="12" borderId="0" xfId="0" applyFont="1" applyFill="1"/>
    <xf numFmtId="168" fontId="0" fillId="0" borderId="16" xfId="0" applyNumberFormat="1" applyBorder="1" applyAlignment="1">
      <alignment horizontal="center"/>
    </xf>
    <xf numFmtId="0" fontId="0" fillId="0" borderId="12" xfId="0" applyBorder="1"/>
    <xf numFmtId="0" fontId="9" fillId="0" borderId="0" xfId="0" applyFont="1" applyAlignment="1">
      <alignment horizontal="center"/>
    </xf>
    <xf numFmtId="0" fontId="8" fillId="0" borderId="18" xfId="0" applyFont="1" applyBorder="1"/>
    <xf numFmtId="0" fontId="11" fillId="0" borderId="16" xfId="0" applyFont="1" applyBorder="1"/>
    <xf numFmtId="0" fontId="70" fillId="0" borderId="0" xfId="0" applyFont="1" applyAlignment="1">
      <alignment horizontal="right"/>
    </xf>
    <xf numFmtId="169" fontId="0" fillId="0" borderId="0" xfId="0" applyNumberFormat="1" applyAlignment="1">
      <alignment horizontal="left"/>
    </xf>
    <xf numFmtId="168" fontId="0" fillId="0" borderId="0" xfId="0" applyNumberFormat="1" applyAlignment="1">
      <alignment horizontal="left"/>
    </xf>
    <xf numFmtId="0" fontId="17" fillId="0" borderId="0" xfId="0" applyFont="1"/>
    <xf numFmtId="167" fontId="0" fillId="0" borderId="0" xfId="0" applyNumberFormat="1" applyAlignment="1">
      <alignment horizontal="center"/>
    </xf>
    <xf numFmtId="0" fontId="11" fillId="0" borderId="17" xfId="0" applyFont="1" applyBorder="1"/>
    <xf numFmtId="0" fontId="11" fillId="0" borderId="3" xfId="0" applyFont="1" applyBorder="1"/>
    <xf numFmtId="165" fontId="17" fillId="0" borderId="0" xfId="0" applyNumberFormat="1" applyFont="1" applyAlignment="1">
      <alignment horizontal="center"/>
    </xf>
    <xf numFmtId="165" fontId="39" fillId="0" borderId="0" xfId="0" applyNumberFormat="1" applyFont="1" applyAlignment="1">
      <alignment horizontal="right"/>
    </xf>
    <xf numFmtId="165" fontId="75" fillId="0" borderId="0" xfId="0" applyNumberFormat="1" applyFont="1" applyAlignment="1">
      <alignment horizontal="right"/>
    </xf>
    <xf numFmtId="166" fontId="11" fillId="0" borderId="0" xfId="0" applyNumberFormat="1" applyFont="1" applyAlignment="1">
      <alignment horizontal="right"/>
    </xf>
    <xf numFmtId="169" fontId="39" fillId="0" borderId="0" xfId="0" applyNumberFormat="1" applyFont="1" applyAlignment="1">
      <alignment horizontal="center"/>
    </xf>
    <xf numFmtId="169" fontId="75" fillId="0" borderId="0" xfId="0" applyNumberFormat="1" applyFont="1" applyAlignment="1">
      <alignment horizontal="center"/>
    </xf>
    <xf numFmtId="169" fontId="11" fillId="0" borderId="0" xfId="0" applyNumberFormat="1" applyFont="1" applyAlignment="1">
      <alignment horizontal="center"/>
    </xf>
    <xf numFmtId="2" fontId="75" fillId="0" borderId="0" xfId="0" applyNumberFormat="1" applyFont="1" applyAlignment="1">
      <alignment horizontal="center"/>
    </xf>
    <xf numFmtId="0" fontId="1" fillId="0" borderId="11" xfId="0" applyFont="1" applyBorder="1"/>
    <xf numFmtId="0" fontId="76" fillId="0" borderId="11" xfId="0" applyFont="1" applyBorder="1"/>
    <xf numFmtId="0" fontId="79" fillId="0" borderId="0" xfId="0" applyFont="1"/>
    <xf numFmtId="11" fontId="0" fillId="0" borderId="0" xfId="0" applyNumberFormat="1"/>
    <xf numFmtId="165" fontId="0" fillId="0" borderId="0" xfId="0" applyNumberFormat="1" applyAlignment="1">
      <alignment horizontal="right"/>
    </xf>
    <xf numFmtId="0" fontId="1" fillId="0" borderId="11" xfId="0" applyFont="1" applyBorder="1" applyAlignment="1">
      <alignment horizontal="left"/>
    </xf>
    <xf numFmtId="165" fontId="2" fillId="0" borderId="11" xfId="0" applyNumberFormat="1" applyFont="1" applyBorder="1" applyAlignment="1">
      <alignment horizontal="right"/>
    </xf>
    <xf numFmtId="169" fontId="0" fillId="0" borderId="1" xfId="0" applyNumberFormat="1" applyBorder="1" applyAlignment="1">
      <alignment horizontal="left"/>
    </xf>
    <xf numFmtId="165" fontId="45" fillId="8" borderId="19" xfId="0" applyNumberFormat="1" applyFont="1" applyFill="1" applyBorder="1"/>
    <xf numFmtId="165" fontId="81" fillId="8" borderId="14" xfId="0" applyNumberFormat="1" applyFont="1" applyFill="1" applyBorder="1"/>
    <xf numFmtId="165" fontId="81" fillId="8" borderId="20" xfId="0" applyNumberFormat="1" applyFont="1" applyFill="1" applyBorder="1"/>
    <xf numFmtId="2" fontId="6" fillId="0" borderId="1" xfId="0" applyNumberFormat="1" applyFont="1" applyBorder="1" applyAlignment="1">
      <alignment horizontal="left"/>
    </xf>
    <xf numFmtId="165" fontId="8" fillId="0" borderId="11" xfId="0" applyNumberFormat="1" applyFont="1" applyBorder="1"/>
    <xf numFmtId="169" fontId="19" fillId="0" borderId="1" xfId="0" applyNumberFormat="1" applyFont="1" applyBorder="1" applyAlignment="1">
      <alignment horizontal="left"/>
    </xf>
    <xf numFmtId="0" fontId="11" fillId="0" borderId="11" xfId="0" applyFont="1" applyBorder="1"/>
    <xf numFmtId="0" fontId="43" fillId="8" borderId="11" xfId="0" applyFont="1" applyFill="1" applyBorder="1"/>
    <xf numFmtId="0" fontId="27" fillId="8" borderId="0" xfId="0" applyFont="1" applyFill="1"/>
    <xf numFmtId="0" fontId="35" fillId="8" borderId="14" xfId="0" applyFont="1" applyFill="1" applyBorder="1"/>
    <xf numFmtId="164" fontId="35" fillId="8" borderId="14" xfId="0" applyNumberFormat="1" applyFont="1" applyFill="1" applyBorder="1"/>
    <xf numFmtId="0" fontId="0" fillId="8" borderId="14" xfId="0" applyFill="1" applyBorder="1"/>
    <xf numFmtId="0" fontId="0" fillId="8" borderId="20" xfId="0" applyFill="1" applyBorder="1"/>
    <xf numFmtId="0" fontId="77" fillId="8" borderId="0" xfId="0" applyFont="1" applyFill="1"/>
    <xf numFmtId="0" fontId="78" fillId="8" borderId="0" xfId="0" applyFont="1" applyFill="1"/>
    <xf numFmtId="0" fontId="77" fillId="8" borderId="1" xfId="0" applyFont="1" applyFill="1" applyBorder="1"/>
    <xf numFmtId="0" fontId="3" fillId="8" borderId="11" xfId="0" applyFont="1" applyFill="1" applyBorder="1"/>
    <xf numFmtId="0" fontId="3" fillId="8" borderId="0" xfId="0" applyFont="1" applyFill="1"/>
    <xf numFmtId="0" fontId="4" fillId="8" borderId="0" xfId="0" applyFont="1" applyFill="1" applyAlignment="1">
      <alignment horizontal="center"/>
    </xf>
    <xf numFmtId="0" fontId="12" fillId="8" borderId="0" xfId="0" applyFont="1" applyFill="1"/>
    <xf numFmtId="0" fontId="8" fillId="8" borderId="0" xfId="0" applyFont="1" applyFill="1" applyAlignment="1">
      <alignment horizontal="left"/>
    </xf>
    <xf numFmtId="1" fontId="0" fillId="8" borderId="0" xfId="0" applyNumberFormat="1" applyFill="1" applyAlignment="1">
      <alignment horizontal="center"/>
    </xf>
    <xf numFmtId="0" fontId="12" fillId="8" borderId="1" xfId="0" applyFont="1" applyFill="1" applyBorder="1"/>
    <xf numFmtId="0" fontId="73" fillId="0" borderId="0" xfId="0" applyFont="1"/>
    <xf numFmtId="0" fontId="29" fillId="0" borderId="0" xfId="0" applyFont="1"/>
    <xf numFmtId="0" fontId="1" fillId="0" borderId="0" xfId="0" applyFont="1" applyProtection="1">
      <protection locked="0"/>
    </xf>
    <xf numFmtId="0" fontId="1" fillId="0" borderId="3" xfId="0" applyFont="1" applyBorder="1" applyProtection="1">
      <protection locked="0"/>
    </xf>
    <xf numFmtId="165" fontId="65" fillId="0" borderId="0" xfId="0" applyNumberFormat="1" applyFont="1" applyAlignment="1">
      <alignment horizontal="left"/>
    </xf>
    <xf numFmtId="0" fontId="15" fillId="0" borderId="0" xfId="0" applyFont="1" applyAlignment="1">
      <alignment horizontal="left"/>
    </xf>
    <xf numFmtId="165" fontId="65" fillId="0" borderId="0" xfId="0" applyNumberFormat="1" applyFont="1" applyAlignment="1">
      <alignment horizontal="right"/>
    </xf>
    <xf numFmtId="165" fontId="65" fillId="0" borderId="0" xfId="0" applyNumberFormat="1" applyFont="1"/>
    <xf numFmtId="0" fontId="14" fillId="0" borderId="0" xfId="0" applyFont="1"/>
    <xf numFmtId="0" fontId="82" fillId="0" borderId="0" xfId="0" applyFont="1"/>
    <xf numFmtId="0" fontId="1" fillId="13" borderId="0" xfId="0" applyFont="1" applyFill="1"/>
    <xf numFmtId="0" fontId="31" fillId="0" borderId="0" xfId="0" applyFont="1" applyProtection="1">
      <protection locked="0"/>
    </xf>
    <xf numFmtId="2" fontId="31" fillId="0" borderId="1" xfId="0" applyNumberFormat="1" applyFont="1" applyBorder="1" applyAlignment="1">
      <alignment horizontal="center"/>
    </xf>
    <xf numFmtId="0" fontId="85" fillId="0" borderId="0" xfId="0" applyFont="1"/>
    <xf numFmtId="166" fontId="84" fillId="0" borderId="0" xfId="0" applyNumberFormat="1" applyFont="1" applyAlignment="1">
      <alignment horizontal="center"/>
    </xf>
    <xf numFmtId="1" fontId="8" fillId="0" borderId="0" xfId="0" applyNumberFormat="1" applyFont="1"/>
    <xf numFmtId="0" fontId="0" fillId="0" borderId="21" xfId="0" applyBorder="1"/>
    <xf numFmtId="2" fontId="0" fillId="0" borderId="10" xfId="0" applyNumberFormat="1" applyBorder="1" applyAlignment="1">
      <alignment horizontal="center"/>
    </xf>
    <xf numFmtId="2" fontId="0" fillId="0" borderId="13" xfId="0" applyNumberFormat="1" applyBorder="1" applyAlignment="1">
      <alignment horizontal="center"/>
    </xf>
    <xf numFmtId="2" fontId="0" fillId="0" borderId="21" xfId="0" applyNumberFormat="1" applyBorder="1" applyAlignment="1">
      <alignment horizontal="center"/>
    </xf>
    <xf numFmtId="0" fontId="0" fillId="0" borderId="22" xfId="0" applyBorder="1"/>
    <xf numFmtId="2" fontId="0" fillId="0" borderId="18" xfId="0" applyNumberFormat="1" applyBorder="1" applyAlignment="1">
      <alignment horizontal="center"/>
    </xf>
    <xf numFmtId="0" fontId="66" fillId="8" borderId="18" xfId="0" applyFont="1" applyFill="1" applyBorder="1" applyAlignment="1">
      <alignment horizontal="center" vertical="center"/>
    </xf>
    <xf numFmtId="0" fontId="66" fillId="8" borderId="10" xfId="0" applyFont="1" applyFill="1" applyBorder="1" applyAlignment="1">
      <alignment horizontal="center" vertical="center"/>
    </xf>
    <xf numFmtId="0" fontId="66" fillId="8" borderId="21" xfId="0" applyFont="1" applyFill="1" applyBorder="1" applyAlignment="1">
      <alignment horizontal="center" vertical="center"/>
    </xf>
    <xf numFmtId="2" fontId="25" fillId="0" borderId="0" xfId="0" applyNumberFormat="1" applyFont="1" applyAlignment="1">
      <alignment horizontal="left"/>
    </xf>
    <xf numFmtId="0" fontId="88" fillId="0" borderId="0" xfId="0" applyFont="1" applyAlignment="1">
      <alignment horizontal="center" vertical="center"/>
    </xf>
    <xf numFmtId="2" fontId="84" fillId="0" borderId="0" xfId="0" applyNumberFormat="1" applyFont="1" applyAlignment="1">
      <alignment horizontal="center"/>
    </xf>
    <xf numFmtId="0" fontId="0" fillId="0" borderId="23" xfId="0" applyBorder="1"/>
    <xf numFmtId="0" fontId="0" fillId="0" borderId="24" xfId="0" applyBorder="1"/>
    <xf numFmtId="0" fontId="0" fillId="0" borderId="25" xfId="0" applyBorder="1"/>
    <xf numFmtId="166" fontId="85" fillId="0" borderId="0" xfId="0" applyNumberFormat="1" applyFont="1" applyAlignment="1">
      <alignment horizontal="center"/>
    </xf>
    <xf numFmtId="0" fontId="76" fillId="0" borderId="0" xfId="0" applyFont="1"/>
    <xf numFmtId="0" fontId="3" fillId="0" borderId="11" xfId="0" applyFont="1" applyBorder="1"/>
    <xf numFmtId="0" fontId="83" fillId="0" borderId="19" xfId="0" applyFont="1" applyBorder="1" applyAlignment="1">
      <alignment horizontal="left"/>
    </xf>
    <xf numFmtId="0" fontId="26" fillId="0" borderId="14" xfId="0" applyFont="1" applyBorder="1" applyAlignment="1">
      <alignment horizontal="left"/>
    </xf>
    <xf numFmtId="0" fontId="28" fillId="0" borderId="11" xfId="0" applyFont="1" applyBorder="1"/>
    <xf numFmtId="0" fontId="28" fillId="0" borderId="0" xfId="0" applyFont="1"/>
    <xf numFmtId="0" fontId="27" fillId="0" borderId="0" xfId="0" applyFont="1"/>
    <xf numFmtId="0" fontId="25" fillId="0" borderId="11" xfId="0" applyFont="1" applyBorder="1"/>
    <xf numFmtId="0" fontId="1" fillId="0" borderId="3" xfId="0" applyFont="1" applyBorder="1"/>
    <xf numFmtId="0" fontId="1" fillId="0" borderId="1" xfId="0" applyFont="1" applyBorder="1"/>
    <xf numFmtId="0" fontId="1" fillId="0" borderId="1" xfId="0" applyFont="1" applyBorder="1" applyProtection="1">
      <protection locked="0"/>
    </xf>
    <xf numFmtId="0" fontId="27" fillId="0" borderId="14" xfId="0" applyFont="1" applyBorder="1"/>
    <xf numFmtId="0" fontId="53" fillId="0" borderId="3" xfId="0" applyFont="1" applyBorder="1" applyAlignment="1">
      <alignment horizontal="right"/>
    </xf>
    <xf numFmtId="0" fontId="18" fillId="0" borderId="20" xfId="0" applyFont="1" applyBorder="1"/>
    <xf numFmtId="0" fontId="31" fillId="0" borderId="15" xfId="0" applyFont="1" applyBorder="1"/>
    <xf numFmtId="0" fontId="31" fillId="0" borderId="2" xfId="0" applyFont="1" applyBorder="1" applyAlignment="1" applyProtection="1">
      <alignment horizontal="right"/>
      <protection locked="0"/>
    </xf>
    <xf numFmtId="0" fontId="31" fillId="0" borderId="3" xfId="0" applyFont="1" applyBorder="1" applyProtection="1">
      <protection locked="0"/>
    </xf>
    <xf numFmtId="2" fontId="31" fillId="0" borderId="0" xfId="0" applyNumberFormat="1" applyFont="1"/>
    <xf numFmtId="2" fontId="31" fillId="0" borderId="0" xfId="0" applyNumberFormat="1" applyFont="1" applyProtection="1">
      <protection locked="0"/>
    </xf>
    <xf numFmtId="0" fontId="38" fillId="0" borderId="8" xfId="0" applyFont="1" applyBorder="1"/>
    <xf numFmtId="0" fontId="7" fillId="0" borderId="0" xfId="0" applyFont="1"/>
    <xf numFmtId="2" fontId="8" fillId="0" borderId="0" xfId="0" applyNumberFormat="1" applyFont="1"/>
    <xf numFmtId="0" fontId="0" fillId="0" borderId="20" xfId="0" applyBorder="1"/>
    <xf numFmtId="0" fontId="31" fillId="0" borderId="2" xfId="0" applyFont="1" applyBorder="1" applyProtection="1">
      <protection locked="0"/>
    </xf>
    <xf numFmtId="0" fontId="31" fillId="0" borderId="20" xfId="0" applyFont="1" applyBorder="1" applyAlignment="1">
      <alignment horizontal="center"/>
    </xf>
    <xf numFmtId="0" fontId="31" fillId="0" borderId="1" xfId="0" applyFont="1" applyBorder="1" applyAlignment="1">
      <alignment horizontal="center"/>
    </xf>
    <xf numFmtId="0" fontId="31" fillId="0" borderId="1" xfId="0" applyFont="1" applyBorder="1" applyAlignment="1" applyProtection="1">
      <alignment horizontal="center"/>
      <protection locked="0"/>
    </xf>
    <xf numFmtId="0" fontId="89" fillId="0" borderId="0" xfId="0" applyFont="1"/>
    <xf numFmtId="166" fontId="90" fillId="0" borderId="0" xfId="0" applyNumberFormat="1" applyFont="1" applyAlignment="1">
      <alignment horizontal="center"/>
    </xf>
    <xf numFmtId="2" fontId="0" fillId="0" borderId="26" xfId="0" applyNumberFormat="1" applyBorder="1" applyAlignment="1">
      <alignment horizontal="center"/>
    </xf>
    <xf numFmtId="0" fontId="3" fillId="0" borderId="0" xfId="0" applyFont="1" applyAlignment="1">
      <alignment horizontal="right"/>
    </xf>
    <xf numFmtId="0" fontId="3" fillId="0" borderId="0" xfId="0" applyFont="1" applyAlignment="1">
      <alignment horizontal="left"/>
    </xf>
    <xf numFmtId="0" fontId="0" fillId="0" borderId="0" xfId="0" applyAlignment="1">
      <alignment horizontal="center" vertical="center"/>
    </xf>
    <xf numFmtId="166" fontId="31" fillId="0" borderId="3" xfId="0" applyNumberFormat="1" applyFont="1" applyBorder="1" applyProtection="1">
      <protection locked="0"/>
    </xf>
    <xf numFmtId="0" fontId="31" fillId="0" borderId="2" xfId="0" applyFont="1" applyBorder="1" applyAlignment="1" applyProtection="1">
      <alignment horizontal="center"/>
      <protection locked="0"/>
    </xf>
    <xf numFmtId="0" fontId="93" fillId="14" borderId="0" xfId="0" applyFont="1" applyFill="1" applyAlignment="1">
      <alignment horizontal="left" vertical="center"/>
    </xf>
    <xf numFmtId="0" fontId="93" fillId="14" borderId="0" xfId="0" applyFont="1" applyFill="1" applyAlignment="1">
      <alignment horizontal="center" vertical="center"/>
    </xf>
    <xf numFmtId="0" fontId="92" fillId="0" borderId="0" xfId="0" applyFont="1" applyAlignment="1">
      <alignment horizontal="center" vertical="center"/>
    </xf>
    <xf numFmtId="0" fontId="92" fillId="0" borderId="0" xfId="0" applyFont="1" applyAlignment="1">
      <alignment horizontal="center" vertical="center" wrapText="1"/>
    </xf>
    <xf numFmtId="0" fontId="92" fillId="0" borderId="0" xfId="0" applyFont="1" applyAlignment="1">
      <alignment horizontal="left" vertical="center"/>
    </xf>
    <xf numFmtId="0" fontId="0" fillId="0" borderId="0" xfId="0" applyAlignment="1">
      <alignment horizontal="left" vertical="center"/>
    </xf>
    <xf numFmtId="14" fontId="0" fillId="0" borderId="0" xfId="0" applyNumberFormat="1" applyAlignment="1">
      <alignment horizontal="center" vertical="top"/>
    </xf>
    <xf numFmtId="0" fontId="0" fillId="0" borderId="0" xfId="0" applyAlignment="1">
      <alignment horizontal="center" vertical="top"/>
    </xf>
    <xf numFmtId="0" fontId="0" fillId="0" borderId="0" xfId="0" applyAlignment="1">
      <alignment horizontal="left" vertical="top"/>
    </xf>
    <xf numFmtId="0" fontId="1" fillId="0" borderId="0" xfId="0" applyFont="1" applyAlignment="1">
      <alignment horizontal="left" vertical="top" wrapText="1"/>
    </xf>
    <xf numFmtId="0" fontId="1" fillId="0" borderId="0" xfId="0" applyFont="1" applyAlignment="1">
      <alignment horizontal="center" vertical="top"/>
    </xf>
    <xf numFmtId="0" fontId="7" fillId="0" borderId="0" xfId="0" applyFont="1" applyAlignment="1">
      <alignment horizontal="left"/>
    </xf>
    <xf numFmtId="1" fontId="0" fillId="0" borderId="0" xfId="0" applyNumberFormat="1"/>
    <xf numFmtId="165" fontId="1" fillId="0" borderId="0" xfId="0" applyNumberFormat="1" applyFont="1"/>
    <xf numFmtId="165" fontId="0" fillId="0" borderId="0" xfId="0" applyNumberFormat="1" applyAlignment="1">
      <alignment horizontal="center"/>
    </xf>
    <xf numFmtId="166" fontId="12" fillId="0" borderId="27" xfId="0" applyNumberFormat="1" applyFont="1" applyBorder="1" applyAlignment="1">
      <alignment horizontal="left"/>
    </xf>
    <xf numFmtId="166" fontId="8" fillId="0" borderId="27" xfId="0" applyNumberFormat="1" applyFont="1" applyBorder="1" applyAlignment="1">
      <alignment horizontal="left"/>
    </xf>
    <xf numFmtId="166" fontId="8" fillId="0" borderId="27" xfId="0" applyNumberFormat="1" applyFont="1" applyBorder="1" applyAlignment="1">
      <alignment horizontal="center"/>
    </xf>
    <xf numFmtId="166" fontId="47" fillId="0" borderId="27" xfId="0" applyNumberFormat="1" applyFont="1" applyBorder="1" applyAlignment="1">
      <alignment horizontal="center"/>
    </xf>
    <xf numFmtId="0" fontId="0" fillId="0" borderId="27" xfId="0" applyBorder="1"/>
    <xf numFmtId="0" fontId="0" fillId="0" borderId="28" xfId="0" applyBorder="1"/>
    <xf numFmtId="166" fontId="15" fillId="0" borderId="11" xfId="0" applyNumberFormat="1" applyFont="1" applyBorder="1" applyAlignment="1">
      <alignment horizontal="left"/>
    </xf>
    <xf numFmtId="166" fontId="1" fillId="0" borderId="0" xfId="0" applyNumberFormat="1" applyFont="1" applyAlignment="1">
      <alignment horizontal="left"/>
    </xf>
    <xf numFmtId="11" fontId="8" fillId="0" borderId="0" xfId="0" applyNumberFormat="1" applyFont="1" applyAlignment="1">
      <alignment horizontal="center"/>
    </xf>
    <xf numFmtId="1" fontId="94" fillId="0" borderId="0" xfId="0" applyNumberFormat="1" applyFont="1" applyAlignment="1">
      <alignment horizontal="center"/>
    </xf>
    <xf numFmtId="166" fontId="94" fillId="0" borderId="0" xfId="0" applyNumberFormat="1" applyFont="1" applyAlignment="1">
      <alignment horizontal="center"/>
    </xf>
    <xf numFmtId="166" fontId="1" fillId="0" borderId="0" xfId="0" applyNumberFormat="1" applyFont="1" applyAlignment="1">
      <alignment horizontal="right"/>
    </xf>
    <xf numFmtId="0" fontId="0" fillId="0" borderId="0" xfId="0" applyAlignment="1">
      <alignment horizontal="center"/>
    </xf>
    <xf numFmtId="0" fontId="0" fillId="0" borderId="13" xfId="0" applyBorder="1" applyAlignment="1">
      <alignment horizontal="center"/>
    </xf>
    <xf numFmtId="0" fontId="7" fillId="0" borderId="0" xfId="0" applyFont="1" applyAlignment="1">
      <alignment horizontal="left"/>
    </xf>
    <xf numFmtId="0" fontId="0" fillId="0" borderId="13" xfId="0" applyBorder="1" applyAlignment="1">
      <alignment horizontal="center" vertical="center"/>
    </xf>
    <xf numFmtId="0" fontId="0" fillId="0" borderId="21" xfId="0" applyBorder="1" applyAlignment="1">
      <alignment horizontal="center" vertical="center"/>
    </xf>
    <xf numFmtId="0" fontId="0" fillId="0" borderId="26" xfId="0" applyBorder="1" applyAlignment="1">
      <alignment horizontal="center" vertical="center"/>
    </xf>
    <xf numFmtId="0" fontId="0" fillId="0" borderId="0" xfId="0" applyAlignment="1">
      <alignment horizontal="center" textRotation="90" wrapText="1"/>
    </xf>
    <xf numFmtId="2" fontId="0" fillId="0" borderId="0" xfId="0" applyNumberFormat="1" applyAlignment="1">
      <alignment horizontal="center"/>
    </xf>
    <xf numFmtId="0" fontId="0" fillId="0" borderId="16" xfId="0" applyBorder="1" applyAlignment="1">
      <alignment horizontal="center"/>
    </xf>
    <xf numFmtId="0" fontId="0" fillId="0" borderId="0" xfId="0" applyAlignment="1">
      <alignment horizontal="center" vertical="center"/>
    </xf>
    <xf numFmtId="0" fontId="0" fillId="0" borderId="13" xfId="0" applyBorder="1" applyAlignment="1">
      <alignment horizontal="center" vertical="center" textRotation="90"/>
    </xf>
    <xf numFmtId="0" fontId="0" fillId="0" borderId="21" xfId="0" applyBorder="1" applyAlignment="1">
      <alignment horizontal="center" vertical="center" textRotation="90"/>
    </xf>
    <xf numFmtId="0" fontId="0" fillId="0" borderId="26" xfId="0" applyBorder="1" applyAlignment="1">
      <alignment horizontal="center" vertical="center" textRotation="90"/>
    </xf>
    <xf numFmtId="0" fontId="74" fillId="0" borderId="11" xfId="0" applyFont="1" applyBorder="1"/>
  </cellXfs>
  <cellStyles count="1">
    <cellStyle name="Normal" xfId="0" builtinId="0"/>
  </cellStyles>
  <dxfs count="4">
    <dxf>
      <font>
        <b val="0"/>
        <i val="0"/>
        <strike val="0"/>
        <u val="none"/>
        <color theme="1"/>
      </font>
    </dxf>
    <dxf>
      <font>
        <b val="0"/>
        <i val="0"/>
        <strike val="0"/>
        <u val="none"/>
        <color auto="1"/>
      </font>
    </dxf>
    <dxf>
      <font>
        <b/>
        <i val="0"/>
        <condense val="0"/>
        <extend val="0"/>
        <color indexed="10"/>
      </font>
    </dxf>
    <dxf>
      <font>
        <b/>
        <i val="0"/>
        <condense val="0"/>
        <extend val="0"/>
        <color indexed="10"/>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Drop" dropStyle="combo" dx="16" fmlaLink="$AB$2" fmlaRange="$AB$3:$AB$9" sel="1" val="0"/>
</file>

<file path=xl/ctrlProps/ctrlProp2.xml><?xml version="1.0" encoding="utf-8"?>
<formControlPr xmlns="http://schemas.microsoft.com/office/spreadsheetml/2009/9/main" objectType="Drop" dropLines="20" dropStyle="combo" dx="16" fmlaLink="$AB$10" fmlaRange="'Calcul classe'!$N$5:$N$372" sel="1" val="0"/>
</file>

<file path=xl/ctrlProps/ctrlProp3.xml><?xml version="1.0" encoding="utf-8"?>
<formControlPr xmlns="http://schemas.microsoft.com/office/spreadsheetml/2009/9/main" objectType="Drop" dropLines="7" dropStyle="combo" dx="16" fmlaLink="$AG$1" fmlaRange="$AG$4:$AG$9" sel="1" val="0"/>
</file>

<file path=xl/drawings/_rels/drawing1.xml.rels><?xml version="1.0" encoding="UTF-8" standalone="yes"?>
<Relationships xmlns="http://schemas.openxmlformats.org/package/2006/relationships"><Relationship Id="rId3" Type="http://schemas.openxmlformats.org/officeDocument/2006/relationships/image" Target="../media/image29.png"/><Relationship Id="rId2" Type="http://schemas.openxmlformats.org/officeDocument/2006/relationships/image" Target="../media/image28.png"/><Relationship Id="rId1" Type="http://schemas.openxmlformats.org/officeDocument/2006/relationships/image" Target="../media/image27.wmf"/><Relationship Id="rId4" Type="http://schemas.openxmlformats.org/officeDocument/2006/relationships/image" Target="../media/image30.png"/></Relationships>
</file>

<file path=xl/drawings/_rels/drawing2.xml.rels><?xml version="1.0" encoding="UTF-8" standalone="yes"?>
<Relationships xmlns="http://schemas.openxmlformats.org/package/2006/relationships"><Relationship Id="rId3" Type="http://schemas.openxmlformats.org/officeDocument/2006/relationships/image" Target="../media/image33.png"/><Relationship Id="rId2" Type="http://schemas.openxmlformats.org/officeDocument/2006/relationships/image" Target="../media/image32.png"/><Relationship Id="rId1" Type="http://schemas.openxmlformats.org/officeDocument/2006/relationships/image" Target="../media/image31.png"/><Relationship Id="rId6" Type="http://schemas.openxmlformats.org/officeDocument/2006/relationships/image" Target="../media/image36.png"/><Relationship Id="rId5" Type="http://schemas.openxmlformats.org/officeDocument/2006/relationships/image" Target="../media/image35.png"/><Relationship Id="rId4" Type="http://schemas.openxmlformats.org/officeDocument/2006/relationships/image" Target="../media/image34.png"/></Relationships>
</file>

<file path=xl/drawings/_rels/drawing3.xml.rels><?xml version="1.0" encoding="UTF-8" standalone="yes"?>
<Relationships xmlns="http://schemas.openxmlformats.org/package/2006/relationships"><Relationship Id="rId3" Type="http://schemas.openxmlformats.org/officeDocument/2006/relationships/image" Target="../media/image39.wmf"/><Relationship Id="rId2" Type="http://schemas.openxmlformats.org/officeDocument/2006/relationships/image" Target="../media/image38.png"/><Relationship Id="rId1" Type="http://schemas.openxmlformats.org/officeDocument/2006/relationships/image" Target="../media/image37.wmf"/><Relationship Id="rId5" Type="http://schemas.openxmlformats.org/officeDocument/2006/relationships/image" Target="../media/image41.png"/><Relationship Id="rId4" Type="http://schemas.openxmlformats.org/officeDocument/2006/relationships/image" Target="../media/image40.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8.wmf"/><Relationship Id="rId13" Type="http://schemas.openxmlformats.org/officeDocument/2006/relationships/image" Target="../media/image13.wmf"/><Relationship Id="rId18" Type="http://schemas.openxmlformats.org/officeDocument/2006/relationships/image" Target="../media/image18.wmf"/><Relationship Id="rId26" Type="http://schemas.openxmlformats.org/officeDocument/2006/relationships/image" Target="../media/image26.wmf"/><Relationship Id="rId3" Type="http://schemas.openxmlformats.org/officeDocument/2006/relationships/image" Target="../media/image3.wmf"/><Relationship Id="rId21" Type="http://schemas.openxmlformats.org/officeDocument/2006/relationships/image" Target="../media/image21.wmf"/><Relationship Id="rId7" Type="http://schemas.openxmlformats.org/officeDocument/2006/relationships/image" Target="../media/image7.wmf"/><Relationship Id="rId12" Type="http://schemas.openxmlformats.org/officeDocument/2006/relationships/image" Target="../media/image12.wmf"/><Relationship Id="rId17" Type="http://schemas.openxmlformats.org/officeDocument/2006/relationships/image" Target="../media/image17.wmf"/><Relationship Id="rId25" Type="http://schemas.openxmlformats.org/officeDocument/2006/relationships/image" Target="../media/image25.emf"/><Relationship Id="rId2" Type="http://schemas.openxmlformats.org/officeDocument/2006/relationships/image" Target="../media/image2.wmf"/><Relationship Id="rId16" Type="http://schemas.openxmlformats.org/officeDocument/2006/relationships/image" Target="../media/image16.wmf"/><Relationship Id="rId20" Type="http://schemas.openxmlformats.org/officeDocument/2006/relationships/image" Target="../media/image20.wmf"/><Relationship Id="rId1" Type="http://schemas.openxmlformats.org/officeDocument/2006/relationships/image" Target="../media/image1.wmf"/><Relationship Id="rId6" Type="http://schemas.openxmlformats.org/officeDocument/2006/relationships/image" Target="../media/image6.wmf"/><Relationship Id="rId11" Type="http://schemas.openxmlformats.org/officeDocument/2006/relationships/image" Target="../media/image11.wmf"/><Relationship Id="rId24" Type="http://schemas.openxmlformats.org/officeDocument/2006/relationships/image" Target="../media/image24.wmf"/><Relationship Id="rId5" Type="http://schemas.openxmlformats.org/officeDocument/2006/relationships/image" Target="../media/image5.wmf"/><Relationship Id="rId15" Type="http://schemas.openxmlformats.org/officeDocument/2006/relationships/image" Target="../media/image15.wmf"/><Relationship Id="rId23" Type="http://schemas.openxmlformats.org/officeDocument/2006/relationships/image" Target="../media/image23.wmf"/><Relationship Id="rId10" Type="http://schemas.openxmlformats.org/officeDocument/2006/relationships/image" Target="../media/image10.wmf"/><Relationship Id="rId19" Type="http://schemas.openxmlformats.org/officeDocument/2006/relationships/image" Target="../media/image19.wmf"/><Relationship Id="rId4" Type="http://schemas.openxmlformats.org/officeDocument/2006/relationships/image" Target="../media/image4.wmf"/><Relationship Id="rId9" Type="http://schemas.openxmlformats.org/officeDocument/2006/relationships/image" Target="../media/image9.wmf"/><Relationship Id="rId14" Type="http://schemas.openxmlformats.org/officeDocument/2006/relationships/image" Target="../media/image14.wmf"/><Relationship Id="rId22" Type="http://schemas.openxmlformats.org/officeDocument/2006/relationships/image" Target="../media/image22.wmf"/></Relationships>
</file>

<file path=xl/drawings/drawing1.xml><?xml version="1.0" encoding="utf-8"?>
<xdr:wsDr xmlns:xdr="http://schemas.openxmlformats.org/drawingml/2006/spreadsheetDrawing" xmlns:a="http://schemas.openxmlformats.org/drawingml/2006/main">
  <xdr:twoCellAnchor>
    <xdr:from>
      <xdr:col>3</xdr:col>
      <xdr:colOff>0</xdr:colOff>
      <xdr:row>65</xdr:row>
      <xdr:rowOff>38100</xdr:rowOff>
    </xdr:from>
    <xdr:to>
      <xdr:col>4</xdr:col>
      <xdr:colOff>238125</xdr:colOff>
      <xdr:row>67</xdr:row>
      <xdr:rowOff>104775</xdr:rowOff>
    </xdr:to>
    <xdr:pic>
      <xdr:nvPicPr>
        <xdr:cNvPr id="1539" name="Picture 297">
          <a:extLst>
            <a:ext uri="{FF2B5EF4-FFF2-40B4-BE49-F238E27FC236}">
              <a16:creationId xmlns:a16="http://schemas.microsoft.com/office/drawing/2014/main" id="{00000000-0008-0000-0100-00000306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876300" y="10906125"/>
          <a:ext cx="733425" cy="390525"/>
        </a:xfrm>
        <a:prstGeom prst="rect">
          <a:avLst/>
        </a:prstGeom>
        <a:noFill/>
        <a:ln w="9525">
          <a:noFill/>
          <a:miter lim="800000"/>
          <a:headEnd/>
          <a:tailEnd/>
        </a:ln>
      </xdr:spPr>
    </xdr:pic>
    <xdr:clientData/>
  </xdr:twoCellAnchor>
  <xdr:twoCellAnchor editAs="oneCell">
    <xdr:from>
      <xdr:col>35</xdr:col>
      <xdr:colOff>161925</xdr:colOff>
      <xdr:row>76</xdr:row>
      <xdr:rowOff>28575</xdr:rowOff>
    </xdr:from>
    <xdr:to>
      <xdr:col>37</xdr:col>
      <xdr:colOff>705485</xdr:colOff>
      <xdr:row>78</xdr:row>
      <xdr:rowOff>133985</xdr:rowOff>
    </xdr:to>
    <xdr:pic>
      <xdr:nvPicPr>
        <xdr:cNvPr id="1540" name="Picture 357">
          <a:extLst>
            <a:ext uri="{FF2B5EF4-FFF2-40B4-BE49-F238E27FC236}">
              <a16:creationId xmlns:a16="http://schemas.microsoft.com/office/drawing/2014/main" id="{00000000-0008-0000-0100-00000406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11001375" y="12677775"/>
          <a:ext cx="1609725" cy="419100"/>
        </a:xfrm>
        <a:prstGeom prst="rect">
          <a:avLst/>
        </a:prstGeom>
        <a:noFill/>
        <a:ln w="1">
          <a:noFill/>
          <a:miter lim="800000"/>
          <a:headEnd/>
          <a:tailEnd/>
        </a:ln>
      </xdr:spPr>
    </xdr:pic>
    <xdr:clientData/>
  </xdr:twoCellAnchor>
  <xdr:twoCellAnchor editAs="oneCell">
    <xdr:from>
      <xdr:col>35</xdr:col>
      <xdr:colOff>95250</xdr:colOff>
      <xdr:row>78</xdr:row>
      <xdr:rowOff>95250</xdr:rowOff>
    </xdr:from>
    <xdr:to>
      <xdr:col>37</xdr:col>
      <xdr:colOff>669290</xdr:colOff>
      <xdr:row>81</xdr:row>
      <xdr:rowOff>15240</xdr:rowOff>
    </xdr:to>
    <xdr:pic>
      <xdr:nvPicPr>
        <xdr:cNvPr id="1541" name="Picture 358">
          <a:extLst>
            <a:ext uri="{FF2B5EF4-FFF2-40B4-BE49-F238E27FC236}">
              <a16:creationId xmlns:a16="http://schemas.microsoft.com/office/drawing/2014/main" id="{00000000-0008-0000-0100-00000506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1001375" y="13068300"/>
          <a:ext cx="1657350" cy="457200"/>
        </a:xfrm>
        <a:prstGeom prst="rect">
          <a:avLst/>
        </a:prstGeom>
        <a:noFill/>
        <a:ln w="1">
          <a:noFill/>
          <a:miter lim="800000"/>
          <a:headEnd/>
          <a:tailEnd/>
        </a:ln>
      </xdr:spPr>
    </xdr:pic>
    <xdr:clientData/>
  </xdr:twoCellAnchor>
  <xdr:twoCellAnchor editAs="oneCell">
    <xdr:from>
      <xdr:col>39</xdr:col>
      <xdr:colOff>247650</xdr:colOff>
      <xdr:row>76</xdr:row>
      <xdr:rowOff>9525</xdr:rowOff>
    </xdr:from>
    <xdr:to>
      <xdr:col>41</xdr:col>
      <xdr:colOff>402590</xdr:colOff>
      <xdr:row>81</xdr:row>
      <xdr:rowOff>19685</xdr:rowOff>
    </xdr:to>
    <xdr:pic>
      <xdr:nvPicPr>
        <xdr:cNvPr id="1542" name="Picture 359">
          <a:extLst>
            <a:ext uri="{FF2B5EF4-FFF2-40B4-BE49-F238E27FC236}">
              <a16:creationId xmlns:a16="http://schemas.microsoft.com/office/drawing/2014/main" id="{00000000-0008-0000-0100-000006060000}"/>
            </a:ext>
          </a:extLst>
        </xdr:cNvPr>
        <xdr:cNvPicPr>
          <a:picLocks noChangeAspect="1" noChangeArrowheads="1"/>
        </xdr:cNvPicPr>
      </xdr:nvPicPr>
      <xdr:blipFill>
        <a:blip xmlns:r="http://schemas.openxmlformats.org/officeDocument/2006/relationships" r:embed="rId4" cstate="print"/>
        <a:srcRect/>
        <a:stretch>
          <a:fillRect/>
        </a:stretch>
      </xdr:blipFill>
      <xdr:spPr bwMode="auto">
        <a:xfrm>
          <a:off x="11249025" y="12658725"/>
          <a:ext cx="1504950" cy="857250"/>
        </a:xfrm>
        <a:prstGeom prst="rect">
          <a:avLst/>
        </a:prstGeom>
        <a:noFill/>
        <a:ln w="1">
          <a:noFill/>
          <a:miter lim="800000"/>
          <a:headEnd/>
          <a:tailEnd/>
        </a:ln>
      </xdr:spPr>
    </xdr:pic>
    <xdr:clientData/>
  </xdr:twoCellAnchor>
  <mc:AlternateContent xmlns:mc="http://schemas.openxmlformats.org/markup-compatibility/2006">
    <mc:Choice xmlns:a14="http://schemas.microsoft.com/office/drawing/2010/main" Requires="a14">
      <xdr:twoCellAnchor>
        <xdr:from>
          <xdr:col>13</xdr:col>
          <xdr:colOff>31750</xdr:colOff>
          <xdr:row>94</xdr:row>
          <xdr:rowOff>69850</xdr:rowOff>
        </xdr:from>
        <xdr:to>
          <xdr:col>19</xdr:col>
          <xdr:colOff>190500</xdr:colOff>
          <xdr:row>97</xdr:row>
          <xdr:rowOff>114300</xdr:rowOff>
        </xdr:to>
        <xdr:sp macro="" textlink="">
          <xdr:nvSpPr>
            <xdr:cNvPr id="1036" name="Object 12" hidden="1">
              <a:extLst>
                <a:ext uri="{63B3BB69-23CF-44E3-9099-C40C66FF867C}">
                  <a14:compatExt spid="_x0000_s1036"/>
                </a:ext>
                <a:ext uri="{FF2B5EF4-FFF2-40B4-BE49-F238E27FC236}">
                  <a16:creationId xmlns:a16="http://schemas.microsoft.com/office/drawing/2014/main" id="{00000000-0008-0000-0100-00000C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31750</xdr:colOff>
          <xdr:row>97</xdr:row>
          <xdr:rowOff>152400</xdr:rowOff>
        </xdr:from>
        <xdr:to>
          <xdr:col>19</xdr:col>
          <xdr:colOff>215900</xdr:colOff>
          <xdr:row>101</xdr:row>
          <xdr:rowOff>63500</xdr:rowOff>
        </xdr:to>
        <xdr:sp macro="" textlink="">
          <xdr:nvSpPr>
            <xdr:cNvPr id="1037" name="Object 13" hidden="1">
              <a:extLst>
                <a:ext uri="{63B3BB69-23CF-44E3-9099-C40C66FF867C}">
                  <a14:compatExt spid="_x0000_s1037"/>
                </a:ext>
                <a:ext uri="{FF2B5EF4-FFF2-40B4-BE49-F238E27FC236}">
                  <a16:creationId xmlns:a16="http://schemas.microsoft.com/office/drawing/2014/main" id="{00000000-0008-0000-0100-00000D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25400</xdr:colOff>
          <xdr:row>5</xdr:row>
          <xdr:rowOff>31750</xdr:rowOff>
        </xdr:from>
        <xdr:to>
          <xdr:col>6</xdr:col>
          <xdr:colOff>571500</xdr:colOff>
          <xdr:row>6</xdr:row>
          <xdr:rowOff>76200</xdr:rowOff>
        </xdr:to>
        <xdr:sp macro="" textlink="">
          <xdr:nvSpPr>
            <xdr:cNvPr id="1038" name="Drop Down 14" hidden="1">
              <a:extLst>
                <a:ext uri="{63B3BB69-23CF-44E3-9099-C40C66FF867C}">
                  <a14:compatExt spid="_x0000_s1038"/>
                </a:ext>
                <a:ext uri="{FF2B5EF4-FFF2-40B4-BE49-F238E27FC236}">
                  <a16:creationId xmlns:a16="http://schemas.microsoft.com/office/drawing/2014/main" id="{00000000-0008-0000-0100-00000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69850</xdr:colOff>
          <xdr:row>5</xdr:row>
          <xdr:rowOff>31750</xdr:rowOff>
        </xdr:from>
        <xdr:to>
          <xdr:col>9</xdr:col>
          <xdr:colOff>406400</xdr:colOff>
          <xdr:row>6</xdr:row>
          <xdr:rowOff>101600</xdr:rowOff>
        </xdr:to>
        <xdr:sp macro="" textlink="">
          <xdr:nvSpPr>
            <xdr:cNvPr id="1039" name="Drop Down 15" hidden="1">
              <a:extLst>
                <a:ext uri="{63B3BB69-23CF-44E3-9099-C40C66FF867C}">
                  <a14:compatExt spid="_x0000_s1039"/>
                </a:ext>
                <a:ext uri="{FF2B5EF4-FFF2-40B4-BE49-F238E27FC236}">
                  <a16:creationId xmlns:a16="http://schemas.microsoft.com/office/drawing/2014/main" id="{00000000-0008-0000-0100-00000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139700</xdr:colOff>
          <xdr:row>6</xdr:row>
          <xdr:rowOff>139700</xdr:rowOff>
        </xdr:from>
        <xdr:to>
          <xdr:col>9</xdr:col>
          <xdr:colOff>381000</xdr:colOff>
          <xdr:row>8</xdr:row>
          <xdr:rowOff>0</xdr:rowOff>
        </xdr:to>
        <xdr:sp macro="" textlink="">
          <xdr:nvSpPr>
            <xdr:cNvPr id="1041" name="Drop Down 17" hidden="1">
              <a:extLst>
                <a:ext uri="{63B3BB69-23CF-44E3-9099-C40C66FF867C}">
                  <a14:compatExt spid="_x0000_s1041"/>
                </a:ext>
                <a:ext uri="{FF2B5EF4-FFF2-40B4-BE49-F238E27FC236}">
                  <a16:creationId xmlns:a16="http://schemas.microsoft.com/office/drawing/2014/main" id="{00000000-0008-0000-01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97</xdr:row>
          <xdr:rowOff>31750</xdr:rowOff>
        </xdr:from>
        <xdr:to>
          <xdr:col>6</xdr:col>
          <xdr:colOff>0</xdr:colOff>
          <xdr:row>99</xdr:row>
          <xdr:rowOff>139700</xdr:rowOff>
        </xdr:to>
        <xdr:sp macro="" textlink="">
          <xdr:nvSpPr>
            <xdr:cNvPr id="1048" name="Object 24" hidden="1">
              <a:extLst>
                <a:ext uri="{63B3BB69-23CF-44E3-9099-C40C66FF867C}">
                  <a14:compatExt spid="_x0000_s1048"/>
                </a:ext>
                <a:ext uri="{FF2B5EF4-FFF2-40B4-BE49-F238E27FC236}">
                  <a16:creationId xmlns:a16="http://schemas.microsoft.com/office/drawing/2014/main" id="{00000000-0008-0000-0100-000018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25400</xdr:colOff>
          <xdr:row>86</xdr:row>
          <xdr:rowOff>63500</xdr:rowOff>
        </xdr:from>
        <xdr:to>
          <xdr:col>4</xdr:col>
          <xdr:colOff>266700</xdr:colOff>
          <xdr:row>88</xdr:row>
          <xdr:rowOff>114300</xdr:rowOff>
        </xdr:to>
        <xdr:sp macro="" textlink="">
          <xdr:nvSpPr>
            <xdr:cNvPr id="1049" name="Object 25" hidden="1">
              <a:extLst>
                <a:ext uri="{63B3BB69-23CF-44E3-9099-C40C66FF867C}">
                  <a14:compatExt spid="_x0000_s1049"/>
                </a:ext>
                <a:ext uri="{FF2B5EF4-FFF2-40B4-BE49-F238E27FC236}">
                  <a16:creationId xmlns:a16="http://schemas.microsoft.com/office/drawing/2014/main" id="{00000000-0008-0000-0100-000019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25400</xdr:colOff>
          <xdr:row>90</xdr:row>
          <xdr:rowOff>76200</xdr:rowOff>
        </xdr:from>
        <xdr:to>
          <xdr:col>4</xdr:col>
          <xdr:colOff>304800</xdr:colOff>
          <xdr:row>92</xdr:row>
          <xdr:rowOff>146050</xdr:rowOff>
        </xdr:to>
        <xdr:sp macro="" textlink="">
          <xdr:nvSpPr>
            <xdr:cNvPr id="1050" name="Object 26" hidden="1">
              <a:extLst>
                <a:ext uri="{63B3BB69-23CF-44E3-9099-C40C66FF867C}">
                  <a14:compatExt spid="_x0000_s1050"/>
                </a:ext>
                <a:ext uri="{FF2B5EF4-FFF2-40B4-BE49-F238E27FC236}">
                  <a16:creationId xmlns:a16="http://schemas.microsoft.com/office/drawing/2014/main" id="{00000000-0008-0000-0100-00001A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0</xdr:colOff>
          <xdr:row>84</xdr:row>
          <xdr:rowOff>63500</xdr:rowOff>
        </xdr:from>
        <xdr:to>
          <xdr:col>14</xdr:col>
          <xdr:colOff>292100</xdr:colOff>
          <xdr:row>86</xdr:row>
          <xdr:rowOff>114300</xdr:rowOff>
        </xdr:to>
        <xdr:sp macro="" textlink="">
          <xdr:nvSpPr>
            <xdr:cNvPr id="1054" name="Object 30" hidden="1">
              <a:extLst>
                <a:ext uri="{63B3BB69-23CF-44E3-9099-C40C66FF867C}">
                  <a14:compatExt spid="_x0000_s1054"/>
                </a:ext>
                <a:ext uri="{FF2B5EF4-FFF2-40B4-BE49-F238E27FC236}">
                  <a16:creationId xmlns:a16="http://schemas.microsoft.com/office/drawing/2014/main" id="{00000000-0008-0000-0100-00001E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25400</xdr:colOff>
          <xdr:row>65</xdr:row>
          <xdr:rowOff>69850</xdr:rowOff>
        </xdr:from>
        <xdr:to>
          <xdr:col>14</xdr:col>
          <xdr:colOff>266700</xdr:colOff>
          <xdr:row>67</xdr:row>
          <xdr:rowOff>139700</xdr:rowOff>
        </xdr:to>
        <xdr:sp macro="" textlink="">
          <xdr:nvSpPr>
            <xdr:cNvPr id="1055" name="Object 31" hidden="1">
              <a:extLst>
                <a:ext uri="{63B3BB69-23CF-44E3-9099-C40C66FF867C}">
                  <a14:compatExt spid="_x0000_s1055"/>
                </a:ext>
                <a:ext uri="{FF2B5EF4-FFF2-40B4-BE49-F238E27FC236}">
                  <a16:creationId xmlns:a16="http://schemas.microsoft.com/office/drawing/2014/main" id="{00000000-0008-0000-0100-00001F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25400</xdr:colOff>
          <xdr:row>42</xdr:row>
          <xdr:rowOff>69850</xdr:rowOff>
        </xdr:from>
        <xdr:to>
          <xdr:col>4</xdr:col>
          <xdr:colOff>184150</xdr:colOff>
          <xdr:row>44</xdr:row>
          <xdr:rowOff>139700</xdr:rowOff>
        </xdr:to>
        <xdr:sp macro="" textlink="">
          <xdr:nvSpPr>
            <xdr:cNvPr id="1057" name="Object 33" hidden="1">
              <a:extLst>
                <a:ext uri="{63B3BB69-23CF-44E3-9099-C40C66FF867C}">
                  <a14:compatExt spid="_x0000_s1057"/>
                </a:ext>
                <a:ext uri="{FF2B5EF4-FFF2-40B4-BE49-F238E27FC236}">
                  <a16:creationId xmlns:a16="http://schemas.microsoft.com/office/drawing/2014/main" id="{00000000-0008-0000-0100-000021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25400</xdr:colOff>
          <xdr:row>52</xdr:row>
          <xdr:rowOff>69850</xdr:rowOff>
        </xdr:from>
        <xdr:to>
          <xdr:col>4</xdr:col>
          <xdr:colOff>152400</xdr:colOff>
          <xdr:row>54</xdr:row>
          <xdr:rowOff>139700</xdr:rowOff>
        </xdr:to>
        <xdr:sp macro="" textlink="">
          <xdr:nvSpPr>
            <xdr:cNvPr id="1208" name="Object 184" hidden="1">
              <a:extLst>
                <a:ext uri="{63B3BB69-23CF-44E3-9099-C40C66FF867C}">
                  <a14:compatExt spid="_x0000_s1208"/>
                </a:ext>
                <a:ext uri="{FF2B5EF4-FFF2-40B4-BE49-F238E27FC236}">
                  <a16:creationId xmlns:a16="http://schemas.microsoft.com/office/drawing/2014/main" id="{00000000-0008-0000-0100-0000B8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54</xdr:row>
          <xdr:rowOff>101600</xdr:rowOff>
        </xdr:from>
        <xdr:to>
          <xdr:col>4</xdr:col>
          <xdr:colOff>177800</xdr:colOff>
          <xdr:row>56</xdr:row>
          <xdr:rowOff>152400</xdr:rowOff>
        </xdr:to>
        <xdr:sp macro="" textlink="">
          <xdr:nvSpPr>
            <xdr:cNvPr id="1209" name="Object 185" hidden="1">
              <a:extLst>
                <a:ext uri="{63B3BB69-23CF-44E3-9099-C40C66FF867C}">
                  <a14:compatExt spid="_x0000_s1209"/>
                </a:ext>
                <a:ext uri="{FF2B5EF4-FFF2-40B4-BE49-F238E27FC236}">
                  <a16:creationId xmlns:a16="http://schemas.microsoft.com/office/drawing/2014/main" id="{00000000-0008-0000-0100-0000B9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37</xdr:col>
          <xdr:colOff>0</xdr:colOff>
          <xdr:row>86</xdr:row>
          <xdr:rowOff>0</xdr:rowOff>
        </xdr:from>
        <xdr:to>
          <xdr:col>38</xdr:col>
          <xdr:colOff>0</xdr:colOff>
          <xdr:row>87</xdr:row>
          <xdr:rowOff>38100</xdr:rowOff>
        </xdr:to>
        <xdr:sp macro="" textlink="">
          <xdr:nvSpPr>
            <xdr:cNvPr id="1212" name="Object 188" hidden="1">
              <a:extLst>
                <a:ext uri="{63B3BB69-23CF-44E3-9099-C40C66FF867C}">
                  <a14:compatExt spid="_x0000_s1212"/>
                </a:ext>
                <a:ext uri="{FF2B5EF4-FFF2-40B4-BE49-F238E27FC236}">
                  <a16:creationId xmlns:a16="http://schemas.microsoft.com/office/drawing/2014/main" id="{00000000-0008-0000-0100-0000BC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42</xdr:col>
          <xdr:colOff>0</xdr:colOff>
          <xdr:row>85</xdr:row>
          <xdr:rowOff>146050</xdr:rowOff>
        </xdr:from>
        <xdr:to>
          <xdr:col>43</xdr:col>
          <xdr:colOff>0</xdr:colOff>
          <xdr:row>87</xdr:row>
          <xdr:rowOff>31750</xdr:rowOff>
        </xdr:to>
        <xdr:sp macro="" textlink="">
          <xdr:nvSpPr>
            <xdr:cNvPr id="1231" name="Object 207" hidden="1">
              <a:extLst>
                <a:ext uri="{63B3BB69-23CF-44E3-9099-C40C66FF867C}">
                  <a14:compatExt spid="_x0000_s1231"/>
                </a:ext>
                <a:ext uri="{FF2B5EF4-FFF2-40B4-BE49-F238E27FC236}">
                  <a16:creationId xmlns:a16="http://schemas.microsoft.com/office/drawing/2014/main" id="{00000000-0008-0000-0100-0000CF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0</xdr:colOff>
          <xdr:row>50</xdr:row>
          <xdr:rowOff>69850</xdr:rowOff>
        </xdr:from>
        <xdr:to>
          <xdr:col>15</xdr:col>
          <xdr:colOff>184150</xdr:colOff>
          <xdr:row>52</xdr:row>
          <xdr:rowOff>139700</xdr:rowOff>
        </xdr:to>
        <xdr:sp macro="" textlink="">
          <xdr:nvSpPr>
            <xdr:cNvPr id="1300" name="Object 276" hidden="1">
              <a:extLst>
                <a:ext uri="{63B3BB69-23CF-44E3-9099-C40C66FF867C}">
                  <a14:compatExt spid="_x0000_s1300"/>
                </a:ext>
                <a:ext uri="{FF2B5EF4-FFF2-40B4-BE49-F238E27FC236}">
                  <a16:creationId xmlns:a16="http://schemas.microsoft.com/office/drawing/2014/main" id="{00000000-0008-0000-0100-00001405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46</xdr:row>
          <xdr:rowOff>76200</xdr:rowOff>
        </xdr:from>
        <xdr:to>
          <xdr:col>4</xdr:col>
          <xdr:colOff>184150</xdr:colOff>
          <xdr:row>48</xdr:row>
          <xdr:rowOff>114300</xdr:rowOff>
        </xdr:to>
        <xdr:sp macro="" textlink="">
          <xdr:nvSpPr>
            <xdr:cNvPr id="1306" name="Object 282" hidden="1">
              <a:extLst>
                <a:ext uri="{63B3BB69-23CF-44E3-9099-C40C66FF867C}">
                  <a14:compatExt spid="_x0000_s1306"/>
                </a:ext>
                <a:ext uri="{FF2B5EF4-FFF2-40B4-BE49-F238E27FC236}">
                  <a16:creationId xmlns:a16="http://schemas.microsoft.com/office/drawing/2014/main" id="{00000000-0008-0000-0100-00001A05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25400</xdr:colOff>
          <xdr:row>42</xdr:row>
          <xdr:rowOff>38100</xdr:rowOff>
        </xdr:from>
        <xdr:to>
          <xdr:col>15</xdr:col>
          <xdr:colOff>298450</xdr:colOff>
          <xdr:row>44</xdr:row>
          <xdr:rowOff>146050</xdr:rowOff>
        </xdr:to>
        <xdr:sp macro="" textlink="">
          <xdr:nvSpPr>
            <xdr:cNvPr id="1307" name="Object 283" hidden="1">
              <a:extLst>
                <a:ext uri="{63B3BB69-23CF-44E3-9099-C40C66FF867C}">
                  <a14:compatExt spid="_x0000_s1307"/>
                </a:ext>
                <a:ext uri="{FF2B5EF4-FFF2-40B4-BE49-F238E27FC236}">
                  <a16:creationId xmlns:a16="http://schemas.microsoft.com/office/drawing/2014/main" id="{00000000-0008-0000-0100-00001B050000}"/>
                </a:ext>
              </a:extLst>
            </xdr:cNvPr>
            <xdr:cNvSpPr/>
          </xdr:nvSpPr>
          <xdr:spPr bwMode="auto">
            <a:xfrm>
              <a:off x="0" y="0"/>
              <a:ext cx="0" cy="0"/>
            </a:xfrm>
            <a:prstGeom prst="rect">
              <a:avLst/>
            </a:prstGeom>
            <a:noFill/>
            <a:extLst>
              <a:ext uri="{909E8E84-426E-40DD-AFC4-6F175D3DCCD1}">
                <a14:hiddenFill>
                  <a:solidFill>
                    <a:srgbClr val="FF6600" mc:Ignorable="a14" a14:legacySpreadsheetColorIndex="53"/>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25400</xdr:colOff>
          <xdr:row>78</xdr:row>
          <xdr:rowOff>69850</xdr:rowOff>
        </xdr:from>
        <xdr:to>
          <xdr:col>5</xdr:col>
          <xdr:colOff>0</xdr:colOff>
          <xdr:row>80</xdr:row>
          <xdr:rowOff>139700</xdr:rowOff>
        </xdr:to>
        <xdr:sp macro="" textlink="">
          <xdr:nvSpPr>
            <xdr:cNvPr id="1308" name="Object 284" hidden="1">
              <a:extLst>
                <a:ext uri="{63B3BB69-23CF-44E3-9099-C40C66FF867C}">
                  <a14:compatExt spid="_x0000_s1308"/>
                </a:ext>
                <a:ext uri="{FF2B5EF4-FFF2-40B4-BE49-F238E27FC236}">
                  <a16:creationId xmlns:a16="http://schemas.microsoft.com/office/drawing/2014/main" id="{00000000-0008-0000-0100-00001C05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61</xdr:row>
          <xdr:rowOff>38100</xdr:rowOff>
        </xdr:from>
        <xdr:to>
          <xdr:col>4</xdr:col>
          <xdr:colOff>292100</xdr:colOff>
          <xdr:row>63</xdr:row>
          <xdr:rowOff>139700</xdr:rowOff>
        </xdr:to>
        <xdr:sp macro="" textlink="">
          <xdr:nvSpPr>
            <xdr:cNvPr id="1318" name="Object 294" hidden="1">
              <a:extLst>
                <a:ext uri="{63B3BB69-23CF-44E3-9099-C40C66FF867C}">
                  <a14:compatExt spid="_x0000_s1318"/>
                </a:ext>
                <a:ext uri="{FF2B5EF4-FFF2-40B4-BE49-F238E27FC236}">
                  <a16:creationId xmlns:a16="http://schemas.microsoft.com/office/drawing/2014/main" id="{00000000-0008-0000-0100-00002605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69</xdr:row>
          <xdr:rowOff>0</xdr:rowOff>
        </xdr:from>
        <xdr:to>
          <xdr:col>4</xdr:col>
          <xdr:colOff>342900</xdr:colOff>
          <xdr:row>71</xdr:row>
          <xdr:rowOff>139700</xdr:rowOff>
        </xdr:to>
        <xdr:sp macro="" textlink="">
          <xdr:nvSpPr>
            <xdr:cNvPr id="1320" name="Object 296" hidden="1">
              <a:extLst>
                <a:ext uri="{63B3BB69-23CF-44E3-9099-C40C66FF867C}">
                  <a14:compatExt spid="_x0000_s1320"/>
                </a:ext>
                <a:ext uri="{FF2B5EF4-FFF2-40B4-BE49-F238E27FC236}">
                  <a16:creationId xmlns:a16="http://schemas.microsoft.com/office/drawing/2014/main" id="{00000000-0008-0000-0100-00002805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25400</xdr:colOff>
          <xdr:row>73</xdr:row>
          <xdr:rowOff>63500</xdr:rowOff>
        </xdr:from>
        <xdr:to>
          <xdr:col>4</xdr:col>
          <xdr:colOff>266700</xdr:colOff>
          <xdr:row>75</xdr:row>
          <xdr:rowOff>114300</xdr:rowOff>
        </xdr:to>
        <xdr:sp macro="" textlink="">
          <xdr:nvSpPr>
            <xdr:cNvPr id="1322" name="Object 298" hidden="1">
              <a:extLst>
                <a:ext uri="{63B3BB69-23CF-44E3-9099-C40C66FF867C}">
                  <a14:compatExt spid="_x0000_s1322"/>
                </a:ext>
                <a:ext uri="{FF2B5EF4-FFF2-40B4-BE49-F238E27FC236}">
                  <a16:creationId xmlns:a16="http://schemas.microsoft.com/office/drawing/2014/main" id="{00000000-0008-0000-0100-00002A05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48</xdr:row>
          <xdr:rowOff>76200</xdr:rowOff>
        </xdr:from>
        <xdr:to>
          <xdr:col>4</xdr:col>
          <xdr:colOff>190500</xdr:colOff>
          <xdr:row>50</xdr:row>
          <xdr:rowOff>146050</xdr:rowOff>
        </xdr:to>
        <xdr:sp macro="" textlink="">
          <xdr:nvSpPr>
            <xdr:cNvPr id="1324" name="Object 300" hidden="1">
              <a:extLst>
                <a:ext uri="{63B3BB69-23CF-44E3-9099-C40C66FF867C}">
                  <a14:compatExt spid="_x0000_s1324"/>
                </a:ext>
                <a:ext uri="{FF2B5EF4-FFF2-40B4-BE49-F238E27FC236}">
                  <a16:creationId xmlns:a16="http://schemas.microsoft.com/office/drawing/2014/main" id="{00000000-0008-0000-0100-00002C05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36</xdr:col>
          <xdr:colOff>488950</xdr:colOff>
          <xdr:row>114</xdr:row>
          <xdr:rowOff>0</xdr:rowOff>
        </xdr:from>
        <xdr:to>
          <xdr:col>37</xdr:col>
          <xdr:colOff>869950</xdr:colOff>
          <xdr:row>114</xdr:row>
          <xdr:rowOff>0</xdr:rowOff>
        </xdr:to>
        <xdr:sp macro="" textlink="">
          <xdr:nvSpPr>
            <xdr:cNvPr id="1343" name="Object 319" hidden="1">
              <a:extLst>
                <a:ext uri="{63B3BB69-23CF-44E3-9099-C40C66FF867C}">
                  <a14:compatExt spid="_x0000_s1343"/>
                </a:ext>
                <a:ext uri="{FF2B5EF4-FFF2-40B4-BE49-F238E27FC236}">
                  <a16:creationId xmlns:a16="http://schemas.microsoft.com/office/drawing/2014/main" id="{00000000-0008-0000-0100-00003F05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42</xdr:col>
          <xdr:colOff>69850</xdr:colOff>
          <xdr:row>114</xdr:row>
          <xdr:rowOff>0</xdr:rowOff>
        </xdr:from>
        <xdr:to>
          <xdr:col>42</xdr:col>
          <xdr:colOff>1092200</xdr:colOff>
          <xdr:row>114</xdr:row>
          <xdr:rowOff>0</xdr:rowOff>
        </xdr:to>
        <xdr:sp macro="" textlink="">
          <xdr:nvSpPr>
            <xdr:cNvPr id="1344" name="Object 320" hidden="1">
              <a:extLst>
                <a:ext uri="{63B3BB69-23CF-44E3-9099-C40C66FF867C}">
                  <a14:compatExt spid="_x0000_s1344"/>
                </a:ext>
                <a:ext uri="{FF2B5EF4-FFF2-40B4-BE49-F238E27FC236}">
                  <a16:creationId xmlns:a16="http://schemas.microsoft.com/office/drawing/2014/main" id="{00000000-0008-0000-0100-00004005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36</xdr:col>
          <xdr:colOff>488950</xdr:colOff>
          <xdr:row>114</xdr:row>
          <xdr:rowOff>0</xdr:rowOff>
        </xdr:from>
        <xdr:to>
          <xdr:col>37</xdr:col>
          <xdr:colOff>869950</xdr:colOff>
          <xdr:row>114</xdr:row>
          <xdr:rowOff>0</xdr:rowOff>
        </xdr:to>
        <xdr:sp macro="" textlink="">
          <xdr:nvSpPr>
            <xdr:cNvPr id="1361" name="Object 337" hidden="1">
              <a:extLst>
                <a:ext uri="{63B3BB69-23CF-44E3-9099-C40C66FF867C}">
                  <a14:compatExt spid="_x0000_s1361"/>
                </a:ext>
                <a:ext uri="{FF2B5EF4-FFF2-40B4-BE49-F238E27FC236}">
                  <a16:creationId xmlns:a16="http://schemas.microsoft.com/office/drawing/2014/main" id="{00000000-0008-0000-0100-00005105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42</xdr:col>
          <xdr:colOff>69850</xdr:colOff>
          <xdr:row>114</xdr:row>
          <xdr:rowOff>0</xdr:rowOff>
        </xdr:from>
        <xdr:to>
          <xdr:col>42</xdr:col>
          <xdr:colOff>1092200</xdr:colOff>
          <xdr:row>114</xdr:row>
          <xdr:rowOff>0</xdr:rowOff>
        </xdr:to>
        <xdr:sp macro="" textlink="">
          <xdr:nvSpPr>
            <xdr:cNvPr id="1362" name="Object 338" hidden="1">
              <a:extLst>
                <a:ext uri="{63B3BB69-23CF-44E3-9099-C40C66FF867C}">
                  <a14:compatExt spid="_x0000_s1362"/>
                </a:ext>
                <a:ext uri="{FF2B5EF4-FFF2-40B4-BE49-F238E27FC236}">
                  <a16:creationId xmlns:a16="http://schemas.microsoft.com/office/drawing/2014/main" id="{00000000-0008-0000-0100-00005205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36</xdr:col>
          <xdr:colOff>488950</xdr:colOff>
          <xdr:row>114</xdr:row>
          <xdr:rowOff>0</xdr:rowOff>
        </xdr:from>
        <xdr:to>
          <xdr:col>37</xdr:col>
          <xdr:colOff>869950</xdr:colOff>
          <xdr:row>114</xdr:row>
          <xdr:rowOff>0</xdr:rowOff>
        </xdr:to>
        <xdr:sp macro="" textlink="">
          <xdr:nvSpPr>
            <xdr:cNvPr id="1368" name="Object 344" hidden="1">
              <a:extLst>
                <a:ext uri="{63B3BB69-23CF-44E3-9099-C40C66FF867C}">
                  <a14:compatExt spid="_x0000_s1368"/>
                </a:ext>
                <a:ext uri="{FF2B5EF4-FFF2-40B4-BE49-F238E27FC236}">
                  <a16:creationId xmlns:a16="http://schemas.microsoft.com/office/drawing/2014/main" id="{00000000-0008-0000-0100-00005805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42</xdr:col>
          <xdr:colOff>69850</xdr:colOff>
          <xdr:row>114</xdr:row>
          <xdr:rowOff>0</xdr:rowOff>
        </xdr:from>
        <xdr:to>
          <xdr:col>42</xdr:col>
          <xdr:colOff>1092200</xdr:colOff>
          <xdr:row>114</xdr:row>
          <xdr:rowOff>0</xdr:rowOff>
        </xdr:to>
        <xdr:sp macro="" textlink="">
          <xdr:nvSpPr>
            <xdr:cNvPr id="1369" name="Object 345" hidden="1">
              <a:extLst>
                <a:ext uri="{63B3BB69-23CF-44E3-9099-C40C66FF867C}">
                  <a14:compatExt spid="_x0000_s1369"/>
                </a:ext>
                <a:ext uri="{FF2B5EF4-FFF2-40B4-BE49-F238E27FC236}">
                  <a16:creationId xmlns:a16="http://schemas.microsoft.com/office/drawing/2014/main" id="{00000000-0008-0000-0100-00005905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18</xdr:col>
          <xdr:colOff>31750</xdr:colOff>
          <xdr:row>57</xdr:row>
          <xdr:rowOff>146050</xdr:rowOff>
        </xdr:from>
        <xdr:to>
          <xdr:col>18</xdr:col>
          <xdr:colOff>330200</xdr:colOff>
          <xdr:row>59</xdr:row>
          <xdr:rowOff>38100</xdr:rowOff>
        </xdr:to>
        <xdr:sp macro="" textlink="">
          <xdr:nvSpPr>
            <xdr:cNvPr id="1432" name="Object 408" hidden="1">
              <a:extLst>
                <a:ext uri="{63B3BB69-23CF-44E3-9099-C40C66FF867C}">
                  <a14:compatExt spid="_x0000_s1432"/>
                </a:ext>
                <a:ext uri="{FF2B5EF4-FFF2-40B4-BE49-F238E27FC236}">
                  <a16:creationId xmlns:a16="http://schemas.microsoft.com/office/drawing/2014/main" id="{00000000-0008-0000-0100-00009805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31750</xdr:colOff>
          <xdr:row>74</xdr:row>
          <xdr:rowOff>38100</xdr:rowOff>
        </xdr:from>
        <xdr:to>
          <xdr:col>15</xdr:col>
          <xdr:colOff>152400</xdr:colOff>
          <xdr:row>77</xdr:row>
          <xdr:rowOff>0</xdr:rowOff>
        </xdr:to>
        <xdr:sp macro="" textlink="">
          <xdr:nvSpPr>
            <xdr:cNvPr id="1435" name="Object 411" hidden="1">
              <a:extLst>
                <a:ext uri="{63B3BB69-23CF-44E3-9099-C40C66FF867C}">
                  <a14:compatExt spid="_x0000_s1435"/>
                </a:ext>
                <a:ext uri="{FF2B5EF4-FFF2-40B4-BE49-F238E27FC236}">
                  <a16:creationId xmlns:a16="http://schemas.microsoft.com/office/drawing/2014/main" id="{00000000-0008-0000-0100-00009B05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0</xdr:colOff>
          <xdr:row>77</xdr:row>
          <xdr:rowOff>0</xdr:rowOff>
        </xdr:from>
        <xdr:to>
          <xdr:col>17</xdr:col>
          <xdr:colOff>215900</xdr:colOff>
          <xdr:row>78</xdr:row>
          <xdr:rowOff>76200</xdr:rowOff>
        </xdr:to>
        <xdr:sp macro="" textlink="">
          <xdr:nvSpPr>
            <xdr:cNvPr id="1438" name="Object 414" hidden="1">
              <a:extLst>
                <a:ext uri="{63B3BB69-23CF-44E3-9099-C40C66FF867C}">
                  <a14:compatExt spid="_x0000_s1438"/>
                </a:ext>
                <a:ext uri="{FF2B5EF4-FFF2-40B4-BE49-F238E27FC236}">
                  <a16:creationId xmlns:a16="http://schemas.microsoft.com/office/drawing/2014/main" id="{00000000-0008-0000-0100-00009E05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31750</xdr:colOff>
          <xdr:row>78</xdr:row>
          <xdr:rowOff>114300</xdr:rowOff>
        </xdr:from>
        <xdr:to>
          <xdr:col>16</xdr:col>
          <xdr:colOff>488950</xdr:colOff>
          <xdr:row>81</xdr:row>
          <xdr:rowOff>38100</xdr:rowOff>
        </xdr:to>
        <xdr:sp macro="" textlink="">
          <xdr:nvSpPr>
            <xdr:cNvPr id="1439" name="Object 415" hidden="1">
              <a:extLst>
                <a:ext uri="{63B3BB69-23CF-44E3-9099-C40C66FF867C}">
                  <a14:compatExt spid="_x0000_s1439"/>
                </a:ext>
                <a:ext uri="{FF2B5EF4-FFF2-40B4-BE49-F238E27FC236}">
                  <a16:creationId xmlns:a16="http://schemas.microsoft.com/office/drawing/2014/main" id="{00000000-0008-0000-0100-00009F05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31750</xdr:colOff>
          <xdr:row>81</xdr:row>
          <xdr:rowOff>69850</xdr:rowOff>
        </xdr:from>
        <xdr:to>
          <xdr:col>16</xdr:col>
          <xdr:colOff>31750</xdr:colOff>
          <xdr:row>83</xdr:row>
          <xdr:rowOff>146050</xdr:rowOff>
        </xdr:to>
        <xdr:sp macro="" textlink="">
          <xdr:nvSpPr>
            <xdr:cNvPr id="1442" name="Object 418" hidden="1">
              <a:extLst>
                <a:ext uri="{63B3BB69-23CF-44E3-9099-C40C66FF867C}">
                  <a14:compatExt spid="_x0000_s1442"/>
                </a:ext>
                <a:ext uri="{FF2B5EF4-FFF2-40B4-BE49-F238E27FC236}">
                  <a16:creationId xmlns:a16="http://schemas.microsoft.com/office/drawing/2014/main" id="{00000000-0008-0000-0100-0000A205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31750</xdr:colOff>
          <xdr:row>70</xdr:row>
          <xdr:rowOff>152400</xdr:rowOff>
        </xdr:from>
        <xdr:to>
          <xdr:col>21</xdr:col>
          <xdr:colOff>374650</xdr:colOff>
          <xdr:row>74</xdr:row>
          <xdr:rowOff>146050</xdr:rowOff>
        </xdr:to>
        <xdr:sp macro="" textlink="">
          <xdr:nvSpPr>
            <xdr:cNvPr id="1443" name="Object 419" hidden="1">
              <a:extLst>
                <a:ext uri="{63B3BB69-23CF-44E3-9099-C40C66FF867C}">
                  <a14:compatExt spid="_x0000_s1443"/>
                </a:ext>
                <a:ext uri="{FF2B5EF4-FFF2-40B4-BE49-F238E27FC236}">
                  <a16:creationId xmlns:a16="http://schemas.microsoft.com/office/drawing/2014/main" id="{00000000-0008-0000-0100-0000A305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31750</xdr:colOff>
          <xdr:row>58</xdr:row>
          <xdr:rowOff>0</xdr:rowOff>
        </xdr:from>
        <xdr:to>
          <xdr:col>13</xdr:col>
          <xdr:colOff>330200</xdr:colOff>
          <xdr:row>59</xdr:row>
          <xdr:rowOff>76200</xdr:rowOff>
        </xdr:to>
        <xdr:sp macro="" textlink="">
          <xdr:nvSpPr>
            <xdr:cNvPr id="1538" name="Object 514" hidden="1">
              <a:extLst>
                <a:ext uri="{63B3BB69-23CF-44E3-9099-C40C66FF867C}">
                  <a14:compatExt spid="_x0000_s1538"/>
                </a:ext>
                <a:ext uri="{FF2B5EF4-FFF2-40B4-BE49-F238E27FC236}">
                  <a16:creationId xmlns:a16="http://schemas.microsoft.com/office/drawing/2014/main" id="{00000000-0008-0000-0100-00000206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oneCellAnchor>
    <xdr:from>
      <xdr:col>6</xdr:col>
      <xdr:colOff>438150</xdr:colOff>
      <xdr:row>109</xdr:row>
      <xdr:rowOff>133350</xdr:rowOff>
    </xdr:from>
    <xdr:ext cx="779829" cy="500137"/>
    <mc:AlternateContent xmlns:mc="http://schemas.openxmlformats.org/markup-compatibility/2006" xmlns:a14="http://schemas.microsoft.com/office/drawing/2010/main">
      <mc:Choice Requires="a14">
        <xdr:sp macro="" textlink="">
          <xdr:nvSpPr>
            <xdr:cNvPr id="42" name="ZoneTexte 41">
              <a:extLst>
                <a:ext uri="{FF2B5EF4-FFF2-40B4-BE49-F238E27FC236}">
                  <a16:creationId xmlns:a16="http://schemas.microsoft.com/office/drawing/2014/main" id="{00000000-0008-0000-0100-00002A000000}"/>
                </a:ext>
              </a:extLst>
            </xdr:cNvPr>
            <xdr:cNvSpPr txBox="1"/>
          </xdr:nvSpPr>
          <xdr:spPr>
            <a:xfrm>
              <a:off x="2867025" y="18202275"/>
              <a:ext cx="779829" cy="50013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fr-FR" sz="1100" b="0" i="1">
                        <a:latin typeface="Cambria Math" panose="02040503050406030204" pitchFamily="18" charset="0"/>
                      </a:rPr>
                      <m:t>𝑓</m:t>
                    </m:r>
                    <m:r>
                      <a:rPr lang="fr-FR" sz="1100" i="1">
                        <a:latin typeface="Cambria Math" panose="02040503050406030204" pitchFamily="18" charset="0"/>
                      </a:rPr>
                      <m:t>=</m:t>
                    </m:r>
                    <m:f>
                      <m:fPr>
                        <m:ctrlPr>
                          <a:rPr lang="fr-FR" sz="1100" i="1">
                            <a:latin typeface="Cambria Math" panose="02040503050406030204" pitchFamily="18" charset="0"/>
                          </a:rPr>
                        </m:ctrlPr>
                      </m:fPr>
                      <m:num>
                        <m:r>
                          <a:rPr lang="fr-FR" sz="1100" b="0" i="1">
                            <a:latin typeface="Cambria Math" panose="02040503050406030204" pitchFamily="18" charset="0"/>
                          </a:rPr>
                          <m:t>2</m:t>
                        </m:r>
                      </m:num>
                      <m:den>
                        <m:r>
                          <m:rPr>
                            <m:sty m:val="p"/>
                          </m:rPr>
                          <a:rPr lang="el-GR" sz="1100" i="1">
                            <a:latin typeface="Cambria Math" panose="02040503050406030204" pitchFamily="18" charset="0"/>
                          </a:rPr>
                          <m:t>π</m:t>
                        </m:r>
                      </m:den>
                    </m:f>
                    <m:r>
                      <a:rPr lang="fr-FR" sz="1100" b="0" i="1">
                        <a:latin typeface="Cambria Math" panose="02040503050406030204" pitchFamily="18" charset="0"/>
                      </a:rPr>
                      <m:t> </m:t>
                    </m:r>
                    <m:rad>
                      <m:radPr>
                        <m:degHide m:val="on"/>
                        <m:ctrlPr>
                          <a:rPr lang="fr-FR" sz="1100" b="0" i="1">
                            <a:latin typeface="Cambria Math" panose="02040503050406030204" pitchFamily="18" charset="0"/>
                          </a:rPr>
                        </m:ctrlPr>
                      </m:radPr>
                      <m:deg/>
                      <m:e>
                        <m:f>
                          <m:fPr>
                            <m:ctrlPr>
                              <a:rPr lang="fr-FR" sz="1100" b="0" i="1">
                                <a:latin typeface="Cambria Math" panose="02040503050406030204" pitchFamily="18" charset="0"/>
                              </a:rPr>
                            </m:ctrlPr>
                          </m:fPr>
                          <m:num>
                            <m:r>
                              <a:rPr lang="fr-FR" sz="1100" b="0" i="1">
                                <a:latin typeface="Cambria Math" panose="02040503050406030204" pitchFamily="18" charset="0"/>
                              </a:rPr>
                              <m:t>𝐸𝐼</m:t>
                            </m:r>
                          </m:num>
                          <m:den>
                            <m:r>
                              <a:rPr lang="fr-FR" sz="1100" b="0" i="1">
                                <a:latin typeface="Cambria Math" panose="02040503050406030204" pitchFamily="18" charset="0"/>
                              </a:rPr>
                              <m:t>𝑚</m:t>
                            </m:r>
                            <m:sSup>
                              <m:sSupPr>
                                <m:ctrlPr>
                                  <a:rPr lang="fr-FR" sz="1100" b="0" i="1">
                                    <a:latin typeface="Cambria Math" panose="02040503050406030204" pitchFamily="18" charset="0"/>
                                    <a:ea typeface="Cambria Math" panose="02040503050406030204" pitchFamily="18" charset="0"/>
                                  </a:rPr>
                                </m:ctrlPr>
                              </m:sSupPr>
                              <m:e>
                                <m:r>
                                  <a:rPr lang="fr-FR" sz="1100" b="0" i="1">
                                    <a:latin typeface="Cambria Math" panose="02040503050406030204" pitchFamily="18" charset="0"/>
                                    <a:ea typeface="Cambria Math" panose="02040503050406030204" pitchFamily="18" charset="0"/>
                                  </a:rPr>
                                  <m:t>𝑙</m:t>
                                </m:r>
                              </m:e>
                              <m:sup>
                                <m:r>
                                  <a:rPr lang="fr-FR" sz="1100" b="0" i="1">
                                    <a:latin typeface="Cambria Math" panose="02040503050406030204" pitchFamily="18" charset="0"/>
                                    <a:ea typeface="Cambria Math" panose="02040503050406030204" pitchFamily="18" charset="0"/>
                                  </a:rPr>
                                  <m:t>4</m:t>
                                </m:r>
                              </m:sup>
                            </m:sSup>
                          </m:den>
                        </m:f>
                      </m:e>
                    </m:rad>
                  </m:oMath>
                </m:oMathPara>
              </a14:m>
              <a:endParaRPr lang="fr-FR" sz="1100"/>
            </a:p>
          </xdr:txBody>
        </xdr:sp>
      </mc:Choice>
      <mc:Fallback xmlns="">
        <xdr:sp macro="" textlink="">
          <xdr:nvSpPr>
            <xdr:cNvPr id="42" name="ZoneTexte 41"/>
            <xdr:cNvSpPr txBox="1"/>
          </xdr:nvSpPr>
          <xdr:spPr>
            <a:xfrm>
              <a:off x="2867025" y="18202275"/>
              <a:ext cx="779829" cy="50013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fr-FR" sz="1100" b="0" i="0">
                  <a:latin typeface="Cambria Math" panose="02040503050406030204" pitchFamily="18" charset="0"/>
                </a:rPr>
                <a:t>𝑓</a:t>
              </a:r>
              <a:r>
                <a:rPr lang="fr-FR" sz="1100" i="0">
                  <a:latin typeface="Cambria Math" panose="02040503050406030204" pitchFamily="18" charset="0"/>
                </a:rPr>
                <a:t>=</a:t>
              </a:r>
              <a:r>
                <a:rPr lang="fr-FR" sz="1100" b="0" i="0">
                  <a:latin typeface="Cambria Math" panose="02040503050406030204" pitchFamily="18" charset="0"/>
                </a:rPr>
                <a:t>2/</a:t>
              </a:r>
              <a:r>
                <a:rPr lang="el-GR" sz="1100" i="0">
                  <a:latin typeface="Cambria Math" panose="02040503050406030204" pitchFamily="18" charset="0"/>
                </a:rPr>
                <a:t>π</a:t>
              </a:r>
              <a:r>
                <a:rPr lang="fr-FR" sz="1100" b="0" i="0">
                  <a:latin typeface="Cambria Math" panose="02040503050406030204" pitchFamily="18" charset="0"/>
                </a:rPr>
                <a:t>  √(𝐸𝐼/(𝑚</a:t>
              </a:r>
              <a:r>
                <a:rPr lang="fr-FR" sz="1100" b="0" i="0">
                  <a:latin typeface="Cambria Math" panose="02040503050406030204" pitchFamily="18" charset="0"/>
                  <a:ea typeface="Cambria Math" panose="02040503050406030204" pitchFamily="18" charset="0"/>
                </a:rPr>
                <a:t>𝑙^4 ))</a:t>
              </a:r>
              <a:endParaRPr lang="fr-FR"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2</xdr:row>
      <xdr:rowOff>0</xdr:rowOff>
    </xdr:from>
    <xdr:to>
      <xdr:col>8</xdr:col>
      <xdr:colOff>552450</xdr:colOff>
      <xdr:row>55</xdr:row>
      <xdr:rowOff>66675</xdr:rowOff>
    </xdr:to>
    <xdr:pic>
      <xdr:nvPicPr>
        <xdr:cNvPr id="7169" name="Picture 1">
          <a:extLst>
            <a:ext uri="{FF2B5EF4-FFF2-40B4-BE49-F238E27FC236}">
              <a16:creationId xmlns:a16="http://schemas.microsoft.com/office/drawing/2014/main" id="{00000000-0008-0000-0200-0000011C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390525"/>
          <a:ext cx="6648450" cy="8648700"/>
        </a:xfrm>
        <a:prstGeom prst="rect">
          <a:avLst/>
        </a:prstGeom>
        <a:noFill/>
        <a:ln w="1">
          <a:noFill/>
          <a:miter lim="800000"/>
          <a:headEnd/>
          <a:tailEnd/>
        </a:ln>
      </xdr:spPr>
    </xdr:pic>
    <xdr:clientData/>
  </xdr:twoCellAnchor>
  <xdr:twoCellAnchor editAs="oneCell">
    <xdr:from>
      <xdr:col>8</xdr:col>
      <xdr:colOff>295275</xdr:colOff>
      <xdr:row>2</xdr:row>
      <xdr:rowOff>114300</xdr:rowOff>
    </xdr:from>
    <xdr:to>
      <xdr:col>16</xdr:col>
      <xdr:colOff>742950</xdr:colOff>
      <xdr:row>40</xdr:row>
      <xdr:rowOff>152400</xdr:rowOff>
    </xdr:to>
    <xdr:pic>
      <xdr:nvPicPr>
        <xdr:cNvPr id="7170" name="Picture 2">
          <a:extLst>
            <a:ext uri="{FF2B5EF4-FFF2-40B4-BE49-F238E27FC236}">
              <a16:creationId xmlns:a16="http://schemas.microsoft.com/office/drawing/2014/main" id="{00000000-0008-0000-0200-0000021C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6391275" y="504825"/>
          <a:ext cx="6543675" cy="6191250"/>
        </a:xfrm>
        <a:prstGeom prst="rect">
          <a:avLst/>
        </a:prstGeom>
        <a:noFill/>
        <a:ln w="1">
          <a:noFill/>
          <a:miter lim="800000"/>
          <a:headEnd/>
          <a:tailEnd/>
        </a:ln>
      </xdr:spPr>
    </xdr:pic>
    <xdr:clientData/>
  </xdr:twoCellAnchor>
  <xdr:twoCellAnchor editAs="oneCell">
    <xdr:from>
      <xdr:col>0</xdr:col>
      <xdr:colOff>323850</xdr:colOff>
      <xdr:row>53</xdr:row>
      <xdr:rowOff>85725</xdr:rowOff>
    </xdr:from>
    <xdr:to>
      <xdr:col>8</xdr:col>
      <xdr:colOff>285750</xdr:colOff>
      <xdr:row>79</xdr:row>
      <xdr:rowOff>76200</xdr:rowOff>
    </xdr:to>
    <xdr:pic>
      <xdr:nvPicPr>
        <xdr:cNvPr id="7171" name="Picture 5">
          <a:extLst>
            <a:ext uri="{FF2B5EF4-FFF2-40B4-BE49-F238E27FC236}">
              <a16:creationId xmlns:a16="http://schemas.microsoft.com/office/drawing/2014/main" id="{00000000-0008-0000-0200-0000031C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323850" y="8734425"/>
          <a:ext cx="6057900" cy="4200525"/>
        </a:xfrm>
        <a:prstGeom prst="rect">
          <a:avLst/>
        </a:prstGeom>
        <a:noFill/>
        <a:ln w="1">
          <a:noFill/>
          <a:miter lim="800000"/>
          <a:headEnd/>
          <a:tailEnd/>
        </a:ln>
      </xdr:spPr>
    </xdr:pic>
    <xdr:clientData/>
  </xdr:twoCellAnchor>
  <xdr:twoCellAnchor editAs="oneCell">
    <xdr:from>
      <xdr:col>8</xdr:col>
      <xdr:colOff>523875</xdr:colOff>
      <xdr:row>52</xdr:row>
      <xdr:rowOff>19050</xdr:rowOff>
    </xdr:from>
    <xdr:to>
      <xdr:col>15</xdr:col>
      <xdr:colOff>666750</xdr:colOff>
      <xdr:row>63</xdr:row>
      <xdr:rowOff>28575</xdr:rowOff>
    </xdr:to>
    <xdr:pic>
      <xdr:nvPicPr>
        <xdr:cNvPr id="7172" name="Picture 6">
          <a:extLst>
            <a:ext uri="{FF2B5EF4-FFF2-40B4-BE49-F238E27FC236}">
              <a16:creationId xmlns:a16="http://schemas.microsoft.com/office/drawing/2014/main" id="{00000000-0008-0000-0200-0000041C0000}"/>
            </a:ext>
          </a:extLst>
        </xdr:cNvPr>
        <xdr:cNvPicPr>
          <a:picLocks noChangeAspect="1" noChangeArrowheads="1"/>
        </xdr:cNvPicPr>
      </xdr:nvPicPr>
      <xdr:blipFill>
        <a:blip xmlns:r="http://schemas.openxmlformats.org/officeDocument/2006/relationships" r:embed="rId4" cstate="print"/>
        <a:srcRect/>
        <a:stretch>
          <a:fillRect/>
        </a:stretch>
      </xdr:blipFill>
      <xdr:spPr bwMode="auto">
        <a:xfrm>
          <a:off x="6619875" y="8505825"/>
          <a:ext cx="5476875" cy="1790700"/>
        </a:xfrm>
        <a:prstGeom prst="rect">
          <a:avLst/>
        </a:prstGeom>
        <a:noFill/>
        <a:ln w="1">
          <a:noFill/>
          <a:miter lim="800000"/>
          <a:headEnd/>
          <a:tailEnd/>
        </a:ln>
      </xdr:spPr>
    </xdr:pic>
    <xdr:clientData/>
  </xdr:twoCellAnchor>
  <xdr:twoCellAnchor editAs="oneCell">
    <xdr:from>
      <xdr:col>8</xdr:col>
      <xdr:colOff>400050</xdr:colOff>
      <xdr:row>62</xdr:row>
      <xdr:rowOff>85725</xdr:rowOff>
    </xdr:from>
    <xdr:to>
      <xdr:col>15</xdr:col>
      <xdr:colOff>714375</xdr:colOff>
      <xdr:row>108</xdr:row>
      <xdr:rowOff>104775</xdr:rowOff>
    </xdr:to>
    <xdr:pic>
      <xdr:nvPicPr>
        <xdr:cNvPr id="7173" name="Picture 7">
          <a:extLst>
            <a:ext uri="{FF2B5EF4-FFF2-40B4-BE49-F238E27FC236}">
              <a16:creationId xmlns:a16="http://schemas.microsoft.com/office/drawing/2014/main" id="{00000000-0008-0000-0200-0000051C0000}"/>
            </a:ext>
          </a:extLst>
        </xdr:cNvPr>
        <xdr:cNvPicPr>
          <a:picLocks noChangeAspect="1" noChangeArrowheads="1"/>
        </xdr:cNvPicPr>
      </xdr:nvPicPr>
      <xdr:blipFill>
        <a:blip xmlns:r="http://schemas.openxmlformats.org/officeDocument/2006/relationships" r:embed="rId5" cstate="print"/>
        <a:srcRect/>
        <a:stretch>
          <a:fillRect/>
        </a:stretch>
      </xdr:blipFill>
      <xdr:spPr bwMode="auto">
        <a:xfrm>
          <a:off x="6496050" y="10191750"/>
          <a:ext cx="5648325" cy="7467600"/>
        </a:xfrm>
        <a:prstGeom prst="rect">
          <a:avLst/>
        </a:prstGeom>
        <a:noFill/>
        <a:ln w="1">
          <a:noFill/>
          <a:miter lim="800000"/>
          <a:headEnd/>
          <a:tailEnd/>
        </a:ln>
      </xdr:spPr>
    </xdr:pic>
    <xdr:clientData/>
  </xdr:twoCellAnchor>
  <xdr:twoCellAnchor editAs="oneCell">
    <xdr:from>
      <xdr:col>8</xdr:col>
      <xdr:colOff>447675</xdr:colOff>
      <xdr:row>41</xdr:row>
      <xdr:rowOff>123825</xdr:rowOff>
    </xdr:from>
    <xdr:to>
      <xdr:col>12</xdr:col>
      <xdr:colOff>19050</xdr:colOff>
      <xdr:row>51</xdr:row>
      <xdr:rowOff>9525</xdr:rowOff>
    </xdr:to>
    <xdr:pic>
      <xdr:nvPicPr>
        <xdr:cNvPr id="7174" name="Picture 8">
          <a:extLst>
            <a:ext uri="{FF2B5EF4-FFF2-40B4-BE49-F238E27FC236}">
              <a16:creationId xmlns:a16="http://schemas.microsoft.com/office/drawing/2014/main" id="{00000000-0008-0000-0200-0000061C0000}"/>
            </a:ext>
          </a:extLst>
        </xdr:cNvPr>
        <xdr:cNvPicPr>
          <a:picLocks noChangeAspect="1" noChangeArrowheads="1"/>
        </xdr:cNvPicPr>
      </xdr:nvPicPr>
      <xdr:blipFill>
        <a:blip xmlns:r="http://schemas.openxmlformats.org/officeDocument/2006/relationships" r:embed="rId6" cstate="print"/>
        <a:srcRect/>
        <a:stretch>
          <a:fillRect/>
        </a:stretch>
      </xdr:blipFill>
      <xdr:spPr bwMode="auto">
        <a:xfrm>
          <a:off x="6543675" y="6829425"/>
          <a:ext cx="2619375" cy="1504950"/>
        </a:xfrm>
        <a:prstGeom prst="rect">
          <a:avLst/>
        </a:prstGeom>
        <a:noFill/>
        <a:ln w="1">
          <a:noFill/>
          <a:miter lim="800000"/>
          <a:headEnd/>
          <a:tailEnd/>
        </a:ln>
      </xdr:spPr>
    </xdr:pic>
    <xdr:clientData/>
  </xdr:twoCellAnchor>
  <xdr:twoCellAnchor>
    <xdr:from>
      <xdr:col>13</xdr:col>
      <xdr:colOff>295275</xdr:colOff>
      <xdr:row>58</xdr:row>
      <xdr:rowOff>104775</xdr:rowOff>
    </xdr:from>
    <xdr:to>
      <xdr:col>16</xdr:col>
      <xdr:colOff>0</xdr:colOff>
      <xdr:row>62</xdr:row>
      <xdr:rowOff>28575</xdr:rowOff>
    </xdr:to>
    <xdr:sp macro="" textlink="">
      <xdr:nvSpPr>
        <xdr:cNvPr id="3081" name="Rectangle 9">
          <a:extLst>
            <a:ext uri="{FF2B5EF4-FFF2-40B4-BE49-F238E27FC236}">
              <a16:creationId xmlns:a16="http://schemas.microsoft.com/office/drawing/2014/main" id="{00000000-0008-0000-0200-0000090C0000}"/>
            </a:ext>
          </a:extLst>
        </xdr:cNvPr>
        <xdr:cNvSpPr>
          <a:spLocks noChangeArrowheads="1"/>
        </xdr:cNvSpPr>
      </xdr:nvSpPr>
      <xdr:spPr bwMode="auto">
        <a:xfrm>
          <a:off x="10201275" y="9563100"/>
          <a:ext cx="1990725" cy="571500"/>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fr-FR" sz="1200" b="1" i="0" u="none" strike="noStrike" baseline="0">
              <a:solidFill>
                <a:srgbClr val="FF0000"/>
              </a:solidFill>
              <a:latin typeface="Arial"/>
              <a:cs typeface="Arial"/>
            </a:rPr>
            <a:t>k</a:t>
          </a:r>
          <a:r>
            <a:rPr lang="fr-FR" sz="1200" b="1" i="0" u="none" strike="noStrike" baseline="-25000">
              <a:solidFill>
                <a:srgbClr val="FF0000"/>
              </a:solidFill>
              <a:latin typeface="Arial"/>
              <a:cs typeface="Arial"/>
            </a:rPr>
            <a:t>v</a:t>
          </a:r>
          <a:r>
            <a:rPr lang="fr-FR" sz="1200" b="1" i="0" u="none" strike="noStrike" baseline="0">
              <a:solidFill>
                <a:srgbClr val="FF0000"/>
              </a:solidFill>
              <a:latin typeface="Arial"/>
              <a:cs typeface="Arial"/>
            </a:rPr>
            <a:t> = k </a:t>
          </a:r>
          <a:r>
            <a:rPr lang="fr-FR" sz="1000" b="1" i="0" u="none" strike="noStrike" baseline="0">
              <a:solidFill>
                <a:srgbClr val="FF0000"/>
              </a:solidFill>
              <a:latin typeface="Arial"/>
              <a:cs typeface="Arial"/>
            </a:rPr>
            <a:t>(notation EC3)</a:t>
          </a:r>
          <a:endParaRPr lang="fr-FR" sz="1200" b="1" i="0" u="none" strike="noStrike" baseline="0">
            <a:solidFill>
              <a:srgbClr val="FF0000"/>
            </a:solidFill>
            <a:latin typeface="Arial"/>
            <a:cs typeface="Arial"/>
          </a:endParaRPr>
        </a:p>
        <a:p>
          <a:pPr algn="l" rtl="0">
            <a:defRPr sz="1000"/>
          </a:pPr>
          <a:r>
            <a:rPr lang="fr-FR" sz="1200" b="1" i="0" u="none" strike="noStrike" baseline="0">
              <a:solidFill>
                <a:srgbClr val="FF0000"/>
              </a:solidFill>
              <a:latin typeface="Arial"/>
              <a:cs typeface="Arial"/>
            </a:rPr>
            <a:t>k</a:t>
          </a:r>
          <a:r>
            <a:rPr lang="el-GR" sz="1200" b="1" i="0" u="none" strike="noStrike" baseline="-25000">
              <a:solidFill>
                <a:srgbClr val="FF0000"/>
              </a:solidFill>
              <a:latin typeface="Times New Roman"/>
              <a:cs typeface="Times New Roman"/>
            </a:rPr>
            <a:t>φ</a:t>
          </a:r>
          <a:r>
            <a:rPr lang="el-GR" sz="1020" b="1" i="0" u="none" strike="noStrike" baseline="0">
              <a:solidFill>
                <a:srgbClr val="FF0000"/>
              </a:solidFill>
              <a:latin typeface="Arial"/>
              <a:cs typeface="Arial"/>
            </a:rPr>
            <a:t> = </a:t>
          </a:r>
          <a:r>
            <a:rPr lang="fr-FR" sz="1020" b="1" i="0" u="none" strike="noStrike" baseline="0">
              <a:solidFill>
                <a:srgbClr val="FF0000"/>
              </a:solidFill>
              <a:latin typeface="Arial"/>
              <a:cs typeface="Arial"/>
            </a:rPr>
            <a:t>kw </a:t>
          </a:r>
          <a:r>
            <a:rPr lang="fr-FR" sz="1000" b="1" i="0" u="none" strike="noStrike" baseline="0">
              <a:solidFill>
                <a:srgbClr val="FF0000"/>
              </a:solidFill>
              <a:latin typeface="Arial"/>
              <a:cs typeface="Arial"/>
            </a:rPr>
            <a:t>(notation EC3)</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19050</xdr:colOff>
      <xdr:row>33</xdr:row>
      <xdr:rowOff>47625</xdr:rowOff>
    </xdr:from>
    <xdr:to>
      <xdr:col>2</xdr:col>
      <xdr:colOff>304800</xdr:colOff>
      <xdr:row>35</xdr:row>
      <xdr:rowOff>114300</xdr:rowOff>
    </xdr:to>
    <xdr:pic>
      <xdr:nvPicPr>
        <xdr:cNvPr id="4221" name="Picture 62">
          <a:extLst>
            <a:ext uri="{FF2B5EF4-FFF2-40B4-BE49-F238E27FC236}">
              <a16:creationId xmlns:a16="http://schemas.microsoft.com/office/drawing/2014/main" id="{00000000-0008-0000-0300-00007D1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14325" y="5562600"/>
          <a:ext cx="1209675" cy="390525"/>
        </a:xfrm>
        <a:prstGeom prst="rect">
          <a:avLst/>
        </a:prstGeom>
        <a:noFill/>
        <a:ln w="9525">
          <a:noFill/>
          <a:miter lim="800000"/>
          <a:headEnd/>
          <a:tailEnd/>
        </a:ln>
      </xdr:spPr>
    </xdr:pic>
    <xdr:clientData/>
  </xdr:twoCellAnchor>
  <xdr:twoCellAnchor>
    <xdr:from>
      <xdr:col>6</xdr:col>
      <xdr:colOff>914400</xdr:colOff>
      <xdr:row>25</xdr:row>
      <xdr:rowOff>76200</xdr:rowOff>
    </xdr:from>
    <xdr:to>
      <xdr:col>9</xdr:col>
      <xdr:colOff>733425</xdr:colOff>
      <xdr:row>39</xdr:row>
      <xdr:rowOff>47625</xdr:rowOff>
    </xdr:to>
    <xdr:grpSp>
      <xdr:nvGrpSpPr>
        <xdr:cNvPr id="4222" name="Group 63">
          <a:extLst>
            <a:ext uri="{FF2B5EF4-FFF2-40B4-BE49-F238E27FC236}">
              <a16:creationId xmlns:a16="http://schemas.microsoft.com/office/drawing/2014/main" id="{00000000-0008-0000-0300-00007E100000}"/>
            </a:ext>
          </a:extLst>
        </xdr:cNvPr>
        <xdr:cNvGrpSpPr>
          <a:grpSpLocks/>
        </xdr:cNvGrpSpPr>
      </xdr:nvGrpSpPr>
      <xdr:grpSpPr bwMode="auto">
        <a:xfrm>
          <a:off x="7608047" y="4192494"/>
          <a:ext cx="2590613" cy="2257425"/>
          <a:chOff x="3048" y="377"/>
          <a:chExt cx="330" cy="236"/>
        </a:xfrm>
      </xdr:grpSpPr>
      <xdr:sp macro="" textlink="">
        <xdr:nvSpPr>
          <xdr:cNvPr id="4273" name="AutoShape 64">
            <a:extLst>
              <a:ext uri="{FF2B5EF4-FFF2-40B4-BE49-F238E27FC236}">
                <a16:creationId xmlns:a16="http://schemas.microsoft.com/office/drawing/2014/main" id="{00000000-0008-0000-0300-0000B1100000}"/>
              </a:ext>
            </a:extLst>
          </xdr:cNvPr>
          <xdr:cNvSpPr>
            <a:spLocks noChangeArrowheads="1"/>
          </xdr:cNvSpPr>
        </xdr:nvSpPr>
        <xdr:spPr bwMode="auto">
          <a:xfrm flipV="1">
            <a:off x="3110" y="432"/>
            <a:ext cx="56" cy="59"/>
          </a:xfrm>
          <a:prstGeom prst="rtTriangle">
            <a:avLst/>
          </a:prstGeom>
          <a:solidFill>
            <a:srgbClr val="FFFFFF"/>
          </a:solidFill>
          <a:ln w="9525">
            <a:solidFill>
              <a:srgbClr val="000000"/>
            </a:solidFill>
            <a:miter lim="800000"/>
            <a:headEnd/>
            <a:tailEnd/>
          </a:ln>
        </xdr:spPr>
      </xdr:sp>
      <xdr:sp macro="" textlink="">
        <xdr:nvSpPr>
          <xdr:cNvPr id="4274" name="AutoShape 65">
            <a:extLst>
              <a:ext uri="{FF2B5EF4-FFF2-40B4-BE49-F238E27FC236}">
                <a16:creationId xmlns:a16="http://schemas.microsoft.com/office/drawing/2014/main" id="{00000000-0008-0000-0300-0000B2100000}"/>
              </a:ext>
            </a:extLst>
          </xdr:cNvPr>
          <xdr:cNvSpPr>
            <a:spLocks noChangeArrowheads="1"/>
          </xdr:cNvSpPr>
        </xdr:nvSpPr>
        <xdr:spPr bwMode="auto">
          <a:xfrm flipH="1">
            <a:off x="3048" y="492"/>
            <a:ext cx="62" cy="62"/>
          </a:xfrm>
          <a:prstGeom prst="rtTriangle">
            <a:avLst/>
          </a:prstGeom>
          <a:solidFill>
            <a:srgbClr val="FFFFFF"/>
          </a:solidFill>
          <a:ln w="9525">
            <a:solidFill>
              <a:srgbClr val="000000"/>
            </a:solidFill>
            <a:miter lim="800000"/>
            <a:headEnd/>
            <a:tailEnd/>
          </a:ln>
        </xdr:spPr>
      </xdr:sp>
      <xdr:pic>
        <xdr:nvPicPr>
          <xdr:cNvPr id="4275" name="Picture 66" descr="profil2">
            <a:extLst>
              <a:ext uri="{FF2B5EF4-FFF2-40B4-BE49-F238E27FC236}">
                <a16:creationId xmlns:a16="http://schemas.microsoft.com/office/drawing/2014/main" id="{00000000-0008-0000-0300-0000B3100000}"/>
              </a:ext>
            </a:extLst>
          </xdr:cNvPr>
          <xdr:cNvPicPr>
            <a:picLocks noChangeAspect="1" noChangeArrowheads="1"/>
          </xdr:cNvPicPr>
        </xdr:nvPicPr>
        <xdr:blipFill>
          <a:blip xmlns:r="http://schemas.openxmlformats.org/officeDocument/2006/relationships" r:embed="rId2" cstate="print"/>
          <a:srcRect l="5859" r="38867"/>
          <a:stretch>
            <a:fillRect/>
          </a:stretch>
        </xdr:blipFill>
        <xdr:spPr bwMode="auto">
          <a:xfrm>
            <a:off x="3216" y="377"/>
            <a:ext cx="162" cy="236"/>
          </a:xfrm>
          <a:prstGeom prst="rect">
            <a:avLst/>
          </a:prstGeom>
          <a:noFill/>
          <a:ln w="9525">
            <a:noFill/>
            <a:miter lim="800000"/>
            <a:headEnd/>
            <a:tailEnd/>
          </a:ln>
        </xdr:spPr>
      </xdr:pic>
      <xdr:sp macro="" textlink="">
        <xdr:nvSpPr>
          <xdr:cNvPr id="4276" name="Line 67">
            <a:extLst>
              <a:ext uri="{FF2B5EF4-FFF2-40B4-BE49-F238E27FC236}">
                <a16:creationId xmlns:a16="http://schemas.microsoft.com/office/drawing/2014/main" id="{00000000-0008-0000-0300-0000B4100000}"/>
              </a:ext>
            </a:extLst>
          </xdr:cNvPr>
          <xdr:cNvSpPr>
            <a:spLocks noChangeShapeType="1"/>
          </xdr:cNvSpPr>
        </xdr:nvSpPr>
        <xdr:spPr bwMode="auto">
          <a:xfrm flipH="1">
            <a:off x="3087" y="449"/>
            <a:ext cx="169" cy="0"/>
          </a:xfrm>
          <a:prstGeom prst="line">
            <a:avLst/>
          </a:prstGeom>
          <a:noFill/>
          <a:ln w="12700">
            <a:solidFill>
              <a:srgbClr val="FF0000"/>
            </a:solidFill>
            <a:prstDash val="dashDot"/>
            <a:round/>
            <a:headEnd/>
            <a:tailEnd/>
          </a:ln>
        </xdr:spPr>
      </xdr:sp>
      <xdr:sp macro="" textlink="">
        <xdr:nvSpPr>
          <xdr:cNvPr id="4164" name="Text Box 68">
            <a:extLst>
              <a:ext uri="{FF2B5EF4-FFF2-40B4-BE49-F238E27FC236}">
                <a16:creationId xmlns:a16="http://schemas.microsoft.com/office/drawing/2014/main" id="{00000000-0008-0000-0300-000044100000}"/>
              </a:ext>
            </a:extLst>
          </xdr:cNvPr>
          <xdr:cNvSpPr txBox="1">
            <a:spLocks noChangeArrowheads="1"/>
          </xdr:cNvSpPr>
        </xdr:nvSpPr>
        <xdr:spPr bwMode="auto">
          <a:xfrm>
            <a:off x="3054" y="440"/>
            <a:ext cx="41" cy="20"/>
          </a:xfrm>
          <a:prstGeom prst="rect">
            <a:avLst/>
          </a:prstGeom>
          <a:noFill/>
          <a:ln w="9525">
            <a:noFill/>
            <a:miter lim="800000"/>
            <a:headEnd/>
            <a:tailEnd/>
          </a:ln>
        </xdr:spPr>
        <xdr:txBody>
          <a:bodyPr vertOverflow="clip" wrap="square" lIns="27432" tIns="22860" rIns="0" bIns="0" anchor="t" upright="1"/>
          <a:lstStyle/>
          <a:p>
            <a:pPr algn="l" rtl="0">
              <a:defRPr sz="1000"/>
            </a:pPr>
            <a:r>
              <a:rPr lang="el-GR" sz="1000" b="0" i="0" u="none" strike="noStrike" baseline="0">
                <a:solidFill>
                  <a:srgbClr val="000000"/>
                </a:solidFill>
                <a:latin typeface="Arial"/>
                <a:cs typeface="Arial"/>
              </a:rPr>
              <a:t>σ,</a:t>
            </a:r>
            <a:r>
              <a:rPr lang="fr-FR" sz="1000" b="0" i="0" u="none" strike="noStrike" baseline="0">
                <a:solidFill>
                  <a:srgbClr val="000000"/>
                </a:solidFill>
                <a:latin typeface="Arial"/>
                <a:cs typeface="Arial"/>
              </a:rPr>
              <a:t>My</a:t>
            </a:r>
          </a:p>
          <a:p>
            <a:pPr algn="l" rtl="0">
              <a:defRPr sz="1000"/>
            </a:pPr>
            <a:endParaRPr lang="fr-FR" sz="1000" b="0" i="0" u="none" strike="noStrike" baseline="0">
              <a:solidFill>
                <a:srgbClr val="000000"/>
              </a:solidFill>
              <a:latin typeface="Arial"/>
              <a:cs typeface="Arial"/>
            </a:endParaRPr>
          </a:p>
        </xdr:txBody>
      </xdr:sp>
      <xdr:sp macro="" textlink="">
        <xdr:nvSpPr>
          <xdr:cNvPr id="4278" name="Line 69">
            <a:extLst>
              <a:ext uri="{FF2B5EF4-FFF2-40B4-BE49-F238E27FC236}">
                <a16:creationId xmlns:a16="http://schemas.microsoft.com/office/drawing/2014/main" id="{00000000-0008-0000-0300-0000B6100000}"/>
              </a:ext>
            </a:extLst>
          </xdr:cNvPr>
          <xdr:cNvSpPr>
            <a:spLocks noChangeShapeType="1"/>
          </xdr:cNvSpPr>
        </xdr:nvSpPr>
        <xdr:spPr bwMode="auto">
          <a:xfrm flipV="1">
            <a:off x="3253" y="447"/>
            <a:ext cx="0" cy="18"/>
          </a:xfrm>
          <a:prstGeom prst="line">
            <a:avLst/>
          </a:prstGeom>
          <a:noFill/>
          <a:ln w="9525">
            <a:solidFill>
              <a:srgbClr val="000000"/>
            </a:solidFill>
            <a:round/>
            <a:headEnd/>
            <a:tailEnd type="triangle" w="sm" len="med"/>
          </a:ln>
        </xdr:spPr>
      </xdr:sp>
      <xdr:sp macro="" textlink="">
        <xdr:nvSpPr>
          <xdr:cNvPr id="4279" name="Line 70">
            <a:extLst>
              <a:ext uri="{FF2B5EF4-FFF2-40B4-BE49-F238E27FC236}">
                <a16:creationId xmlns:a16="http://schemas.microsoft.com/office/drawing/2014/main" id="{00000000-0008-0000-0300-0000B7100000}"/>
              </a:ext>
            </a:extLst>
          </xdr:cNvPr>
          <xdr:cNvSpPr>
            <a:spLocks noChangeShapeType="1"/>
          </xdr:cNvSpPr>
        </xdr:nvSpPr>
        <xdr:spPr bwMode="auto">
          <a:xfrm>
            <a:off x="3253" y="415"/>
            <a:ext cx="0" cy="22"/>
          </a:xfrm>
          <a:prstGeom prst="line">
            <a:avLst/>
          </a:prstGeom>
          <a:noFill/>
          <a:ln w="9525">
            <a:solidFill>
              <a:srgbClr val="000000"/>
            </a:solidFill>
            <a:round/>
            <a:headEnd/>
            <a:tailEnd type="triangle" w="sm" len="med"/>
          </a:ln>
        </xdr:spPr>
      </xdr:sp>
      <xdr:sp macro="" textlink="">
        <xdr:nvSpPr>
          <xdr:cNvPr id="4280" name="Line 71">
            <a:extLst>
              <a:ext uri="{FF2B5EF4-FFF2-40B4-BE49-F238E27FC236}">
                <a16:creationId xmlns:a16="http://schemas.microsoft.com/office/drawing/2014/main" id="{00000000-0008-0000-0300-0000B8100000}"/>
              </a:ext>
            </a:extLst>
          </xdr:cNvPr>
          <xdr:cNvSpPr>
            <a:spLocks noChangeShapeType="1"/>
          </xdr:cNvSpPr>
        </xdr:nvSpPr>
        <xdr:spPr bwMode="auto">
          <a:xfrm flipV="1">
            <a:off x="3253" y="436"/>
            <a:ext cx="0" cy="12"/>
          </a:xfrm>
          <a:prstGeom prst="line">
            <a:avLst/>
          </a:prstGeom>
          <a:noFill/>
          <a:ln w="6350">
            <a:solidFill>
              <a:srgbClr val="000000"/>
            </a:solidFill>
            <a:round/>
            <a:headEnd/>
            <a:tailEnd/>
          </a:ln>
        </xdr:spPr>
      </xdr:sp>
      <xdr:sp macro="" textlink="">
        <xdr:nvSpPr>
          <xdr:cNvPr id="4168" name="Text Box 72">
            <a:extLst>
              <a:ext uri="{FF2B5EF4-FFF2-40B4-BE49-F238E27FC236}">
                <a16:creationId xmlns:a16="http://schemas.microsoft.com/office/drawing/2014/main" id="{00000000-0008-0000-0300-000048100000}"/>
              </a:ext>
            </a:extLst>
          </xdr:cNvPr>
          <xdr:cNvSpPr txBox="1">
            <a:spLocks noChangeArrowheads="1"/>
          </xdr:cNvSpPr>
        </xdr:nvSpPr>
        <xdr:spPr bwMode="auto">
          <a:xfrm>
            <a:off x="3219" y="407"/>
            <a:ext cx="47" cy="19"/>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00"/>
                </a:solidFill>
                <a:latin typeface="Arial"/>
                <a:cs typeface="Arial"/>
              </a:rPr>
              <a:t>r + tf</a:t>
            </a:r>
          </a:p>
          <a:p>
            <a:pPr algn="l" rtl="0">
              <a:defRPr sz="1000"/>
            </a:pPr>
            <a:endParaRPr lang="fr-FR" sz="1000" b="0" i="0" u="none" strike="noStrike" baseline="0">
              <a:solidFill>
                <a:srgbClr val="000000"/>
              </a:solidFill>
              <a:latin typeface="Arial"/>
              <a:cs typeface="Arial"/>
            </a:endParaRPr>
          </a:p>
        </xdr:txBody>
      </xdr:sp>
    </xdr:grpSp>
    <xdr:clientData/>
  </xdr:twoCellAnchor>
  <xdr:twoCellAnchor>
    <xdr:from>
      <xdr:col>6</xdr:col>
      <xdr:colOff>1162050</xdr:colOff>
      <xdr:row>48</xdr:row>
      <xdr:rowOff>47625</xdr:rowOff>
    </xdr:from>
    <xdr:to>
      <xdr:col>9</xdr:col>
      <xdr:colOff>914400</xdr:colOff>
      <xdr:row>62</xdr:row>
      <xdr:rowOff>57150</xdr:rowOff>
    </xdr:to>
    <xdr:grpSp>
      <xdr:nvGrpSpPr>
        <xdr:cNvPr id="4223" name="Group 123">
          <a:extLst>
            <a:ext uri="{FF2B5EF4-FFF2-40B4-BE49-F238E27FC236}">
              <a16:creationId xmlns:a16="http://schemas.microsoft.com/office/drawing/2014/main" id="{00000000-0008-0000-0300-00007F100000}"/>
            </a:ext>
          </a:extLst>
        </xdr:cNvPr>
        <xdr:cNvGrpSpPr>
          <a:grpSpLocks/>
        </xdr:cNvGrpSpPr>
      </xdr:nvGrpSpPr>
      <xdr:grpSpPr bwMode="auto">
        <a:xfrm>
          <a:off x="7855697" y="7944037"/>
          <a:ext cx="2523938" cy="2317937"/>
          <a:chOff x="841" y="845"/>
          <a:chExt cx="259" cy="240"/>
        </a:xfrm>
      </xdr:grpSpPr>
      <xdr:sp macro="" textlink="">
        <xdr:nvSpPr>
          <xdr:cNvPr id="4264" name="AutoShape 74">
            <a:extLst>
              <a:ext uri="{FF2B5EF4-FFF2-40B4-BE49-F238E27FC236}">
                <a16:creationId xmlns:a16="http://schemas.microsoft.com/office/drawing/2014/main" id="{00000000-0008-0000-0300-0000A8100000}"/>
              </a:ext>
            </a:extLst>
          </xdr:cNvPr>
          <xdr:cNvSpPr>
            <a:spLocks noChangeArrowheads="1"/>
          </xdr:cNvSpPr>
        </xdr:nvSpPr>
        <xdr:spPr bwMode="auto">
          <a:xfrm flipV="1">
            <a:off x="884" y="907"/>
            <a:ext cx="39" cy="60"/>
          </a:xfrm>
          <a:prstGeom prst="rtTriangle">
            <a:avLst/>
          </a:prstGeom>
          <a:solidFill>
            <a:srgbClr val="FFFFFF"/>
          </a:solidFill>
          <a:ln w="9525">
            <a:solidFill>
              <a:srgbClr val="000000"/>
            </a:solidFill>
            <a:miter lim="800000"/>
            <a:headEnd/>
            <a:tailEnd/>
          </a:ln>
        </xdr:spPr>
      </xdr:sp>
      <xdr:sp macro="" textlink="">
        <xdr:nvSpPr>
          <xdr:cNvPr id="4265" name="AutoShape 75">
            <a:extLst>
              <a:ext uri="{FF2B5EF4-FFF2-40B4-BE49-F238E27FC236}">
                <a16:creationId xmlns:a16="http://schemas.microsoft.com/office/drawing/2014/main" id="{00000000-0008-0000-0300-0000A9100000}"/>
              </a:ext>
            </a:extLst>
          </xdr:cNvPr>
          <xdr:cNvSpPr>
            <a:spLocks noChangeArrowheads="1"/>
          </xdr:cNvSpPr>
        </xdr:nvSpPr>
        <xdr:spPr bwMode="auto">
          <a:xfrm flipH="1">
            <a:off x="841" y="966"/>
            <a:ext cx="43" cy="61"/>
          </a:xfrm>
          <a:prstGeom prst="rtTriangle">
            <a:avLst/>
          </a:prstGeom>
          <a:solidFill>
            <a:srgbClr val="FFFFFF"/>
          </a:solidFill>
          <a:ln w="9525">
            <a:solidFill>
              <a:srgbClr val="000000"/>
            </a:solidFill>
            <a:miter lim="800000"/>
            <a:headEnd/>
            <a:tailEnd/>
          </a:ln>
        </xdr:spPr>
      </xdr:sp>
      <xdr:pic>
        <xdr:nvPicPr>
          <xdr:cNvPr id="4266" name="Picture 76" descr="profil2">
            <a:extLst>
              <a:ext uri="{FF2B5EF4-FFF2-40B4-BE49-F238E27FC236}">
                <a16:creationId xmlns:a16="http://schemas.microsoft.com/office/drawing/2014/main" id="{00000000-0008-0000-0300-0000AA100000}"/>
              </a:ext>
            </a:extLst>
          </xdr:cNvPr>
          <xdr:cNvPicPr>
            <a:picLocks noChangeAspect="1" noChangeArrowheads="1"/>
          </xdr:cNvPicPr>
        </xdr:nvPicPr>
        <xdr:blipFill>
          <a:blip xmlns:r="http://schemas.openxmlformats.org/officeDocument/2006/relationships" r:embed="rId2" cstate="print"/>
          <a:srcRect l="5859" r="38867"/>
          <a:stretch>
            <a:fillRect/>
          </a:stretch>
        </xdr:blipFill>
        <xdr:spPr bwMode="auto">
          <a:xfrm>
            <a:off x="958" y="849"/>
            <a:ext cx="113" cy="236"/>
          </a:xfrm>
          <a:prstGeom prst="rect">
            <a:avLst/>
          </a:prstGeom>
          <a:noFill/>
          <a:ln w="9525">
            <a:noFill/>
            <a:miter lim="800000"/>
            <a:headEnd/>
            <a:tailEnd/>
          </a:ln>
        </xdr:spPr>
      </xdr:pic>
      <xdr:sp macro="" textlink="">
        <xdr:nvSpPr>
          <xdr:cNvPr id="4267" name="Line 77">
            <a:extLst>
              <a:ext uri="{FF2B5EF4-FFF2-40B4-BE49-F238E27FC236}">
                <a16:creationId xmlns:a16="http://schemas.microsoft.com/office/drawing/2014/main" id="{00000000-0008-0000-0300-0000AB100000}"/>
              </a:ext>
            </a:extLst>
          </xdr:cNvPr>
          <xdr:cNvSpPr>
            <a:spLocks noChangeShapeType="1"/>
          </xdr:cNvSpPr>
        </xdr:nvSpPr>
        <xdr:spPr bwMode="auto">
          <a:xfrm flipH="1">
            <a:off x="869" y="907"/>
            <a:ext cx="118" cy="0"/>
          </a:xfrm>
          <a:prstGeom prst="line">
            <a:avLst/>
          </a:prstGeom>
          <a:noFill/>
          <a:ln w="12700">
            <a:solidFill>
              <a:srgbClr val="FF0000"/>
            </a:solidFill>
            <a:prstDash val="dashDot"/>
            <a:round/>
            <a:headEnd/>
            <a:tailEnd/>
          </a:ln>
        </xdr:spPr>
      </xdr:sp>
      <xdr:sp macro="" textlink="">
        <xdr:nvSpPr>
          <xdr:cNvPr id="4174" name="Text Box 78">
            <a:extLst>
              <a:ext uri="{FF2B5EF4-FFF2-40B4-BE49-F238E27FC236}">
                <a16:creationId xmlns:a16="http://schemas.microsoft.com/office/drawing/2014/main" id="{00000000-0008-0000-0300-00004E100000}"/>
              </a:ext>
            </a:extLst>
          </xdr:cNvPr>
          <xdr:cNvSpPr txBox="1">
            <a:spLocks noChangeArrowheads="1"/>
          </xdr:cNvSpPr>
        </xdr:nvSpPr>
        <xdr:spPr bwMode="auto">
          <a:xfrm>
            <a:off x="842" y="901"/>
            <a:ext cx="28" cy="20"/>
          </a:xfrm>
          <a:prstGeom prst="rect">
            <a:avLst/>
          </a:prstGeom>
          <a:noFill/>
          <a:ln w="9525">
            <a:solidFill>
              <a:srgbClr val="FF0000"/>
            </a:solidFill>
            <a:miter lim="800000"/>
            <a:headEnd/>
            <a:tailEnd/>
          </a:ln>
        </xdr:spPr>
        <xdr:txBody>
          <a:bodyPr vertOverflow="clip" wrap="square" lIns="27432" tIns="22860" rIns="0" bIns="0" anchor="t" upright="1"/>
          <a:lstStyle/>
          <a:p>
            <a:pPr algn="l" rtl="0">
              <a:defRPr sz="1000"/>
            </a:pPr>
            <a:r>
              <a:rPr lang="el-GR" sz="1000" b="0" i="0" u="none" strike="noStrike" baseline="0">
                <a:solidFill>
                  <a:srgbClr val="000000"/>
                </a:solidFill>
                <a:latin typeface="Arial"/>
                <a:cs typeface="Arial"/>
              </a:rPr>
              <a:t>σ,</a:t>
            </a:r>
            <a:r>
              <a:rPr lang="fr-FR" sz="1000" b="0" i="0" u="none" strike="noStrike" baseline="0">
                <a:solidFill>
                  <a:srgbClr val="000000"/>
                </a:solidFill>
                <a:latin typeface="Arial"/>
                <a:cs typeface="Arial"/>
              </a:rPr>
              <a:t>My</a:t>
            </a:r>
          </a:p>
          <a:p>
            <a:pPr algn="l" rtl="0">
              <a:defRPr sz="1000"/>
            </a:pPr>
            <a:endParaRPr lang="fr-FR" sz="1000" b="0" i="0" u="none" strike="noStrike" baseline="0">
              <a:solidFill>
                <a:srgbClr val="000000"/>
              </a:solidFill>
              <a:latin typeface="Arial"/>
              <a:cs typeface="Arial"/>
            </a:endParaRPr>
          </a:p>
        </xdr:txBody>
      </xdr:sp>
      <xdr:sp macro="" textlink="">
        <xdr:nvSpPr>
          <xdr:cNvPr id="4269" name="Line 79">
            <a:extLst>
              <a:ext uri="{FF2B5EF4-FFF2-40B4-BE49-F238E27FC236}">
                <a16:creationId xmlns:a16="http://schemas.microsoft.com/office/drawing/2014/main" id="{00000000-0008-0000-0300-0000AD100000}"/>
              </a:ext>
            </a:extLst>
          </xdr:cNvPr>
          <xdr:cNvSpPr>
            <a:spLocks noChangeShapeType="1"/>
          </xdr:cNvSpPr>
        </xdr:nvSpPr>
        <xdr:spPr bwMode="auto">
          <a:xfrm flipV="1">
            <a:off x="1016" y="864"/>
            <a:ext cx="0" cy="50"/>
          </a:xfrm>
          <a:prstGeom prst="line">
            <a:avLst/>
          </a:prstGeom>
          <a:noFill/>
          <a:ln w="12700">
            <a:solidFill>
              <a:srgbClr val="3366FF"/>
            </a:solidFill>
            <a:prstDash val="dashDot"/>
            <a:round/>
            <a:headEnd/>
            <a:tailEnd/>
          </a:ln>
        </xdr:spPr>
      </xdr:sp>
      <xdr:sp macro="" textlink="">
        <xdr:nvSpPr>
          <xdr:cNvPr id="4270" name="Line 80">
            <a:extLst>
              <a:ext uri="{FF2B5EF4-FFF2-40B4-BE49-F238E27FC236}">
                <a16:creationId xmlns:a16="http://schemas.microsoft.com/office/drawing/2014/main" id="{00000000-0008-0000-0300-0000AE100000}"/>
              </a:ext>
            </a:extLst>
          </xdr:cNvPr>
          <xdr:cNvSpPr>
            <a:spLocks noChangeShapeType="1"/>
          </xdr:cNvSpPr>
        </xdr:nvSpPr>
        <xdr:spPr bwMode="auto">
          <a:xfrm flipV="1">
            <a:off x="1030" y="865"/>
            <a:ext cx="0" cy="50"/>
          </a:xfrm>
          <a:prstGeom prst="line">
            <a:avLst/>
          </a:prstGeom>
          <a:noFill/>
          <a:ln w="12700">
            <a:solidFill>
              <a:srgbClr val="00FF00"/>
            </a:solidFill>
            <a:prstDash val="dashDot"/>
            <a:round/>
            <a:headEnd/>
            <a:tailEnd/>
          </a:ln>
        </xdr:spPr>
      </xdr:sp>
      <xdr:sp macro="" textlink="">
        <xdr:nvSpPr>
          <xdr:cNvPr id="4177" name="Text Box 81">
            <a:extLst>
              <a:ext uri="{FF2B5EF4-FFF2-40B4-BE49-F238E27FC236}">
                <a16:creationId xmlns:a16="http://schemas.microsoft.com/office/drawing/2014/main" id="{00000000-0008-0000-0300-000051100000}"/>
              </a:ext>
            </a:extLst>
          </xdr:cNvPr>
          <xdr:cNvSpPr txBox="1">
            <a:spLocks noChangeArrowheads="1"/>
          </xdr:cNvSpPr>
        </xdr:nvSpPr>
        <xdr:spPr bwMode="auto">
          <a:xfrm>
            <a:off x="964" y="845"/>
            <a:ext cx="63" cy="20"/>
          </a:xfrm>
          <a:prstGeom prst="rect">
            <a:avLst/>
          </a:prstGeom>
          <a:noFill/>
          <a:ln w="9525">
            <a:solidFill>
              <a:srgbClr val="3366FF"/>
            </a:solidFill>
            <a:miter lim="800000"/>
            <a:headEnd/>
            <a:tailEnd/>
          </a:ln>
        </xdr:spPr>
        <xdr:txBody>
          <a:bodyPr vertOverflow="clip" wrap="square" lIns="27432" tIns="22860" rIns="0" bIns="0" anchor="t" upright="1"/>
          <a:lstStyle/>
          <a:p>
            <a:pPr algn="l" rtl="0">
              <a:defRPr sz="1000"/>
            </a:pPr>
            <a:r>
              <a:rPr lang="el-GR" sz="1000" b="0" i="0" u="none" strike="noStrike" baseline="0">
                <a:solidFill>
                  <a:srgbClr val="000000"/>
                </a:solidFill>
                <a:latin typeface="Arial"/>
                <a:cs typeface="Arial"/>
              </a:rPr>
              <a:t>σ,</a:t>
            </a:r>
            <a:r>
              <a:rPr lang="fr-FR" sz="1000" b="0" i="0" u="none" strike="noStrike" baseline="0">
                <a:solidFill>
                  <a:srgbClr val="000000"/>
                </a:solidFill>
                <a:latin typeface="Arial"/>
                <a:cs typeface="Arial"/>
              </a:rPr>
              <a:t>Mz,min</a:t>
            </a:r>
          </a:p>
          <a:p>
            <a:pPr algn="l" rtl="0">
              <a:defRPr sz="1000"/>
            </a:pPr>
            <a:endParaRPr lang="fr-FR" sz="1000" b="0" i="0" u="none" strike="noStrike" baseline="0">
              <a:solidFill>
                <a:srgbClr val="000000"/>
              </a:solidFill>
              <a:latin typeface="Arial"/>
              <a:cs typeface="Arial"/>
            </a:endParaRPr>
          </a:p>
        </xdr:txBody>
      </xdr:sp>
      <xdr:sp macro="" textlink="">
        <xdr:nvSpPr>
          <xdr:cNvPr id="4178" name="Text Box 82">
            <a:extLst>
              <a:ext uri="{FF2B5EF4-FFF2-40B4-BE49-F238E27FC236}">
                <a16:creationId xmlns:a16="http://schemas.microsoft.com/office/drawing/2014/main" id="{00000000-0008-0000-0300-000052100000}"/>
              </a:ext>
            </a:extLst>
          </xdr:cNvPr>
          <xdr:cNvSpPr txBox="1">
            <a:spLocks noChangeArrowheads="1"/>
          </xdr:cNvSpPr>
        </xdr:nvSpPr>
        <xdr:spPr bwMode="auto">
          <a:xfrm>
            <a:off x="1029" y="845"/>
            <a:ext cx="71" cy="21"/>
          </a:xfrm>
          <a:prstGeom prst="rect">
            <a:avLst/>
          </a:prstGeom>
          <a:noFill/>
          <a:ln w="9525">
            <a:solidFill>
              <a:srgbClr val="00FF00"/>
            </a:solidFill>
            <a:miter lim="800000"/>
            <a:headEnd/>
            <a:tailEnd/>
          </a:ln>
        </xdr:spPr>
        <xdr:txBody>
          <a:bodyPr vertOverflow="clip" wrap="square" lIns="27432" tIns="22860" rIns="0" bIns="0" anchor="t" upright="1"/>
          <a:lstStyle/>
          <a:p>
            <a:pPr algn="l" rtl="0">
              <a:defRPr sz="1000"/>
            </a:pPr>
            <a:r>
              <a:rPr lang="el-GR" sz="1000" b="0" i="0" u="none" strike="noStrike" baseline="0">
                <a:solidFill>
                  <a:srgbClr val="000000"/>
                </a:solidFill>
                <a:latin typeface="Arial"/>
                <a:cs typeface="Arial"/>
              </a:rPr>
              <a:t>σ,</a:t>
            </a:r>
            <a:r>
              <a:rPr lang="fr-FR" sz="1000" b="0" i="0" u="none" strike="noStrike" baseline="0">
                <a:solidFill>
                  <a:srgbClr val="000000"/>
                </a:solidFill>
                <a:latin typeface="Arial"/>
                <a:cs typeface="Arial"/>
              </a:rPr>
              <a:t>Mz,max</a:t>
            </a:r>
          </a:p>
          <a:p>
            <a:pPr algn="l" rtl="0">
              <a:defRPr sz="1000"/>
            </a:pPr>
            <a:endParaRPr lang="fr-FR" sz="1000" b="0" i="0" u="none" strike="noStrike" baseline="0">
              <a:solidFill>
                <a:srgbClr val="000000"/>
              </a:solidFill>
              <a:latin typeface="Arial"/>
              <a:cs typeface="Arial"/>
            </a:endParaRPr>
          </a:p>
        </xdr:txBody>
      </xdr:sp>
    </xdr:grpSp>
    <xdr:clientData/>
  </xdr:twoCellAnchor>
  <xdr:twoCellAnchor>
    <xdr:from>
      <xdr:col>1</xdr:col>
      <xdr:colOff>0</xdr:colOff>
      <xdr:row>30</xdr:row>
      <xdr:rowOff>57150</xdr:rowOff>
    </xdr:from>
    <xdr:to>
      <xdr:col>1</xdr:col>
      <xdr:colOff>723900</xdr:colOff>
      <xdr:row>32</xdr:row>
      <xdr:rowOff>142875</xdr:rowOff>
    </xdr:to>
    <xdr:pic>
      <xdr:nvPicPr>
        <xdr:cNvPr id="4224" name="Picture 83">
          <a:extLst>
            <a:ext uri="{FF2B5EF4-FFF2-40B4-BE49-F238E27FC236}">
              <a16:creationId xmlns:a16="http://schemas.microsoft.com/office/drawing/2014/main" id="{00000000-0008-0000-0300-0000801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95275" y="5086350"/>
          <a:ext cx="723900" cy="409575"/>
        </a:xfrm>
        <a:prstGeom prst="rect">
          <a:avLst/>
        </a:prstGeom>
        <a:noFill/>
        <a:ln w="9525">
          <a:noFill/>
          <a:miter lim="800000"/>
          <a:headEnd/>
          <a:tailEnd/>
        </a:ln>
      </xdr:spPr>
    </xdr:pic>
    <xdr:clientData/>
  </xdr:twoCellAnchor>
  <xdr:twoCellAnchor>
    <xdr:from>
      <xdr:col>1</xdr:col>
      <xdr:colOff>19050</xdr:colOff>
      <xdr:row>60</xdr:row>
      <xdr:rowOff>47625</xdr:rowOff>
    </xdr:from>
    <xdr:to>
      <xdr:col>2</xdr:col>
      <xdr:colOff>304800</xdr:colOff>
      <xdr:row>62</xdr:row>
      <xdr:rowOff>114300</xdr:rowOff>
    </xdr:to>
    <xdr:pic>
      <xdr:nvPicPr>
        <xdr:cNvPr id="4225" name="Picture 84">
          <a:extLst>
            <a:ext uri="{FF2B5EF4-FFF2-40B4-BE49-F238E27FC236}">
              <a16:creationId xmlns:a16="http://schemas.microsoft.com/office/drawing/2014/main" id="{00000000-0008-0000-0300-0000811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14325" y="10001250"/>
          <a:ext cx="1209675" cy="390525"/>
        </a:xfrm>
        <a:prstGeom prst="rect">
          <a:avLst/>
        </a:prstGeom>
        <a:noFill/>
        <a:ln w="9525">
          <a:noFill/>
          <a:miter lim="800000"/>
          <a:headEnd/>
          <a:tailEnd/>
        </a:ln>
      </xdr:spPr>
    </xdr:pic>
    <xdr:clientData/>
  </xdr:twoCellAnchor>
  <xdr:twoCellAnchor>
    <xdr:from>
      <xdr:col>1</xdr:col>
      <xdr:colOff>0</xdr:colOff>
      <xdr:row>57</xdr:row>
      <xdr:rowOff>57150</xdr:rowOff>
    </xdr:from>
    <xdr:to>
      <xdr:col>1</xdr:col>
      <xdr:colOff>723900</xdr:colOff>
      <xdr:row>59</xdr:row>
      <xdr:rowOff>142875</xdr:rowOff>
    </xdr:to>
    <xdr:pic>
      <xdr:nvPicPr>
        <xdr:cNvPr id="4226" name="Picture 85">
          <a:extLst>
            <a:ext uri="{FF2B5EF4-FFF2-40B4-BE49-F238E27FC236}">
              <a16:creationId xmlns:a16="http://schemas.microsoft.com/office/drawing/2014/main" id="{00000000-0008-0000-0300-0000821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95275" y="9525000"/>
          <a:ext cx="723900" cy="409575"/>
        </a:xfrm>
        <a:prstGeom prst="rect">
          <a:avLst/>
        </a:prstGeom>
        <a:noFill/>
        <a:ln w="9525">
          <a:noFill/>
          <a:miter lim="800000"/>
          <a:headEnd/>
          <a:tailEnd/>
        </a:ln>
      </xdr:spPr>
    </xdr:pic>
    <xdr:clientData/>
  </xdr:twoCellAnchor>
  <xdr:twoCellAnchor>
    <xdr:from>
      <xdr:col>1</xdr:col>
      <xdr:colOff>19050</xdr:colOff>
      <xdr:row>95</xdr:row>
      <xdr:rowOff>47625</xdr:rowOff>
    </xdr:from>
    <xdr:to>
      <xdr:col>2</xdr:col>
      <xdr:colOff>304800</xdr:colOff>
      <xdr:row>97</xdr:row>
      <xdr:rowOff>114300</xdr:rowOff>
    </xdr:to>
    <xdr:pic>
      <xdr:nvPicPr>
        <xdr:cNvPr id="4227" name="Picture 86">
          <a:extLst>
            <a:ext uri="{FF2B5EF4-FFF2-40B4-BE49-F238E27FC236}">
              <a16:creationId xmlns:a16="http://schemas.microsoft.com/office/drawing/2014/main" id="{00000000-0008-0000-0300-0000831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14325" y="15763875"/>
          <a:ext cx="1209675" cy="390525"/>
        </a:xfrm>
        <a:prstGeom prst="rect">
          <a:avLst/>
        </a:prstGeom>
        <a:noFill/>
        <a:ln w="9525">
          <a:noFill/>
          <a:miter lim="800000"/>
          <a:headEnd/>
          <a:tailEnd/>
        </a:ln>
      </xdr:spPr>
    </xdr:pic>
    <xdr:clientData/>
  </xdr:twoCellAnchor>
  <xdr:twoCellAnchor>
    <xdr:from>
      <xdr:col>1</xdr:col>
      <xdr:colOff>0</xdr:colOff>
      <xdr:row>92</xdr:row>
      <xdr:rowOff>57150</xdr:rowOff>
    </xdr:from>
    <xdr:to>
      <xdr:col>1</xdr:col>
      <xdr:colOff>723900</xdr:colOff>
      <xdr:row>94</xdr:row>
      <xdr:rowOff>142875</xdr:rowOff>
    </xdr:to>
    <xdr:pic>
      <xdr:nvPicPr>
        <xdr:cNvPr id="4228" name="Picture 87">
          <a:extLst>
            <a:ext uri="{FF2B5EF4-FFF2-40B4-BE49-F238E27FC236}">
              <a16:creationId xmlns:a16="http://schemas.microsoft.com/office/drawing/2014/main" id="{00000000-0008-0000-0300-0000841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95275" y="15287625"/>
          <a:ext cx="723900" cy="409575"/>
        </a:xfrm>
        <a:prstGeom prst="rect">
          <a:avLst/>
        </a:prstGeom>
        <a:noFill/>
        <a:ln w="9525">
          <a:noFill/>
          <a:miter lim="800000"/>
          <a:headEnd/>
          <a:tailEnd/>
        </a:ln>
      </xdr:spPr>
    </xdr:pic>
    <xdr:clientData/>
  </xdr:twoCellAnchor>
  <xdr:twoCellAnchor>
    <xdr:from>
      <xdr:col>8</xdr:col>
      <xdr:colOff>133350</xdr:colOff>
      <xdr:row>81</xdr:row>
      <xdr:rowOff>133350</xdr:rowOff>
    </xdr:from>
    <xdr:to>
      <xdr:col>10</xdr:col>
      <xdr:colOff>161925</xdr:colOff>
      <xdr:row>95</xdr:row>
      <xdr:rowOff>28575</xdr:rowOff>
    </xdr:to>
    <xdr:grpSp>
      <xdr:nvGrpSpPr>
        <xdr:cNvPr id="4229" name="Group 88">
          <a:extLst>
            <a:ext uri="{FF2B5EF4-FFF2-40B4-BE49-F238E27FC236}">
              <a16:creationId xmlns:a16="http://schemas.microsoft.com/office/drawing/2014/main" id="{00000000-0008-0000-0300-000085100000}"/>
            </a:ext>
          </a:extLst>
        </xdr:cNvPr>
        <xdr:cNvGrpSpPr>
          <a:grpSpLocks/>
        </xdr:cNvGrpSpPr>
      </xdr:nvGrpSpPr>
      <xdr:grpSpPr bwMode="auto">
        <a:xfrm>
          <a:off x="8836585" y="13445938"/>
          <a:ext cx="1896222" cy="2113990"/>
          <a:chOff x="3173" y="1490"/>
          <a:chExt cx="259" cy="229"/>
        </a:xfrm>
      </xdr:grpSpPr>
      <xdr:pic>
        <xdr:nvPicPr>
          <xdr:cNvPr id="4249" name="Picture 89">
            <a:extLst>
              <a:ext uri="{FF2B5EF4-FFF2-40B4-BE49-F238E27FC236}">
                <a16:creationId xmlns:a16="http://schemas.microsoft.com/office/drawing/2014/main" id="{00000000-0008-0000-0300-000099100000}"/>
              </a:ext>
            </a:extLst>
          </xdr:cNvPr>
          <xdr:cNvPicPr>
            <a:picLocks noChangeAspect="1" noChangeArrowheads="1"/>
          </xdr:cNvPicPr>
        </xdr:nvPicPr>
        <xdr:blipFill>
          <a:blip xmlns:r="http://schemas.openxmlformats.org/officeDocument/2006/relationships" r:embed="rId4" cstate="print"/>
          <a:srcRect/>
          <a:stretch>
            <a:fillRect/>
          </a:stretch>
        </xdr:blipFill>
        <xdr:spPr bwMode="auto">
          <a:xfrm>
            <a:off x="3311" y="1511"/>
            <a:ext cx="101" cy="149"/>
          </a:xfrm>
          <a:prstGeom prst="rect">
            <a:avLst/>
          </a:prstGeom>
          <a:noFill/>
          <a:ln w="9525">
            <a:noFill/>
            <a:miter lim="800000"/>
            <a:headEnd/>
            <a:tailEnd/>
          </a:ln>
        </xdr:spPr>
      </xdr:pic>
      <xdr:sp macro="" textlink="">
        <xdr:nvSpPr>
          <xdr:cNvPr id="4250" name="AutoShape 90">
            <a:extLst>
              <a:ext uri="{FF2B5EF4-FFF2-40B4-BE49-F238E27FC236}">
                <a16:creationId xmlns:a16="http://schemas.microsoft.com/office/drawing/2014/main" id="{00000000-0008-0000-0300-00009A100000}"/>
              </a:ext>
            </a:extLst>
          </xdr:cNvPr>
          <xdr:cNvSpPr>
            <a:spLocks noChangeArrowheads="1"/>
          </xdr:cNvSpPr>
        </xdr:nvSpPr>
        <xdr:spPr bwMode="auto">
          <a:xfrm flipV="1">
            <a:off x="3235" y="1517"/>
            <a:ext cx="56" cy="60"/>
          </a:xfrm>
          <a:prstGeom prst="rtTriangle">
            <a:avLst/>
          </a:prstGeom>
          <a:solidFill>
            <a:srgbClr val="FFFFFF"/>
          </a:solidFill>
          <a:ln w="9525">
            <a:solidFill>
              <a:srgbClr val="000000"/>
            </a:solidFill>
            <a:miter lim="800000"/>
            <a:headEnd/>
            <a:tailEnd/>
          </a:ln>
        </xdr:spPr>
      </xdr:sp>
      <xdr:sp macro="" textlink="">
        <xdr:nvSpPr>
          <xdr:cNvPr id="4251" name="AutoShape 91">
            <a:extLst>
              <a:ext uri="{FF2B5EF4-FFF2-40B4-BE49-F238E27FC236}">
                <a16:creationId xmlns:a16="http://schemas.microsoft.com/office/drawing/2014/main" id="{00000000-0008-0000-0300-00009B100000}"/>
              </a:ext>
            </a:extLst>
          </xdr:cNvPr>
          <xdr:cNvSpPr>
            <a:spLocks noChangeArrowheads="1"/>
          </xdr:cNvSpPr>
        </xdr:nvSpPr>
        <xdr:spPr bwMode="auto">
          <a:xfrm flipH="1">
            <a:off x="3173" y="1578"/>
            <a:ext cx="62" cy="61"/>
          </a:xfrm>
          <a:prstGeom prst="rtTriangle">
            <a:avLst/>
          </a:prstGeom>
          <a:solidFill>
            <a:srgbClr val="FFFFFF"/>
          </a:solidFill>
          <a:ln w="9525">
            <a:solidFill>
              <a:srgbClr val="000000"/>
            </a:solidFill>
            <a:miter lim="800000"/>
            <a:headEnd/>
            <a:tailEnd/>
          </a:ln>
        </xdr:spPr>
      </xdr:sp>
      <xdr:sp macro="" textlink="">
        <xdr:nvSpPr>
          <xdr:cNvPr id="4252" name="Line 92">
            <a:extLst>
              <a:ext uri="{FF2B5EF4-FFF2-40B4-BE49-F238E27FC236}">
                <a16:creationId xmlns:a16="http://schemas.microsoft.com/office/drawing/2014/main" id="{00000000-0008-0000-0300-00009C100000}"/>
              </a:ext>
            </a:extLst>
          </xdr:cNvPr>
          <xdr:cNvSpPr>
            <a:spLocks noChangeShapeType="1"/>
          </xdr:cNvSpPr>
        </xdr:nvSpPr>
        <xdr:spPr bwMode="auto">
          <a:xfrm flipH="1">
            <a:off x="3212" y="1522"/>
            <a:ext cx="187" cy="0"/>
          </a:xfrm>
          <a:prstGeom prst="line">
            <a:avLst/>
          </a:prstGeom>
          <a:noFill/>
          <a:ln w="12700">
            <a:solidFill>
              <a:srgbClr val="FF0000"/>
            </a:solidFill>
            <a:prstDash val="dashDot"/>
            <a:round/>
            <a:headEnd/>
            <a:tailEnd/>
          </a:ln>
        </xdr:spPr>
      </xdr:sp>
      <xdr:sp macro="" textlink="">
        <xdr:nvSpPr>
          <xdr:cNvPr id="4189" name="Text Box 93">
            <a:extLst>
              <a:ext uri="{FF2B5EF4-FFF2-40B4-BE49-F238E27FC236}">
                <a16:creationId xmlns:a16="http://schemas.microsoft.com/office/drawing/2014/main" id="{00000000-0008-0000-0300-00005D100000}"/>
              </a:ext>
            </a:extLst>
          </xdr:cNvPr>
          <xdr:cNvSpPr txBox="1">
            <a:spLocks noChangeArrowheads="1"/>
          </xdr:cNvSpPr>
        </xdr:nvSpPr>
        <xdr:spPr bwMode="auto">
          <a:xfrm>
            <a:off x="3178" y="1512"/>
            <a:ext cx="40" cy="20"/>
          </a:xfrm>
          <a:prstGeom prst="rect">
            <a:avLst/>
          </a:prstGeom>
          <a:noFill/>
          <a:ln w="9525">
            <a:noFill/>
            <a:miter lim="800000"/>
            <a:headEnd/>
            <a:tailEnd/>
          </a:ln>
        </xdr:spPr>
        <xdr:txBody>
          <a:bodyPr vertOverflow="clip" wrap="square" lIns="27432" tIns="22860" rIns="0" bIns="0" anchor="t" upright="1"/>
          <a:lstStyle/>
          <a:p>
            <a:pPr algn="l" rtl="0">
              <a:defRPr sz="1000"/>
            </a:pPr>
            <a:r>
              <a:rPr lang="el-GR" sz="1000" b="0" i="0" u="none" strike="noStrike" baseline="0">
                <a:solidFill>
                  <a:srgbClr val="000000"/>
                </a:solidFill>
                <a:latin typeface="Arial"/>
                <a:cs typeface="Arial"/>
              </a:rPr>
              <a:t>σ,</a:t>
            </a:r>
            <a:r>
              <a:rPr lang="fr-FR" sz="1000" b="0" i="0" u="none" strike="noStrike" baseline="0">
                <a:solidFill>
                  <a:srgbClr val="000000"/>
                </a:solidFill>
                <a:latin typeface="Arial"/>
                <a:cs typeface="Arial"/>
              </a:rPr>
              <a:t>My</a:t>
            </a:r>
          </a:p>
          <a:p>
            <a:pPr algn="l" rtl="0">
              <a:defRPr sz="1000"/>
            </a:pPr>
            <a:endParaRPr lang="fr-FR" sz="1000" b="0" i="0" u="none" strike="noStrike" baseline="0">
              <a:solidFill>
                <a:srgbClr val="000000"/>
              </a:solidFill>
              <a:latin typeface="Arial"/>
              <a:cs typeface="Arial"/>
            </a:endParaRPr>
          </a:p>
        </xdr:txBody>
      </xdr:sp>
      <xdr:sp macro="" textlink="">
        <xdr:nvSpPr>
          <xdr:cNvPr id="4254" name="Line 94">
            <a:extLst>
              <a:ext uri="{FF2B5EF4-FFF2-40B4-BE49-F238E27FC236}">
                <a16:creationId xmlns:a16="http://schemas.microsoft.com/office/drawing/2014/main" id="{00000000-0008-0000-0300-00009E100000}"/>
              </a:ext>
            </a:extLst>
          </xdr:cNvPr>
          <xdr:cNvSpPr>
            <a:spLocks noChangeShapeType="1"/>
          </xdr:cNvSpPr>
        </xdr:nvSpPr>
        <xdr:spPr bwMode="auto">
          <a:xfrm flipV="1">
            <a:off x="3377" y="1521"/>
            <a:ext cx="0" cy="18"/>
          </a:xfrm>
          <a:prstGeom prst="line">
            <a:avLst/>
          </a:prstGeom>
          <a:noFill/>
          <a:ln w="9525">
            <a:solidFill>
              <a:srgbClr val="000000"/>
            </a:solidFill>
            <a:round/>
            <a:headEnd/>
            <a:tailEnd type="triangle" w="sm" len="med"/>
          </a:ln>
        </xdr:spPr>
      </xdr:sp>
      <xdr:sp macro="" textlink="">
        <xdr:nvSpPr>
          <xdr:cNvPr id="4255" name="Line 95">
            <a:extLst>
              <a:ext uri="{FF2B5EF4-FFF2-40B4-BE49-F238E27FC236}">
                <a16:creationId xmlns:a16="http://schemas.microsoft.com/office/drawing/2014/main" id="{00000000-0008-0000-0300-00009F100000}"/>
              </a:ext>
            </a:extLst>
          </xdr:cNvPr>
          <xdr:cNvSpPr>
            <a:spLocks noChangeShapeType="1"/>
          </xdr:cNvSpPr>
        </xdr:nvSpPr>
        <xdr:spPr bwMode="auto">
          <a:xfrm>
            <a:off x="3377" y="1493"/>
            <a:ext cx="0" cy="23"/>
          </a:xfrm>
          <a:prstGeom prst="line">
            <a:avLst/>
          </a:prstGeom>
          <a:noFill/>
          <a:ln w="9525">
            <a:solidFill>
              <a:srgbClr val="000000"/>
            </a:solidFill>
            <a:round/>
            <a:headEnd/>
            <a:tailEnd type="triangle" w="sm" len="med"/>
          </a:ln>
        </xdr:spPr>
      </xdr:sp>
      <xdr:sp macro="" textlink="">
        <xdr:nvSpPr>
          <xdr:cNvPr id="4256" name="Line 96">
            <a:extLst>
              <a:ext uri="{FF2B5EF4-FFF2-40B4-BE49-F238E27FC236}">
                <a16:creationId xmlns:a16="http://schemas.microsoft.com/office/drawing/2014/main" id="{00000000-0008-0000-0300-0000A0100000}"/>
              </a:ext>
            </a:extLst>
          </xdr:cNvPr>
          <xdr:cNvSpPr>
            <a:spLocks noChangeShapeType="1"/>
          </xdr:cNvSpPr>
        </xdr:nvSpPr>
        <xdr:spPr bwMode="auto">
          <a:xfrm flipV="1">
            <a:off x="3377" y="1514"/>
            <a:ext cx="0" cy="12"/>
          </a:xfrm>
          <a:prstGeom prst="line">
            <a:avLst/>
          </a:prstGeom>
          <a:noFill/>
          <a:ln w="6350">
            <a:solidFill>
              <a:srgbClr val="000000"/>
            </a:solidFill>
            <a:round/>
            <a:headEnd/>
            <a:tailEnd/>
          </a:ln>
        </xdr:spPr>
      </xdr:sp>
      <xdr:sp macro="" textlink="">
        <xdr:nvSpPr>
          <xdr:cNvPr id="4193" name="Text Box 97">
            <a:extLst>
              <a:ext uri="{FF2B5EF4-FFF2-40B4-BE49-F238E27FC236}">
                <a16:creationId xmlns:a16="http://schemas.microsoft.com/office/drawing/2014/main" id="{00000000-0008-0000-0300-000061100000}"/>
              </a:ext>
            </a:extLst>
          </xdr:cNvPr>
          <xdr:cNvSpPr txBox="1">
            <a:spLocks noChangeArrowheads="1"/>
          </xdr:cNvSpPr>
        </xdr:nvSpPr>
        <xdr:spPr bwMode="auto">
          <a:xfrm>
            <a:off x="3379" y="1490"/>
            <a:ext cx="53" cy="21"/>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00"/>
                </a:solidFill>
                <a:latin typeface="Arial"/>
                <a:cs typeface="Arial"/>
              </a:rPr>
              <a:t>1.5*t,f</a:t>
            </a:r>
          </a:p>
          <a:p>
            <a:pPr algn="l" rtl="0">
              <a:defRPr sz="1000"/>
            </a:pPr>
            <a:endParaRPr lang="fr-FR" sz="1000" b="0" i="0" u="none" strike="noStrike" baseline="0">
              <a:solidFill>
                <a:srgbClr val="000000"/>
              </a:solidFill>
              <a:latin typeface="Arial"/>
              <a:cs typeface="Arial"/>
            </a:endParaRPr>
          </a:p>
        </xdr:txBody>
      </xdr:sp>
      <xdr:sp macro="" textlink="">
        <xdr:nvSpPr>
          <xdr:cNvPr id="4258" name="AutoShape 98">
            <a:extLst>
              <a:ext uri="{FF2B5EF4-FFF2-40B4-BE49-F238E27FC236}">
                <a16:creationId xmlns:a16="http://schemas.microsoft.com/office/drawing/2014/main" id="{00000000-0008-0000-0300-0000A2100000}"/>
              </a:ext>
            </a:extLst>
          </xdr:cNvPr>
          <xdr:cNvSpPr>
            <a:spLocks noChangeArrowheads="1"/>
          </xdr:cNvSpPr>
        </xdr:nvSpPr>
        <xdr:spPr bwMode="auto">
          <a:xfrm>
            <a:off x="3337" y="1661"/>
            <a:ext cx="27" cy="18"/>
          </a:xfrm>
          <a:prstGeom prst="rtTriangle">
            <a:avLst/>
          </a:prstGeom>
          <a:solidFill>
            <a:srgbClr val="FFFFFF"/>
          </a:solidFill>
          <a:ln w="9525">
            <a:solidFill>
              <a:srgbClr val="000000"/>
            </a:solidFill>
            <a:miter lim="800000"/>
            <a:headEnd/>
            <a:tailEnd/>
          </a:ln>
        </xdr:spPr>
      </xdr:sp>
      <xdr:sp macro="" textlink="">
        <xdr:nvSpPr>
          <xdr:cNvPr id="4259" name="AutoShape 99">
            <a:extLst>
              <a:ext uri="{FF2B5EF4-FFF2-40B4-BE49-F238E27FC236}">
                <a16:creationId xmlns:a16="http://schemas.microsoft.com/office/drawing/2014/main" id="{00000000-0008-0000-0300-0000A3100000}"/>
              </a:ext>
            </a:extLst>
          </xdr:cNvPr>
          <xdr:cNvSpPr>
            <a:spLocks noChangeArrowheads="1"/>
          </xdr:cNvSpPr>
        </xdr:nvSpPr>
        <xdr:spPr bwMode="auto">
          <a:xfrm flipH="1" flipV="1">
            <a:off x="3363" y="1679"/>
            <a:ext cx="27" cy="18"/>
          </a:xfrm>
          <a:prstGeom prst="rtTriangle">
            <a:avLst/>
          </a:prstGeom>
          <a:solidFill>
            <a:srgbClr val="FFFFFF"/>
          </a:solidFill>
          <a:ln w="9525">
            <a:solidFill>
              <a:srgbClr val="000000"/>
            </a:solidFill>
            <a:miter lim="800000"/>
            <a:headEnd/>
            <a:tailEnd/>
          </a:ln>
        </xdr:spPr>
      </xdr:sp>
      <xdr:sp macro="" textlink="">
        <xdr:nvSpPr>
          <xdr:cNvPr id="4260" name="Line 100">
            <a:extLst>
              <a:ext uri="{FF2B5EF4-FFF2-40B4-BE49-F238E27FC236}">
                <a16:creationId xmlns:a16="http://schemas.microsoft.com/office/drawing/2014/main" id="{00000000-0008-0000-0300-0000A4100000}"/>
              </a:ext>
            </a:extLst>
          </xdr:cNvPr>
          <xdr:cNvSpPr>
            <a:spLocks noChangeShapeType="1"/>
          </xdr:cNvSpPr>
        </xdr:nvSpPr>
        <xdr:spPr bwMode="auto">
          <a:xfrm flipV="1">
            <a:off x="3390" y="1636"/>
            <a:ext cx="0" cy="41"/>
          </a:xfrm>
          <a:prstGeom prst="line">
            <a:avLst/>
          </a:prstGeom>
          <a:noFill/>
          <a:ln w="12700">
            <a:solidFill>
              <a:srgbClr val="3366FF"/>
            </a:solidFill>
            <a:prstDash val="dashDot"/>
            <a:round/>
            <a:headEnd/>
            <a:tailEnd/>
          </a:ln>
        </xdr:spPr>
      </xdr:sp>
      <xdr:sp macro="" textlink="">
        <xdr:nvSpPr>
          <xdr:cNvPr id="4261" name="Line 101">
            <a:extLst>
              <a:ext uri="{FF2B5EF4-FFF2-40B4-BE49-F238E27FC236}">
                <a16:creationId xmlns:a16="http://schemas.microsoft.com/office/drawing/2014/main" id="{00000000-0008-0000-0300-0000A5100000}"/>
              </a:ext>
            </a:extLst>
          </xdr:cNvPr>
          <xdr:cNvSpPr>
            <a:spLocks noChangeShapeType="1"/>
          </xdr:cNvSpPr>
        </xdr:nvSpPr>
        <xdr:spPr bwMode="auto">
          <a:xfrm>
            <a:off x="3244" y="1541"/>
            <a:ext cx="11" cy="0"/>
          </a:xfrm>
          <a:prstGeom prst="line">
            <a:avLst/>
          </a:prstGeom>
          <a:noFill/>
          <a:ln w="19050">
            <a:solidFill>
              <a:srgbClr val="000000"/>
            </a:solidFill>
            <a:round/>
            <a:headEnd/>
            <a:tailEnd/>
          </a:ln>
        </xdr:spPr>
      </xdr:sp>
      <xdr:sp macro="" textlink="">
        <xdr:nvSpPr>
          <xdr:cNvPr id="4262" name="Line 102">
            <a:extLst>
              <a:ext uri="{FF2B5EF4-FFF2-40B4-BE49-F238E27FC236}">
                <a16:creationId xmlns:a16="http://schemas.microsoft.com/office/drawing/2014/main" id="{00000000-0008-0000-0300-0000A6100000}"/>
              </a:ext>
            </a:extLst>
          </xdr:cNvPr>
          <xdr:cNvSpPr>
            <a:spLocks noChangeShapeType="1"/>
          </xdr:cNvSpPr>
        </xdr:nvSpPr>
        <xdr:spPr bwMode="auto">
          <a:xfrm>
            <a:off x="3376" y="1685"/>
            <a:ext cx="9" cy="0"/>
          </a:xfrm>
          <a:prstGeom prst="line">
            <a:avLst/>
          </a:prstGeom>
          <a:noFill/>
          <a:ln w="12700">
            <a:solidFill>
              <a:srgbClr val="000000"/>
            </a:solidFill>
            <a:round/>
            <a:headEnd/>
            <a:tailEnd/>
          </a:ln>
        </xdr:spPr>
      </xdr:sp>
      <xdr:sp macro="" textlink="">
        <xdr:nvSpPr>
          <xdr:cNvPr id="4199" name="Text Box 103">
            <a:extLst>
              <a:ext uri="{FF2B5EF4-FFF2-40B4-BE49-F238E27FC236}">
                <a16:creationId xmlns:a16="http://schemas.microsoft.com/office/drawing/2014/main" id="{00000000-0008-0000-0300-000067100000}"/>
              </a:ext>
            </a:extLst>
          </xdr:cNvPr>
          <xdr:cNvSpPr txBox="1">
            <a:spLocks noChangeArrowheads="1"/>
          </xdr:cNvSpPr>
        </xdr:nvSpPr>
        <xdr:spPr bwMode="auto">
          <a:xfrm>
            <a:off x="3379" y="1699"/>
            <a:ext cx="41" cy="20"/>
          </a:xfrm>
          <a:prstGeom prst="rect">
            <a:avLst/>
          </a:prstGeom>
          <a:noFill/>
          <a:ln w="9525">
            <a:noFill/>
            <a:miter lim="800000"/>
            <a:headEnd/>
            <a:tailEnd/>
          </a:ln>
        </xdr:spPr>
        <xdr:txBody>
          <a:bodyPr vertOverflow="clip" wrap="square" lIns="27432" tIns="22860" rIns="0" bIns="0" anchor="t" upright="1"/>
          <a:lstStyle/>
          <a:p>
            <a:pPr algn="l" rtl="0">
              <a:defRPr sz="1000"/>
            </a:pPr>
            <a:r>
              <a:rPr lang="el-GR" sz="1000" b="0" i="0" u="none" strike="noStrike" baseline="0">
                <a:solidFill>
                  <a:srgbClr val="000000"/>
                </a:solidFill>
                <a:latin typeface="Arial"/>
                <a:cs typeface="Arial"/>
              </a:rPr>
              <a:t>σ,</a:t>
            </a:r>
            <a:r>
              <a:rPr lang="fr-FR" sz="1000" b="0" i="0" u="none" strike="noStrike" baseline="0">
                <a:solidFill>
                  <a:srgbClr val="000000"/>
                </a:solidFill>
                <a:latin typeface="Arial"/>
                <a:cs typeface="Arial"/>
              </a:rPr>
              <a:t>Mz</a:t>
            </a:r>
          </a:p>
          <a:p>
            <a:pPr algn="l" rtl="0">
              <a:defRPr sz="1000"/>
            </a:pPr>
            <a:endParaRPr lang="fr-FR" sz="1000" b="0" i="0" u="none" strike="noStrike" baseline="0">
              <a:solidFill>
                <a:srgbClr val="000000"/>
              </a:solidFill>
              <a:latin typeface="Arial"/>
              <a:cs typeface="Arial"/>
            </a:endParaRPr>
          </a:p>
        </xdr:txBody>
      </xdr:sp>
    </xdr:grpSp>
    <xdr:clientData/>
  </xdr:twoCellAnchor>
  <xdr:twoCellAnchor>
    <xdr:from>
      <xdr:col>1</xdr:col>
      <xdr:colOff>19050</xdr:colOff>
      <xdr:row>121</xdr:row>
      <xdr:rowOff>47625</xdr:rowOff>
    </xdr:from>
    <xdr:to>
      <xdr:col>2</xdr:col>
      <xdr:colOff>304800</xdr:colOff>
      <xdr:row>123</xdr:row>
      <xdr:rowOff>114300</xdr:rowOff>
    </xdr:to>
    <xdr:pic>
      <xdr:nvPicPr>
        <xdr:cNvPr id="4230" name="Picture 104">
          <a:extLst>
            <a:ext uri="{FF2B5EF4-FFF2-40B4-BE49-F238E27FC236}">
              <a16:creationId xmlns:a16="http://schemas.microsoft.com/office/drawing/2014/main" id="{00000000-0008-0000-0300-0000861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14325" y="20031075"/>
          <a:ext cx="1209675" cy="390525"/>
        </a:xfrm>
        <a:prstGeom prst="rect">
          <a:avLst/>
        </a:prstGeom>
        <a:noFill/>
        <a:ln w="9525">
          <a:noFill/>
          <a:miter lim="800000"/>
          <a:headEnd/>
          <a:tailEnd/>
        </a:ln>
      </xdr:spPr>
    </xdr:pic>
    <xdr:clientData/>
  </xdr:twoCellAnchor>
  <xdr:twoCellAnchor>
    <xdr:from>
      <xdr:col>1</xdr:col>
      <xdr:colOff>0</xdr:colOff>
      <xdr:row>118</xdr:row>
      <xdr:rowOff>57150</xdr:rowOff>
    </xdr:from>
    <xdr:to>
      <xdr:col>1</xdr:col>
      <xdr:colOff>723900</xdr:colOff>
      <xdr:row>120</xdr:row>
      <xdr:rowOff>142875</xdr:rowOff>
    </xdr:to>
    <xdr:pic>
      <xdr:nvPicPr>
        <xdr:cNvPr id="4231" name="Picture 105">
          <a:extLst>
            <a:ext uri="{FF2B5EF4-FFF2-40B4-BE49-F238E27FC236}">
              <a16:creationId xmlns:a16="http://schemas.microsoft.com/office/drawing/2014/main" id="{00000000-0008-0000-0300-0000871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95275" y="19554825"/>
          <a:ext cx="723900" cy="409575"/>
        </a:xfrm>
        <a:prstGeom prst="rect">
          <a:avLst/>
        </a:prstGeom>
        <a:noFill/>
        <a:ln w="9525">
          <a:noFill/>
          <a:miter lim="800000"/>
          <a:headEnd/>
          <a:tailEnd/>
        </a:ln>
      </xdr:spPr>
    </xdr:pic>
    <xdr:clientData/>
  </xdr:twoCellAnchor>
  <xdr:twoCellAnchor>
    <xdr:from>
      <xdr:col>8</xdr:col>
      <xdr:colOff>114300</xdr:colOff>
      <xdr:row>109</xdr:row>
      <xdr:rowOff>66675</xdr:rowOff>
    </xdr:from>
    <xdr:to>
      <xdr:col>10</xdr:col>
      <xdr:colOff>314325</xdr:colOff>
      <xdr:row>122</xdr:row>
      <xdr:rowOff>28575</xdr:rowOff>
    </xdr:to>
    <xdr:grpSp>
      <xdr:nvGrpSpPr>
        <xdr:cNvPr id="4232" name="Group 106">
          <a:extLst>
            <a:ext uri="{FF2B5EF4-FFF2-40B4-BE49-F238E27FC236}">
              <a16:creationId xmlns:a16="http://schemas.microsoft.com/office/drawing/2014/main" id="{00000000-0008-0000-0300-000088100000}"/>
            </a:ext>
          </a:extLst>
        </xdr:cNvPr>
        <xdr:cNvGrpSpPr>
          <a:grpSpLocks/>
        </xdr:cNvGrpSpPr>
      </xdr:nvGrpSpPr>
      <xdr:grpSpPr bwMode="auto">
        <a:xfrm>
          <a:off x="8817535" y="17854146"/>
          <a:ext cx="2067672" cy="2023782"/>
          <a:chOff x="3173" y="1955"/>
          <a:chExt cx="277" cy="218"/>
        </a:xfrm>
      </xdr:grpSpPr>
      <xdr:pic>
        <xdr:nvPicPr>
          <xdr:cNvPr id="4233" name="Picture 107">
            <a:extLst>
              <a:ext uri="{FF2B5EF4-FFF2-40B4-BE49-F238E27FC236}">
                <a16:creationId xmlns:a16="http://schemas.microsoft.com/office/drawing/2014/main" id="{00000000-0008-0000-0300-000089100000}"/>
              </a:ext>
            </a:extLst>
          </xdr:cNvPr>
          <xdr:cNvPicPr>
            <a:picLocks noChangeAspect="1" noChangeArrowheads="1"/>
          </xdr:cNvPicPr>
        </xdr:nvPicPr>
        <xdr:blipFill>
          <a:blip xmlns:r="http://schemas.openxmlformats.org/officeDocument/2006/relationships" r:embed="rId5" cstate="print"/>
          <a:srcRect/>
          <a:stretch>
            <a:fillRect/>
          </a:stretch>
        </xdr:blipFill>
        <xdr:spPr bwMode="auto">
          <a:xfrm>
            <a:off x="3311" y="1960"/>
            <a:ext cx="101" cy="148"/>
          </a:xfrm>
          <a:prstGeom prst="rect">
            <a:avLst/>
          </a:prstGeom>
          <a:noFill/>
          <a:ln w="9525">
            <a:noFill/>
            <a:miter lim="800000"/>
            <a:headEnd/>
            <a:tailEnd/>
          </a:ln>
        </xdr:spPr>
      </xdr:pic>
      <xdr:sp macro="" textlink="">
        <xdr:nvSpPr>
          <xdr:cNvPr id="4234" name="AutoShape 108">
            <a:extLst>
              <a:ext uri="{FF2B5EF4-FFF2-40B4-BE49-F238E27FC236}">
                <a16:creationId xmlns:a16="http://schemas.microsoft.com/office/drawing/2014/main" id="{00000000-0008-0000-0300-00008A100000}"/>
              </a:ext>
            </a:extLst>
          </xdr:cNvPr>
          <xdr:cNvSpPr>
            <a:spLocks noChangeArrowheads="1"/>
          </xdr:cNvSpPr>
        </xdr:nvSpPr>
        <xdr:spPr bwMode="auto">
          <a:xfrm flipV="1">
            <a:off x="3235" y="1965"/>
            <a:ext cx="56" cy="60"/>
          </a:xfrm>
          <a:prstGeom prst="rtTriangle">
            <a:avLst/>
          </a:prstGeom>
          <a:solidFill>
            <a:srgbClr val="FFFFFF"/>
          </a:solidFill>
          <a:ln w="9525">
            <a:solidFill>
              <a:srgbClr val="000000"/>
            </a:solidFill>
            <a:miter lim="800000"/>
            <a:headEnd/>
            <a:tailEnd/>
          </a:ln>
        </xdr:spPr>
      </xdr:sp>
      <xdr:sp macro="" textlink="">
        <xdr:nvSpPr>
          <xdr:cNvPr id="4235" name="AutoShape 109">
            <a:extLst>
              <a:ext uri="{FF2B5EF4-FFF2-40B4-BE49-F238E27FC236}">
                <a16:creationId xmlns:a16="http://schemas.microsoft.com/office/drawing/2014/main" id="{00000000-0008-0000-0300-00008B100000}"/>
              </a:ext>
            </a:extLst>
          </xdr:cNvPr>
          <xdr:cNvSpPr>
            <a:spLocks noChangeArrowheads="1"/>
          </xdr:cNvSpPr>
        </xdr:nvSpPr>
        <xdr:spPr bwMode="auto">
          <a:xfrm flipH="1">
            <a:off x="3173" y="2025"/>
            <a:ext cx="62" cy="60"/>
          </a:xfrm>
          <a:prstGeom prst="rtTriangle">
            <a:avLst/>
          </a:prstGeom>
          <a:solidFill>
            <a:srgbClr val="FFFFFF"/>
          </a:solidFill>
          <a:ln w="9525">
            <a:solidFill>
              <a:srgbClr val="000000"/>
            </a:solidFill>
            <a:miter lim="800000"/>
            <a:headEnd/>
            <a:tailEnd/>
          </a:ln>
        </xdr:spPr>
      </xdr:sp>
      <xdr:sp macro="" textlink="">
        <xdr:nvSpPr>
          <xdr:cNvPr id="4236" name="Line 110">
            <a:extLst>
              <a:ext uri="{FF2B5EF4-FFF2-40B4-BE49-F238E27FC236}">
                <a16:creationId xmlns:a16="http://schemas.microsoft.com/office/drawing/2014/main" id="{00000000-0008-0000-0300-00008C100000}"/>
              </a:ext>
            </a:extLst>
          </xdr:cNvPr>
          <xdr:cNvSpPr>
            <a:spLocks noChangeShapeType="1"/>
          </xdr:cNvSpPr>
        </xdr:nvSpPr>
        <xdr:spPr bwMode="auto">
          <a:xfrm flipH="1">
            <a:off x="3292" y="1964"/>
            <a:ext cx="43" cy="0"/>
          </a:xfrm>
          <a:prstGeom prst="line">
            <a:avLst/>
          </a:prstGeom>
          <a:noFill/>
          <a:ln w="12700">
            <a:solidFill>
              <a:srgbClr val="FF0000"/>
            </a:solidFill>
            <a:prstDash val="dashDot"/>
            <a:round/>
            <a:headEnd/>
            <a:tailEnd/>
          </a:ln>
        </xdr:spPr>
      </xdr:sp>
      <xdr:sp macro="" textlink="">
        <xdr:nvSpPr>
          <xdr:cNvPr id="4207" name="Text Box 111">
            <a:extLst>
              <a:ext uri="{FF2B5EF4-FFF2-40B4-BE49-F238E27FC236}">
                <a16:creationId xmlns:a16="http://schemas.microsoft.com/office/drawing/2014/main" id="{00000000-0008-0000-0300-00006F100000}"/>
              </a:ext>
            </a:extLst>
          </xdr:cNvPr>
          <xdr:cNvSpPr txBox="1">
            <a:spLocks noChangeArrowheads="1"/>
          </xdr:cNvSpPr>
        </xdr:nvSpPr>
        <xdr:spPr bwMode="auto">
          <a:xfrm>
            <a:off x="3197" y="1955"/>
            <a:ext cx="43" cy="20"/>
          </a:xfrm>
          <a:prstGeom prst="rect">
            <a:avLst/>
          </a:prstGeom>
          <a:noFill/>
          <a:ln w="9525">
            <a:noFill/>
            <a:miter lim="800000"/>
            <a:headEnd/>
            <a:tailEnd/>
          </a:ln>
        </xdr:spPr>
        <xdr:txBody>
          <a:bodyPr vertOverflow="clip" wrap="square" lIns="27432" tIns="22860" rIns="0" bIns="0" anchor="t" upright="1"/>
          <a:lstStyle/>
          <a:p>
            <a:pPr algn="l" rtl="0">
              <a:defRPr sz="1000"/>
            </a:pPr>
            <a:r>
              <a:rPr lang="el-GR" sz="1000" b="0" i="0" u="none" strike="noStrike" baseline="0">
                <a:solidFill>
                  <a:srgbClr val="000000"/>
                </a:solidFill>
                <a:latin typeface="Arial"/>
                <a:cs typeface="Arial"/>
              </a:rPr>
              <a:t>σ,</a:t>
            </a:r>
            <a:r>
              <a:rPr lang="fr-FR" sz="1000" b="0" i="0" u="none" strike="noStrike" baseline="0">
                <a:solidFill>
                  <a:srgbClr val="000000"/>
                </a:solidFill>
                <a:latin typeface="Arial"/>
                <a:cs typeface="Arial"/>
              </a:rPr>
              <a:t>My</a:t>
            </a:r>
          </a:p>
          <a:p>
            <a:pPr algn="l" rtl="0">
              <a:defRPr sz="1000"/>
            </a:pPr>
            <a:endParaRPr lang="fr-FR" sz="1000" b="0" i="0" u="none" strike="noStrike" baseline="0">
              <a:solidFill>
                <a:srgbClr val="000000"/>
              </a:solidFill>
              <a:latin typeface="Arial"/>
              <a:cs typeface="Arial"/>
            </a:endParaRPr>
          </a:p>
        </xdr:txBody>
      </xdr:sp>
      <xdr:grpSp>
        <xdr:nvGrpSpPr>
          <xdr:cNvPr id="4238" name="Group 112">
            <a:extLst>
              <a:ext uri="{FF2B5EF4-FFF2-40B4-BE49-F238E27FC236}">
                <a16:creationId xmlns:a16="http://schemas.microsoft.com/office/drawing/2014/main" id="{00000000-0008-0000-0300-00008E100000}"/>
              </a:ext>
            </a:extLst>
          </xdr:cNvPr>
          <xdr:cNvGrpSpPr>
            <a:grpSpLocks/>
          </xdr:cNvGrpSpPr>
        </xdr:nvGrpSpPr>
        <xdr:grpSpPr bwMode="auto">
          <a:xfrm rot="-5400000">
            <a:off x="3384" y="2068"/>
            <a:ext cx="0" cy="46"/>
            <a:chOff x="3377" y="1942"/>
            <a:chExt cx="0" cy="46"/>
          </a:xfrm>
        </xdr:grpSpPr>
        <xdr:sp macro="" textlink="">
          <xdr:nvSpPr>
            <xdr:cNvPr id="4246" name="Line 113">
              <a:extLst>
                <a:ext uri="{FF2B5EF4-FFF2-40B4-BE49-F238E27FC236}">
                  <a16:creationId xmlns:a16="http://schemas.microsoft.com/office/drawing/2014/main" id="{00000000-0008-0000-0300-000096100000}"/>
                </a:ext>
              </a:extLst>
            </xdr:cNvPr>
            <xdr:cNvSpPr>
              <a:spLocks noChangeShapeType="1"/>
            </xdr:cNvSpPr>
          </xdr:nvSpPr>
          <xdr:spPr bwMode="auto">
            <a:xfrm flipV="1">
              <a:off x="3377" y="1970"/>
              <a:ext cx="0" cy="18"/>
            </a:xfrm>
            <a:prstGeom prst="line">
              <a:avLst/>
            </a:prstGeom>
            <a:noFill/>
            <a:ln w="9525">
              <a:solidFill>
                <a:srgbClr val="000000"/>
              </a:solidFill>
              <a:round/>
              <a:headEnd/>
              <a:tailEnd type="triangle" w="sm" len="med"/>
            </a:ln>
          </xdr:spPr>
        </xdr:sp>
        <xdr:sp macro="" textlink="">
          <xdr:nvSpPr>
            <xdr:cNvPr id="4247" name="Line 114">
              <a:extLst>
                <a:ext uri="{FF2B5EF4-FFF2-40B4-BE49-F238E27FC236}">
                  <a16:creationId xmlns:a16="http://schemas.microsoft.com/office/drawing/2014/main" id="{00000000-0008-0000-0300-000097100000}"/>
                </a:ext>
              </a:extLst>
            </xdr:cNvPr>
            <xdr:cNvSpPr>
              <a:spLocks noChangeShapeType="1"/>
            </xdr:cNvSpPr>
          </xdr:nvSpPr>
          <xdr:spPr bwMode="auto">
            <a:xfrm>
              <a:off x="3377" y="1942"/>
              <a:ext cx="0" cy="23"/>
            </a:xfrm>
            <a:prstGeom prst="line">
              <a:avLst/>
            </a:prstGeom>
            <a:noFill/>
            <a:ln w="9525">
              <a:solidFill>
                <a:srgbClr val="000000"/>
              </a:solidFill>
              <a:round/>
              <a:headEnd/>
              <a:tailEnd type="triangle" w="sm" len="med"/>
            </a:ln>
          </xdr:spPr>
        </xdr:sp>
        <xdr:sp macro="" textlink="">
          <xdr:nvSpPr>
            <xdr:cNvPr id="4248" name="Line 115">
              <a:extLst>
                <a:ext uri="{FF2B5EF4-FFF2-40B4-BE49-F238E27FC236}">
                  <a16:creationId xmlns:a16="http://schemas.microsoft.com/office/drawing/2014/main" id="{00000000-0008-0000-0300-000098100000}"/>
                </a:ext>
              </a:extLst>
            </xdr:cNvPr>
            <xdr:cNvSpPr>
              <a:spLocks noChangeShapeType="1"/>
            </xdr:cNvSpPr>
          </xdr:nvSpPr>
          <xdr:spPr bwMode="auto">
            <a:xfrm flipV="1">
              <a:off x="3377" y="1963"/>
              <a:ext cx="0" cy="12"/>
            </a:xfrm>
            <a:prstGeom prst="line">
              <a:avLst/>
            </a:prstGeom>
            <a:noFill/>
            <a:ln w="6350">
              <a:solidFill>
                <a:srgbClr val="000000"/>
              </a:solidFill>
              <a:round/>
              <a:headEnd/>
              <a:tailEnd/>
            </a:ln>
          </xdr:spPr>
        </xdr:sp>
      </xdr:grpSp>
      <xdr:sp macro="" textlink="">
        <xdr:nvSpPr>
          <xdr:cNvPr id="4212" name="Text Box 116">
            <a:extLst>
              <a:ext uri="{FF2B5EF4-FFF2-40B4-BE49-F238E27FC236}">
                <a16:creationId xmlns:a16="http://schemas.microsoft.com/office/drawing/2014/main" id="{00000000-0008-0000-0300-000074100000}"/>
              </a:ext>
            </a:extLst>
          </xdr:cNvPr>
          <xdr:cNvSpPr txBox="1">
            <a:spLocks noChangeArrowheads="1"/>
          </xdr:cNvSpPr>
        </xdr:nvSpPr>
        <xdr:spPr bwMode="auto">
          <a:xfrm>
            <a:off x="3396" y="2067"/>
            <a:ext cx="54" cy="21"/>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00"/>
                </a:solidFill>
                <a:latin typeface="Arial"/>
                <a:cs typeface="Arial"/>
              </a:rPr>
              <a:t>1.5*t,w</a:t>
            </a:r>
          </a:p>
          <a:p>
            <a:pPr algn="l" rtl="0">
              <a:defRPr sz="1000"/>
            </a:pPr>
            <a:endParaRPr lang="fr-FR" sz="1000" b="0" i="0" u="none" strike="noStrike" baseline="0">
              <a:solidFill>
                <a:srgbClr val="000000"/>
              </a:solidFill>
              <a:latin typeface="Arial"/>
              <a:cs typeface="Arial"/>
            </a:endParaRPr>
          </a:p>
        </xdr:txBody>
      </xdr:sp>
      <xdr:sp macro="" textlink="">
        <xdr:nvSpPr>
          <xdr:cNvPr id="4240" name="AutoShape 117">
            <a:extLst>
              <a:ext uri="{FF2B5EF4-FFF2-40B4-BE49-F238E27FC236}">
                <a16:creationId xmlns:a16="http://schemas.microsoft.com/office/drawing/2014/main" id="{00000000-0008-0000-0300-000090100000}"/>
              </a:ext>
            </a:extLst>
          </xdr:cNvPr>
          <xdr:cNvSpPr>
            <a:spLocks noChangeArrowheads="1"/>
          </xdr:cNvSpPr>
        </xdr:nvSpPr>
        <xdr:spPr bwMode="auto">
          <a:xfrm>
            <a:off x="3337" y="2109"/>
            <a:ext cx="27" cy="18"/>
          </a:xfrm>
          <a:prstGeom prst="rtTriangle">
            <a:avLst/>
          </a:prstGeom>
          <a:solidFill>
            <a:srgbClr val="FFFFFF"/>
          </a:solidFill>
          <a:ln w="9525">
            <a:solidFill>
              <a:srgbClr val="000000"/>
            </a:solidFill>
            <a:miter lim="800000"/>
            <a:headEnd/>
            <a:tailEnd/>
          </a:ln>
        </xdr:spPr>
      </xdr:sp>
      <xdr:sp macro="" textlink="">
        <xdr:nvSpPr>
          <xdr:cNvPr id="4241" name="AutoShape 118">
            <a:extLst>
              <a:ext uri="{FF2B5EF4-FFF2-40B4-BE49-F238E27FC236}">
                <a16:creationId xmlns:a16="http://schemas.microsoft.com/office/drawing/2014/main" id="{00000000-0008-0000-0300-000091100000}"/>
              </a:ext>
            </a:extLst>
          </xdr:cNvPr>
          <xdr:cNvSpPr>
            <a:spLocks noChangeArrowheads="1"/>
          </xdr:cNvSpPr>
        </xdr:nvSpPr>
        <xdr:spPr bwMode="auto">
          <a:xfrm flipH="1" flipV="1">
            <a:off x="3363" y="2127"/>
            <a:ext cx="27" cy="18"/>
          </a:xfrm>
          <a:prstGeom prst="rtTriangle">
            <a:avLst/>
          </a:prstGeom>
          <a:solidFill>
            <a:srgbClr val="FFFFFF"/>
          </a:solidFill>
          <a:ln w="9525">
            <a:solidFill>
              <a:srgbClr val="000000"/>
            </a:solidFill>
            <a:miter lim="800000"/>
            <a:headEnd/>
            <a:tailEnd/>
          </a:ln>
        </xdr:spPr>
      </xdr:sp>
      <xdr:sp macro="" textlink="">
        <xdr:nvSpPr>
          <xdr:cNvPr id="4242" name="Line 119">
            <a:extLst>
              <a:ext uri="{FF2B5EF4-FFF2-40B4-BE49-F238E27FC236}">
                <a16:creationId xmlns:a16="http://schemas.microsoft.com/office/drawing/2014/main" id="{00000000-0008-0000-0300-000092100000}"/>
              </a:ext>
            </a:extLst>
          </xdr:cNvPr>
          <xdr:cNvSpPr>
            <a:spLocks noChangeShapeType="1"/>
          </xdr:cNvSpPr>
        </xdr:nvSpPr>
        <xdr:spPr bwMode="auto">
          <a:xfrm flipV="1">
            <a:off x="3385" y="2084"/>
            <a:ext cx="0" cy="61"/>
          </a:xfrm>
          <a:prstGeom prst="line">
            <a:avLst/>
          </a:prstGeom>
          <a:noFill/>
          <a:ln w="12700">
            <a:solidFill>
              <a:srgbClr val="3366FF"/>
            </a:solidFill>
            <a:prstDash val="dashDot"/>
            <a:round/>
            <a:headEnd/>
            <a:tailEnd/>
          </a:ln>
        </xdr:spPr>
      </xdr:sp>
      <xdr:sp macro="" textlink="">
        <xdr:nvSpPr>
          <xdr:cNvPr id="4243" name="Line 120">
            <a:extLst>
              <a:ext uri="{FF2B5EF4-FFF2-40B4-BE49-F238E27FC236}">
                <a16:creationId xmlns:a16="http://schemas.microsoft.com/office/drawing/2014/main" id="{00000000-0008-0000-0300-000093100000}"/>
              </a:ext>
            </a:extLst>
          </xdr:cNvPr>
          <xdr:cNvSpPr>
            <a:spLocks noChangeShapeType="1"/>
          </xdr:cNvSpPr>
        </xdr:nvSpPr>
        <xdr:spPr bwMode="auto">
          <a:xfrm>
            <a:off x="3244" y="1990"/>
            <a:ext cx="11" cy="0"/>
          </a:xfrm>
          <a:prstGeom prst="line">
            <a:avLst/>
          </a:prstGeom>
          <a:noFill/>
          <a:ln w="19050">
            <a:solidFill>
              <a:srgbClr val="000000"/>
            </a:solidFill>
            <a:round/>
            <a:headEnd/>
            <a:tailEnd/>
          </a:ln>
        </xdr:spPr>
      </xdr:sp>
      <xdr:sp macro="" textlink="">
        <xdr:nvSpPr>
          <xdr:cNvPr id="4244" name="Line 121">
            <a:extLst>
              <a:ext uri="{FF2B5EF4-FFF2-40B4-BE49-F238E27FC236}">
                <a16:creationId xmlns:a16="http://schemas.microsoft.com/office/drawing/2014/main" id="{00000000-0008-0000-0300-000094100000}"/>
              </a:ext>
            </a:extLst>
          </xdr:cNvPr>
          <xdr:cNvSpPr>
            <a:spLocks noChangeShapeType="1"/>
          </xdr:cNvSpPr>
        </xdr:nvSpPr>
        <xdr:spPr bwMode="auto">
          <a:xfrm>
            <a:off x="3376" y="2133"/>
            <a:ext cx="9" cy="0"/>
          </a:xfrm>
          <a:prstGeom prst="line">
            <a:avLst/>
          </a:prstGeom>
          <a:noFill/>
          <a:ln w="12700">
            <a:solidFill>
              <a:srgbClr val="000000"/>
            </a:solidFill>
            <a:round/>
            <a:headEnd/>
            <a:tailEnd/>
          </a:ln>
        </xdr:spPr>
      </xdr:sp>
      <xdr:sp macro="" textlink="">
        <xdr:nvSpPr>
          <xdr:cNvPr id="4218" name="Text Box 122">
            <a:extLst>
              <a:ext uri="{FF2B5EF4-FFF2-40B4-BE49-F238E27FC236}">
                <a16:creationId xmlns:a16="http://schemas.microsoft.com/office/drawing/2014/main" id="{00000000-0008-0000-0300-00007A100000}"/>
              </a:ext>
            </a:extLst>
          </xdr:cNvPr>
          <xdr:cNvSpPr txBox="1">
            <a:spLocks noChangeArrowheads="1"/>
          </xdr:cNvSpPr>
        </xdr:nvSpPr>
        <xdr:spPr bwMode="auto">
          <a:xfrm>
            <a:off x="3372" y="2153"/>
            <a:ext cx="42" cy="20"/>
          </a:xfrm>
          <a:prstGeom prst="rect">
            <a:avLst/>
          </a:prstGeom>
          <a:noFill/>
          <a:ln w="9525">
            <a:noFill/>
            <a:miter lim="800000"/>
            <a:headEnd/>
            <a:tailEnd/>
          </a:ln>
        </xdr:spPr>
        <xdr:txBody>
          <a:bodyPr vertOverflow="clip" wrap="square" lIns="27432" tIns="22860" rIns="0" bIns="0" anchor="t" upright="1"/>
          <a:lstStyle/>
          <a:p>
            <a:pPr algn="l" rtl="0">
              <a:defRPr sz="1000"/>
            </a:pPr>
            <a:r>
              <a:rPr lang="el-GR" sz="1000" b="0" i="0" u="none" strike="noStrike" baseline="0">
                <a:solidFill>
                  <a:srgbClr val="000000"/>
                </a:solidFill>
                <a:latin typeface="Arial"/>
                <a:cs typeface="Arial"/>
              </a:rPr>
              <a:t>σ,</a:t>
            </a:r>
            <a:r>
              <a:rPr lang="fr-FR" sz="1000" b="0" i="0" u="none" strike="noStrike" baseline="0">
                <a:solidFill>
                  <a:srgbClr val="000000"/>
                </a:solidFill>
                <a:latin typeface="Arial"/>
                <a:cs typeface="Arial"/>
              </a:rPr>
              <a:t>Mz</a:t>
            </a:r>
          </a:p>
          <a:p>
            <a:pPr algn="l" rtl="0">
              <a:defRPr sz="1000"/>
            </a:pPr>
            <a:endParaRPr lang="fr-FR" sz="1000" b="0" i="0" u="none" strike="noStrike" baseline="0">
              <a:solidFill>
                <a:srgbClr val="000000"/>
              </a:solidFill>
              <a:latin typeface="Arial"/>
              <a:cs typeface="Arial"/>
            </a:endParaRPr>
          </a:p>
        </xdr:txBody>
      </xdr: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W:\r.schierbeek\rekenfiles\Profielen%20bibliotheek.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lad1"/>
      <sheetName val="Blad2"/>
      <sheetName val="Blad3"/>
      <sheetName val="Blad4"/>
      <sheetName val="Blad5"/>
      <sheetName val="Blad6"/>
      <sheetName val="Blad7"/>
      <sheetName val="Blad8"/>
      <sheetName val="Blad9"/>
      <sheetName val="Blad10"/>
      <sheetName val="Blad11"/>
      <sheetName val="Blad12"/>
      <sheetName val="Blad13"/>
      <sheetName val="Blad14"/>
      <sheetName val="Blad15"/>
      <sheetName val="Blad16"/>
      <sheetName val="Profielen bibliotheek"/>
    </sheetNames>
    <definedNames>
      <definedName name="Profiel" refersTo="='Blad1'!$A$1:$AE$672"/>
    </definedNames>
    <sheetDataSet>
      <sheetData sheetId="0">
        <row r="1">
          <cell r="A1" t="str">
            <v>PROFIELENBIBLIOTHEEK</v>
          </cell>
          <cell r="D1" t="str">
            <v>Behorend bij file   KnikStalenKolommen.xls</v>
          </cell>
          <cell r="I1" t="str">
            <v>versie 1.2</v>
          </cell>
          <cell r="W1" t="str">
            <v>KLASSE INDELING OP BASIS VAN:</v>
          </cell>
        </row>
        <row r="2">
          <cell r="W2" t="str">
            <v>buiging</v>
          </cell>
          <cell r="X2" t="str">
            <v>buiging</v>
          </cell>
          <cell r="Y2" t="str">
            <v>buiging</v>
          </cell>
          <cell r="Z2" t="str">
            <v>druk</v>
          </cell>
          <cell r="AA2" t="str">
            <v>druk</v>
          </cell>
          <cell r="AB2" t="str">
            <v>druk</v>
          </cell>
        </row>
        <row r="4">
          <cell r="A4" t="str">
            <v xml:space="preserve"> I- profielen</v>
          </cell>
          <cell r="C4" t="str">
            <v>g</v>
          </cell>
          <cell r="D4" t="str">
            <v>h</v>
          </cell>
          <cell r="E4" t="str">
            <v>b</v>
          </cell>
          <cell r="F4" t="str">
            <v>tw</v>
          </cell>
          <cell r="G4" t="str">
            <v>tf</v>
          </cell>
          <cell r="H4" t="str">
            <v>A</v>
          </cell>
          <cell r="I4" t="str">
            <v>Iy</v>
          </cell>
          <cell r="J4" t="str">
            <v>Wy</v>
          </cell>
          <cell r="K4" t="str">
            <v>Wply</v>
          </cell>
          <cell r="L4" t="str">
            <v>iy</v>
          </cell>
          <cell r="M4" t="str">
            <v>Avz</v>
          </cell>
          <cell r="N4" t="str">
            <v>Iz</v>
          </cell>
          <cell r="O4" t="str">
            <v>Wz</v>
          </cell>
          <cell r="P4" t="str">
            <v>Wplz</v>
          </cell>
          <cell r="Q4" t="str">
            <v>iz</v>
          </cell>
          <cell r="R4" t="str">
            <v>Ss</v>
          </cell>
          <cell r="S4" t="str">
            <v>It</v>
          </cell>
          <cell r="T4" t="str">
            <v>Iw</v>
          </cell>
          <cell r="W4">
            <v>235</v>
          </cell>
          <cell r="X4">
            <v>355</v>
          </cell>
          <cell r="Y4">
            <v>460</v>
          </cell>
          <cell r="Z4">
            <v>235</v>
          </cell>
          <cell r="AA4">
            <v>355</v>
          </cell>
          <cell r="AB4">
            <v>460</v>
          </cell>
        </row>
        <row r="5">
          <cell r="C5" t="str">
            <v>kg/m</v>
          </cell>
          <cell r="D5" t="str">
            <v>mm</v>
          </cell>
          <cell r="E5" t="str">
            <v>mm</v>
          </cell>
          <cell r="F5" t="str">
            <v>mm</v>
          </cell>
          <cell r="G5" t="str">
            <v>mm</v>
          </cell>
          <cell r="H5" t="str">
            <v>mm2</v>
          </cell>
          <cell r="I5" t="str">
            <v>mm4</v>
          </cell>
          <cell r="J5" t="str">
            <v>mm3</v>
          </cell>
          <cell r="K5" t="str">
            <v>mm3</v>
          </cell>
          <cell r="L5" t="str">
            <v>mm</v>
          </cell>
          <cell r="M5" t="str">
            <v>mm2</v>
          </cell>
          <cell r="N5" t="str">
            <v>mm4</v>
          </cell>
          <cell r="O5" t="str">
            <v>mm3</v>
          </cell>
          <cell r="P5" t="str">
            <v>mm3</v>
          </cell>
          <cell r="Q5" t="str">
            <v>mm</v>
          </cell>
          <cell r="R5" t="str">
            <v>mm</v>
          </cell>
          <cell r="S5" t="str">
            <v>mm3</v>
          </cell>
          <cell r="T5" t="str">
            <v>mm6</v>
          </cell>
        </row>
        <row r="6">
          <cell r="A6" t="str">
            <v>IPEA80</v>
          </cell>
          <cell r="B6">
            <v>80</v>
          </cell>
          <cell r="C6">
            <v>5</v>
          </cell>
          <cell r="D6">
            <v>78</v>
          </cell>
          <cell r="E6">
            <v>46</v>
          </cell>
          <cell r="F6">
            <v>3.3</v>
          </cell>
          <cell r="G6">
            <v>4.2</v>
          </cell>
          <cell r="H6">
            <v>638</v>
          </cell>
          <cell r="I6">
            <v>643800</v>
          </cell>
          <cell r="J6">
            <v>16510</v>
          </cell>
          <cell r="K6">
            <v>18980</v>
          </cell>
          <cell r="L6">
            <v>31.8</v>
          </cell>
          <cell r="M6">
            <v>307</v>
          </cell>
          <cell r="N6">
            <v>68500</v>
          </cell>
          <cell r="O6">
            <v>2980</v>
          </cell>
          <cell r="P6">
            <v>4690</v>
          </cell>
          <cell r="Q6">
            <v>10.4</v>
          </cell>
          <cell r="R6">
            <v>17.600000000000001</v>
          </cell>
          <cell r="S6">
            <v>4200</v>
          </cell>
          <cell r="T6">
            <v>92773569.671999991</v>
          </cell>
          <cell r="W6">
            <v>1</v>
          </cell>
          <cell r="X6">
            <v>1</v>
          </cell>
          <cell r="Y6">
            <v>1</v>
          </cell>
          <cell r="Z6">
            <v>1</v>
          </cell>
          <cell r="AA6">
            <v>1</v>
          </cell>
          <cell r="AB6">
            <v>1</v>
          </cell>
        </row>
        <row r="7">
          <cell r="A7" t="str">
            <v>IPE80</v>
          </cell>
          <cell r="B7">
            <v>80</v>
          </cell>
          <cell r="C7">
            <v>6</v>
          </cell>
          <cell r="D7">
            <v>80</v>
          </cell>
          <cell r="E7">
            <v>46</v>
          </cell>
          <cell r="F7">
            <v>3.8</v>
          </cell>
          <cell r="G7">
            <v>5.2</v>
          </cell>
          <cell r="H7">
            <v>764</v>
          </cell>
          <cell r="I7">
            <v>801400</v>
          </cell>
          <cell r="J7">
            <v>20030</v>
          </cell>
          <cell r="K7">
            <v>23220</v>
          </cell>
          <cell r="L7">
            <v>32.4</v>
          </cell>
          <cell r="M7">
            <v>358</v>
          </cell>
          <cell r="N7">
            <v>84900</v>
          </cell>
          <cell r="O7">
            <v>3690</v>
          </cell>
          <cell r="P7">
            <v>5820</v>
          </cell>
          <cell r="Q7">
            <v>10.5</v>
          </cell>
          <cell r="R7">
            <v>20.100000000000001</v>
          </cell>
          <cell r="S7">
            <v>7000</v>
          </cell>
          <cell r="T7">
            <v>117996409.57866667</v>
          </cell>
          <cell r="W7">
            <v>1</v>
          </cell>
          <cell r="X7">
            <v>1</v>
          </cell>
          <cell r="Y7">
            <v>1</v>
          </cell>
          <cell r="Z7">
            <v>1</v>
          </cell>
          <cell r="AA7">
            <v>1</v>
          </cell>
          <cell r="AB7">
            <v>1</v>
          </cell>
        </row>
        <row r="8">
          <cell r="A8" t="str">
            <v>IPEA100</v>
          </cell>
          <cell r="B8">
            <v>100</v>
          </cell>
          <cell r="C8">
            <v>6.9</v>
          </cell>
          <cell r="D8">
            <v>98</v>
          </cell>
          <cell r="E8">
            <v>55</v>
          </cell>
          <cell r="F8">
            <v>3.6</v>
          </cell>
          <cell r="G8">
            <v>4.7</v>
          </cell>
          <cell r="H8">
            <v>878</v>
          </cell>
          <cell r="I8">
            <v>1412000</v>
          </cell>
          <cell r="J8">
            <v>28810</v>
          </cell>
          <cell r="K8">
            <v>32980</v>
          </cell>
          <cell r="L8">
            <v>40.1</v>
          </cell>
          <cell r="M8">
            <v>444</v>
          </cell>
          <cell r="N8">
            <v>131200</v>
          </cell>
          <cell r="O8">
            <v>4770</v>
          </cell>
          <cell r="P8">
            <v>7540</v>
          </cell>
          <cell r="Q8">
            <v>12.2</v>
          </cell>
          <cell r="R8">
            <v>21.2</v>
          </cell>
          <cell r="S8">
            <v>7700</v>
          </cell>
          <cell r="T8">
            <v>283620731.109375</v>
          </cell>
          <cell r="W8">
            <v>1</v>
          </cell>
          <cell r="X8">
            <v>1</v>
          </cell>
          <cell r="Y8">
            <v>1</v>
          </cell>
          <cell r="Z8">
            <v>1</v>
          </cell>
          <cell r="AA8">
            <v>1</v>
          </cell>
          <cell r="AB8">
            <v>1</v>
          </cell>
        </row>
        <row r="9">
          <cell r="A9" t="str">
            <v>IPE100</v>
          </cell>
          <cell r="B9">
            <v>100</v>
          </cell>
          <cell r="C9">
            <v>8.1</v>
          </cell>
          <cell r="D9">
            <v>100</v>
          </cell>
          <cell r="E9">
            <v>55</v>
          </cell>
          <cell r="F9">
            <v>4.0999999999999996</v>
          </cell>
          <cell r="G9">
            <v>5.7</v>
          </cell>
          <cell r="H9">
            <v>1032</v>
          </cell>
          <cell r="I9">
            <v>1710000</v>
          </cell>
          <cell r="J9">
            <v>34200</v>
          </cell>
          <cell r="K9">
            <v>39410</v>
          </cell>
          <cell r="L9">
            <v>40.700000000000003</v>
          </cell>
          <cell r="M9">
            <v>508</v>
          </cell>
          <cell r="N9">
            <v>159200</v>
          </cell>
          <cell r="O9">
            <v>5790</v>
          </cell>
          <cell r="P9">
            <v>9150</v>
          </cell>
          <cell r="Q9">
            <v>12.4</v>
          </cell>
          <cell r="R9">
            <v>23.7</v>
          </cell>
          <cell r="S9">
            <v>12000</v>
          </cell>
          <cell r="T9">
            <v>351378405.640625</v>
          </cell>
          <cell r="W9">
            <v>1</v>
          </cell>
          <cell r="X9">
            <v>1</v>
          </cell>
          <cell r="Y9">
            <v>1</v>
          </cell>
          <cell r="Z9">
            <v>1</v>
          </cell>
          <cell r="AA9">
            <v>1</v>
          </cell>
          <cell r="AB9">
            <v>1</v>
          </cell>
        </row>
        <row r="10">
          <cell r="A10" t="str">
            <v>IPEA120</v>
          </cell>
          <cell r="B10">
            <v>120</v>
          </cell>
          <cell r="C10">
            <v>8.6999999999999993</v>
          </cell>
          <cell r="D10">
            <v>117.6</v>
          </cell>
          <cell r="E10">
            <v>64</v>
          </cell>
          <cell r="F10">
            <v>3.8</v>
          </cell>
          <cell r="G10">
            <v>5.0999999999999996</v>
          </cell>
          <cell r="H10">
            <v>1103</v>
          </cell>
          <cell r="I10">
            <v>2574000</v>
          </cell>
          <cell r="J10">
            <v>43770</v>
          </cell>
          <cell r="K10">
            <v>49870</v>
          </cell>
          <cell r="L10">
            <v>48.3</v>
          </cell>
          <cell r="M10">
            <v>541</v>
          </cell>
          <cell r="N10">
            <v>223900</v>
          </cell>
          <cell r="O10">
            <v>7000</v>
          </cell>
          <cell r="P10">
            <v>10980</v>
          </cell>
          <cell r="Q10">
            <v>14.2</v>
          </cell>
          <cell r="R10">
            <v>22.2</v>
          </cell>
          <cell r="S10">
            <v>10400</v>
          </cell>
          <cell r="T10">
            <v>705023999.99999988</v>
          </cell>
          <cell r="W10">
            <v>1</v>
          </cell>
          <cell r="X10">
            <v>1</v>
          </cell>
          <cell r="Y10">
            <v>1</v>
          </cell>
          <cell r="Z10">
            <v>1</v>
          </cell>
          <cell r="AA10">
            <v>1</v>
          </cell>
          <cell r="AB10">
            <v>2</v>
          </cell>
        </row>
        <row r="11">
          <cell r="A11" t="str">
            <v>IPE120</v>
          </cell>
          <cell r="B11">
            <v>120</v>
          </cell>
          <cell r="C11">
            <v>10.4</v>
          </cell>
          <cell r="D11">
            <v>120</v>
          </cell>
          <cell r="E11">
            <v>64</v>
          </cell>
          <cell r="F11">
            <v>4.4000000000000004</v>
          </cell>
          <cell r="G11">
            <v>6.3</v>
          </cell>
          <cell r="H11">
            <v>1321</v>
          </cell>
          <cell r="I11">
            <v>3178000</v>
          </cell>
          <cell r="J11">
            <v>52960</v>
          </cell>
          <cell r="K11">
            <v>60730</v>
          </cell>
          <cell r="L11">
            <v>49</v>
          </cell>
          <cell r="M11">
            <v>631</v>
          </cell>
          <cell r="N11">
            <v>276700</v>
          </cell>
          <cell r="O11">
            <v>8650</v>
          </cell>
          <cell r="P11">
            <v>13580</v>
          </cell>
          <cell r="Q11">
            <v>14.5</v>
          </cell>
          <cell r="R11">
            <v>25.2</v>
          </cell>
          <cell r="S11">
            <v>17400</v>
          </cell>
          <cell r="T11">
            <v>889590546.43200004</v>
          </cell>
          <cell r="W11">
            <v>1</v>
          </cell>
          <cell r="X11">
            <v>1</v>
          </cell>
          <cell r="Y11">
            <v>1</v>
          </cell>
          <cell r="Z11">
            <v>1</v>
          </cell>
          <cell r="AA11">
            <v>1</v>
          </cell>
          <cell r="AB11">
            <v>1</v>
          </cell>
        </row>
        <row r="12">
          <cell r="A12" t="str">
            <v>IPEA140</v>
          </cell>
          <cell r="B12">
            <v>140</v>
          </cell>
          <cell r="C12">
            <v>10.5</v>
          </cell>
          <cell r="D12">
            <v>137.4</v>
          </cell>
          <cell r="E12">
            <v>73</v>
          </cell>
          <cell r="F12">
            <v>3.8</v>
          </cell>
          <cell r="G12">
            <v>5.6</v>
          </cell>
          <cell r="H12">
            <v>1339</v>
          </cell>
          <cell r="I12">
            <v>4349000</v>
          </cell>
          <cell r="J12">
            <v>63300</v>
          </cell>
          <cell r="K12">
            <v>71600</v>
          </cell>
          <cell r="L12">
            <v>57</v>
          </cell>
          <cell r="M12">
            <v>621</v>
          </cell>
          <cell r="N12">
            <v>364200</v>
          </cell>
          <cell r="O12">
            <v>9980</v>
          </cell>
          <cell r="P12">
            <v>15520</v>
          </cell>
          <cell r="Q12">
            <v>16.5</v>
          </cell>
          <cell r="R12">
            <v>23.2</v>
          </cell>
          <cell r="S12">
            <v>13600</v>
          </cell>
          <cell r="T12">
            <v>1576798456.5853331</v>
          </cell>
          <cell r="W12">
            <v>1</v>
          </cell>
          <cell r="X12">
            <v>1</v>
          </cell>
          <cell r="Y12">
            <v>1</v>
          </cell>
          <cell r="Z12">
            <v>1</v>
          </cell>
          <cell r="AA12">
            <v>2</v>
          </cell>
          <cell r="AB12">
            <v>3</v>
          </cell>
        </row>
        <row r="13">
          <cell r="A13" t="str">
            <v>IPE140</v>
          </cell>
          <cell r="B13">
            <v>140</v>
          </cell>
          <cell r="C13">
            <v>12.9</v>
          </cell>
          <cell r="D13">
            <v>140</v>
          </cell>
          <cell r="E13">
            <v>73</v>
          </cell>
          <cell r="F13">
            <v>4.7</v>
          </cell>
          <cell r="G13">
            <v>6.9</v>
          </cell>
          <cell r="H13">
            <v>1643</v>
          </cell>
          <cell r="I13">
            <v>5412000</v>
          </cell>
          <cell r="J13">
            <v>77320</v>
          </cell>
          <cell r="K13">
            <v>88340</v>
          </cell>
          <cell r="L13">
            <v>57.4</v>
          </cell>
          <cell r="M13">
            <v>764</v>
          </cell>
          <cell r="N13">
            <v>449200</v>
          </cell>
          <cell r="O13">
            <v>12310</v>
          </cell>
          <cell r="P13">
            <v>19250</v>
          </cell>
          <cell r="Q13">
            <v>16.5</v>
          </cell>
          <cell r="R13">
            <v>26.7</v>
          </cell>
          <cell r="S13">
            <v>24500</v>
          </cell>
          <cell r="T13">
            <v>1981356118.4188747</v>
          </cell>
          <cell r="W13">
            <v>1</v>
          </cell>
          <cell r="X13">
            <v>1</v>
          </cell>
          <cell r="Y13">
            <v>1</v>
          </cell>
          <cell r="Z13">
            <v>1</v>
          </cell>
          <cell r="AA13">
            <v>1</v>
          </cell>
          <cell r="AB13">
            <v>2</v>
          </cell>
        </row>
        <row r="14">
          <cell r="A14" t="str">
            <v>IPEA160</v>
          </cell>
          <cell r="B14">
            <v>160</v>
          </cell>
          <cell r="C14">
            <v>12.7</v>
          </cell>
          <cell r="D14">
            <v>157</v>
          </cell>
          <cell r="E14">
            <v>82</v>
          </cell>
          <cell r="F14">
            <v>4</v>
          </cell>
          <cell r="G14">
            <v>5.9</v>
          </cell>
          <cell r="H14">
            <v>1618</v>
          </cell>
          <cell r="I14">
            <v>6893000</v>
          </cell>
          <cell r="J14">
            <v>87810</v>
          </cell>
          <cell r="K14">
            <v>99090</v>
          </cell>
          <cell r="L14">
            <v>65.3</v>
          </cell>
          <cell r="M14">
            <v>780</v>
          </cell>
          <cell r="N14">
            <v>544300</v>
          </cell>
          <cell r="O14">
            <v>13270</v>
          </cell>
          <cell r="P14">
            <v>20700</v>
          </cell>
          <cell r="Q14">
            <v>18.3</v>
          </cell>
          <cell r="R14">
            <v>26.3</v>
          </cell>
          <cell r="S14">
            <v>19600</v>
          </cell>
          <cell r="T14">
            <v>3094647988.0063338</v>
          </cell>
          <cell r="W14">
            <v>1</v>
          </cell>
          <cell r="X14">
            <v>1</v>
          </cell>
          <cell r="Y14">
            <v>1</v>
          </cell>
          <cell r="Z14">
            <v>1</v>
          </cell>
          <cell r="AA14">
            <v>3</v>
          </cell>
          <cell r="AB14">
            <v>4</v>
          </cell>
        </row>
        <row r="15">
          <cell r="A15" t="str">
            <v>IPE160</v>
          </cell>
          <cell r="B15">
            <v>160</v>
          </cell>
          <cell r="C15">
            <v>15.8</v>
          </cell>
          <cell r="D15">
            <v>160</v>
          </cell>
          <cell r="E15">
            <v>82</v>
          </cell>
          <cell r="F15">
            <v>5</v>
          </cell>
          <cell r="G15">
            <v>7.4</v>
          </cell>
          <cell r="H15">
            <v>2009</v>
          </cell>
          <cell r="I15">
            <v>8693000</v>
          </cell>
          <cell r="J15">
            <v>108700</v>
          </cell>
          <cell r="K15">
            <v>123900</v>
          </cell>
          <cell r="L15">
            <v>65.8</v>
          </cell>
          <cell r="M15">
            <v>966</v>
          </cell>
          <cell r="N15">
            <v>683100</v>
          </cell>
          <cell r="O15">
            <v>16660</v>
          </cell>
          <cell r="P15">
            <v>26100</v>
          </cell>
          <cell r="Q15">
            <v>18.399999999999999</v>
          </cell>
          <cell r="R15">
            <v>30.3</v>
          </cell>
          <cell r="S15">
            <v>36000</v>
          </cell>
          <cell r="T15">
            <v>3958868738.7013335</v>
          </cell>
          <cell r="W15">
            <v>1</v>
          </cell>
          <cell r="X15">
            <v>1</v>
          </cell>
          <cell r="Y15">
            <v>1</v>
          </cell>
          <cell r="Z15">
            <v>1</v>
          </cell>
          <cell r="AA15">
            <v>1</v>
          </cell>
          <cell r="AB15">
            <v>2</v>
          </cell>
        </row>
        <row r="16">
          <cell r="A16" t="str">
            <v>IPEA180</v>
          </cell>
          <cell r="B16">
            <v>180</v>
          </cell>
          <cell r="C16">
            <v>15.4</v>
          </cell>
          <cell r="D16">
            <v>177</v>
          </cell>
          <cell r="E16">
            <v>91</v>
          </cell>
          <cell r="F16">
            <v>4.3</v>
          </cell>
          <cell r="G16">
            <v>6.5</v>
          </cell>
          <cell r="H16">
            <v>1958</v>
          </cell>
          <cell r="I16">
            <v>10630000</v>
          </cell>
          <cell r="J16">
            <v>120100</v>
          </cell>
          <cell r="K16">
            <v>135300</v>
          </cell>
          <cell r="L16">
            <v>73.7</v>
          </cell>
          <cell r="M16">
            <v>920</v>
          </cell>
          <cell r="N16">
            <v>818900</v>
          </cell>
          <cell r="O16">
            <v>18000</v>
          </cell>
          <cell r="P16">
            <v>27960</v>
          </cell>
          <cell r="Q16">
            <v>20.5</v>
          </cell>
          <cell r="R16">
            <v>27.8</v>
          </cell>
          <cell r="S16">
            <v>27000</v>
          </cell>
          <cell r="T16">
            <v>5933009702.411458</v>
          </cell>
          <cell r="W16">
            <v>1</v>
          </cell>
          <cell r="X16">
            <v>1</v>
          </cell>
          <cell r="Y16">
            <v>1</v>
          </cell>
          <cell r="Z16">
            <v>2</v>
          </cell>
          <cell r="AA16">
            <v>3</v>
          </cell>
          <cell r="AB16">
            <v>4</v>
          </cell>
        </row>
        <row r="17">
          <cell r="A17" t="str">
            <v>IPE180</v>
          </cell>
          <cell r="B17">
            <v>180</v>
          </cell>
          <cell r="C17">
            <v>18.8</v>
          </cell>
          <cell r="D17">
            <v>180</v>
          </cell>
          <cell r="E17">
            <v>91</v>
          </cell>
          <cell r="F17">
            <v>5.3</v>
          </cell>
          <cell r="G17">
            <v>8</v>
          </cell>
          <cell r="H17">
            <v>2395</v>
          </cell>
          <cell r="I17">
            <v>13170000</v>
          </cell>
          <cell r="J17">
            <v>146300</v>
          </cell>
          <cell r="K17">
            <v>166400</v>
          </cell>
          <cell r="L17">
            <v>74.2</v>
          </cell>
          <cell r="M17">
            <v>1125</v>
          </cell>
          <cell r="N17">
            <v>1009000</v>
          </cell>
          <cell r="O17">
            <v>22160</v>
          </cell>
          <cell r="P17">
            <v>34600</v>
          </cell>
          <cell r="Q17">
            <v>20.5</v>
          </cell>
          <cell r="R17">
            <v>31.8</v>
          </cell>
          <cell r="S17">
            <v>47900</v>
          </cell>
          <cell r="T17">
            <v>7431214821.333333</v>
          </cell>
          <cell r="W17">
            <v>1</v>
          </cell>
          <cell r="X17">
            <v>1</v>
          </cell>
          <cell r="Y17">
            <v>1</v>
          </cell>
          <cell r="Z17">
            <v>1</v>
          </cell>
          <cell r="AA17">
            <v>2</v>
          </cell>
          <cell r="AB17">
            <v>3</v>
          </cell>
        </row>
        <row r="18">
          <cell r="A18" t="str">
            <v>IPEO180</v>
          </cell>
          <cell r="B18">
            <v>180</v>
          </cell>
          <cell r="C18">
            <v>21.3</v>
          </cell>
          <cell r="D18">
            <v>182</v>
          </cell>
          <cell r="E18">
            <v>92</v>
          </cell>
          <cell r="F18">
            <v>6</v>
          </cell>
          <cell r="G18">
            <v>9</v>
          </cell>
          <cell r="H18">
            <v>2710</v>
          </cell>
          <cell r="I18">
            <v>15050000</v>
          </cell>
          <cell r="J18">
            <v>165400</v>
          </cell>
          <cell r="K18">
            <v>189100</v>
          </cell>
          <cell r="L18">
            <v>74.5</v>
          </cell>
          <cell r="M18">
            <v>1270</v>
          </cell>
          <cell r="N18">
            <v>1173000</v>
          </cell>
          <cell r="O18">
            <v>25500</v>
          </cell>
          <cell r="P18">
            <v>39910</v>
          </cell>
          <cell r="Q18">
            <v>20.8</v>
          </cell>
          <cell r="R18">
            <v>34.5</v>
          </cell>
          <cell r="S18">
            <v>67600</v>
          </cell>
          <cell r="T18">
            <v>8739507432</v>
          </cell>
          <cell r="W18">
            <v>1</v>
          </cell>
          <cell r="X18">
            <v>1</v>
          </cell>
          <cell r="Y18">
            <v>1</v>
          </cell>
          <cell r="Z18">
            <v>1</v>
          </cell>
          <cell r="AA18">
            <v>1</v>
          </cell>
          <cell r="AB18">
            <v>2</v>
          </cell>
        </row>
        <row r="19">
          <cell r="A19" t="str">
            <v>IPEA200</v>
          </cell>
          <cell r="B19">
            <v>200</v>
          </cell>
          <cell r="C19">
            <v>18.399999999999999</v>
          </cell>
          <cell r="D19">
            <v>197</v>
          </cell>
          <cell r="E19">
            <v>100</v>
          </cell>
          <cell r="F19">
            <v>4.5</v>
          </cell>
          <cell r="G19">
            <v>7</v>
          </cell>
          <cell r="H19">
            <v>2347</v>
          </cell>
          <cell r="I19">
            <v>15910000</v>
          </cell>
          <cell r="J19">
            <v>161600</v>
          </cell>
          <cell r="K19">
            <v>181700</v>
          </cell>
          <cell r="L19">
            <v>82.3</v>
          </cell>
          <cell r="M19">
            <v>1147</v>
          </cell>
          <cell r="N19">
            <v>1172000</v>
          </cell>
          <cell r="O19">
            <v>23430</v>
          </cell>
          <cell r="P19">
            <v>36540</v>
          </cell>
          <cell r="Q19">
            <v>22.3</v>
          </cell>
          <cell r="R19">
            <v>32.6</v>
          </cell>
          <cell r="S19">
            <v>41100</v>
          </cell>
          <cell r="T19">
            <v>10529166666.666666</v>
          </cell>
          <cell r="W19">
            <v>1</v>
          </cell>
          <cell r="X19">
            <v>1</v>
          </cell>
          <cell r="Y19">
            <v>1</v>
          </cell>
          <cell r="Z19">
            <v>2</v>
          </cell>
          <cell r="AA19">
            <v>4</v>
          </cell>
          <cell r="AB19">
            <v>4</v>
          </cell>
        </row>
        <row r="20">
          <cell r="A20" t="str">
            <v>IPE200</v>
          </cell>
          <cell r="B20">
            <v>200</v>
          </cell>
          <cell r="C20">
            <v>22.4</v>
          </cell>
          <cell r="D20">
            <v>200</v>
          </cell>
          <cell r="E20">
            <v>100</v>
          </cell>
          <cell r="F20">
            <v>5.6</v>
          </cell>
          <cell r="G20">
            <v>8.5</v>
          </cell>
          <cell r="H20">
            <v>2848</v>
          </cell>
          <cell r="I20">
            <v>19430000</v>
          </cell>
          <cell r="J20">
            <v>194300</v>
          </cell>
          <cell r="K20">
            <v>220600</v>
          </cell>
          <cell r="L20">
            <v>82.6</v>
          </cell>
          <cell r="M20">
            <v>1400</v>
          </cell>
          <cell r="N20">
            <v>1424000</v>
          </cell>
          <cell r="O20">
            <v>28470</v>
          </cell>
          <cell r="P20">
            <v>44610</v>
          </cell>
          <cell r="Q20">
            <v>22.4</v>
          </cell>
          <cell r="R20">
            <v>36.700000000000003</v>
          </cell>
          <cell r="S20">
            <v>69800</v>
          </cell>
          <cell r="T20">
            <v>12988088541.666666</v>
          </cell>
          <cell r="W20">
            <v>1</v>
          </cell>
          <cell r="X20">
            <v>1</v>
          </cell>
          <cell r="Y20">
            <v>1</v>
          </cell>
          <cell r="Z20">
            <v>1</v>
          </cell>
          <cell r="AA20">
            <v>2</v>
          </cell>
          <cell r="AB20">
            <v>3</v>
          </cell>
        </row>
        <row r="21">
          <cell r="A21" t="str">
            <v>IPEO200</v>
          </cell>
          <cell r="B21">
            <v>200</v>
          </cell>
          <cell r="C21">
            <v>25.1</v>
          </cell>
          <cell r="D21">
            <v>202</v>
          </cell>
          <cell r="E21">
            <v>102</v>
          </cell>
          <cell r="F21">
            <v>6.2</v>
          </cell>
          <cell r="G21">
            <v>9.5</v>
          </cell>
          <cell r="H21">
            <v>3196</v>
          </cell>
          <cell r="I21">
            <v>22110000</v>
          </cell>
          <cell r="J21">
            <v>218900</v>
          </cell>
          <cell r="K21">
            <v>249400</v>
          </cell>
          <cell r="L21">
            <v>83.2</v>
          </cell>
          <cell r="M21">
            <v>1545</v>
          </cell>
          <cell r="N21">
            <v>1689000</v>
          </cell>
          <cell r="O21">
            <v>33110</v>
          </cell>
          <cell r="P21">
            <v>51890</v>
          </cell>
          <cell r="Q21">
            <v>23</v>
          </cell>
          <cell r="R21">
            <v>39.299999999999997</v>
          </cell>
          <cell r="S21">
            <v>94500</v>
          </cell>
          <cell r="T21">
            <v>15565903959.375</v>
          </cell>
          <cell r="W21">
            <v>1</v>
          </cell>
          <cell r="X21">
            <v>1</v>
          </cell>
          <cell r="Y21">
            <v>1</v>
          </cell>
          <cell r="Z21">
            <v>1</v>
          </cell>
          <cell r="AA21">
            <v>1</v>
          </cell>
          <cell r="AB21">
            <v>2</v>
          </cell>
        </row>
        <row r="22">
          <cell r="A22" t="str">
            <v>IPEA220</v>
          </cell>
          <cell r="B22">
            <v>220</v>
          </cell>
          <cell r="C22">
            <v>22.2</v>
          </cell>
          <cell r="D22">
            <v>217</v>
          </cell>
          <cell r="E22">
            <v>110</v>
          </cell>
          <cell r="F22">
            <v>5</v>
          </cell>
          <cell r="G22">
            <v>7.7</v>
          </cell>
          <cell r="H22">
            <v>2826</v>
          </cell>
          <cell r="I22">
            <v>23170000</v>
          </cell>
          <cell r="J22">
            <v>213500</v>
          </cell>
          <cell r="K22">
            <v>240200</v>
          </cell>
          <cell r="L22">
            <v>90.5</v>
          </cell>
          <cell r="M22">
            <v>1355</v>
          </cell>
          <cell r="N22">
            <v>1714000</v>
          </cell>
          <cell r="O22">
            <v>31170</v>
          </cell>
          <cell r="P22">
            <v>48490</v>
          </cell>
          <cell r="Q22">
            <v>24.6</v>
          </cell>
          <cell r="R22">
            <v>34.5</v>
          </cell>
          <cell r="S22">
            <v>56900</v>
          </cell>
          <cell r="T22">
            <v>18706648919.291668</v>
          </cell>
          <cell r="W22">
            <v>1</v>
          </cell>
          <cell r="X22">
            <v>1</v>
          </cell>
          <cell r="Y22">
            <v>1</v>
          </cell>
          <cell r="Z22">
            <v>2</v>
          </cell>
          <cell r="AA22">
            <v>4</v>
          </cell>
          <cell r="AB22">
            <v>4</v>
          </cell>
        </row>
        <row r="23">
          <cell r="A23" t="str">
            <v>IPE220</v>
          </cell>
          <cell r="B23">
            <v>220</v>
          </cell>
          <cell r="C23">
            <v>26.2</v>
          </cell>
          <cell r="D23">
            <v>220</v>
          </cell>
          <cell r="E23">
            <v>110</v>
          </cell>
          <cell r="F23">
            <v>5.9</v>
          </cell>
          <cell r="G23">
            <v>9.1999999999999993</v>
          </cell>
          <cell r="H23">
            <v>3337</v>
          </cell>
          <cell r="I23">
            <v>27720000</v>
          </cell>
          <cell r="J23">
            <v>252000</v>
          </cell>
          <cell r="K23">
            <v>285400</v>
          </cell>
          <cell r="L23">
            <v>91.1</v>
          </cell>
          <cell r="M23">
            <v>1588</v>
          </cell>
          <cell r="N23">
            <v>2049000</v>
          </cell>
          <cell r="O23">
            <v>37250</v>
          </cell>
          <cell r="P23">
            <v>58110</v>
          </cell>
          <cell r="Q23">
            <v>24.8</v>
          </cell>
          <cell r="R23">
            <v>38.4</v>
          </cell>
          <cell r="S23">
            <v>90700</v>
          </cell>
          <cell r="T23">
            <v>22672314338.666668</v>
          </cell>
          <cell r="W23">
            <v>1</v>
          </cell>
          <cell r="X23">
            <v>1</v>
          </cell>
          <cell r="Y23">
            <v>1</v>
          </cell>
          <cell r="Z23">
            <v>1</v>
          </cell>
          <cell r="AA23">
            <v>2</v>
          </cell>
          <cell r="AB23">
            <v>4</v>
          </cell>
        </row>
        <row r="24">
          <cell r="A24" t="str">
            <v>IPEO220</v>
          </cell>
          <cell r="B24">
            <v>220</v>
          </cell>
          <cell r="C24">
            <v>29.4</v>
          </cell>
          <cell r="D24">
            <v>222</v>
          </cell>
          <cell r="E24">
            <v>112</v>
          </cell>
          <cell r="F24">
            <v>6.6</v>
          </cell>
          <cell r="G24">
            <v>10.199999999999999</v>
          </cell>
          <cell r="H24">
            <v>3739</v>
          </cell>
          <cell r="I24">
            <v>31340000</v>
          </cell>
          <cell r="J24">
            <v>282300</v>
          </cell>
          <cell r="K24">
            <v>321100</v>
          </cell>
          <cell r="L24">
            <v>91.6</v>
          </cell>
          <cell r="M24">
            <v>1766</v>
          </cell>
          <cell r="N24">
            <v>2398000</v>
          </cell>
          <cell r="O24">
            <v>42830</v>
          </cell>
          <cell r="P24">
            <v>66910</v>
          </cell>
          <cell r="Q24">
            <v>25.3</v>
          </cell>
          <cell r="R24">
            <v>41.1</v>
          </cell>
          <cell r="S24">
            <v>122700</v>
          </cell>
          <cell r="T24">
            <v>26785200992.256001</v>
          </cell>
          <cell r="W24">
            <v>1</v>
          </cell>
          <cell r="X24">
            <v>1</v>
          </cell>
          <cell r="Y24">
            <v>1</v>
          </cell>
          <cell r="Z24">
            <v>1</v>
          </cell>
          <cell r="AA24">
            <v>2</v>
          </cell>
          <cell r="AB24">
            <v>2</v>
          </cell>
        </row>
        <row r="25">
          <cell r="A25" t="str">
            <v>IPEA240</v>
          </cell>
          <cell r="B25">
            <v>240</v>
          </cell>
          <cell r="C25">
            <v>26.2</v>
          </cell>
          <cell r="D25">
            <v>237</v>
          </cell>
          <cell r="E25">
            <v>120</v>
          </cell>
          <cell r="F25">
            <v>5.2</v>
          </cell>
          <cell r="G25">
            <v>8.3000000000000007</v>
          </cell>
          <cell r="H25">
            <v>3331</v>
          </cell>
          <cell r="I25">
            <v>32900000</v>
          </cell>
          <cell r="J25">
            <v>277700</v>
          </cell>
          <cell r="K25">
            <v>311600</v>
          </cell>
          <cell r="L25">
            <v>99.4</v>
          </cell>
          <cell r="M25">
            <v>1631</v>
          </cell>
          <cell r="N25">
            <v>2401000</v>
          </cell>
          <cell r="O25">
            <v>40020</v>
          </cell>
          <cell r="P25">
            <v>62400</v>
          </cell>
          <cell r="Q25">
            <v>26.8</v>
          </cell>
          <cell r="R25">
            <v>39.4</v>
          </cell>
          <cell r="S25">
            <v>83500</v>
          </cell>
          <cell r="T25">
            <v>31256685144</v>
          </cell>
          <cell r="W25">
            <v>1</v>
          </cell>
          <cell r="X25">
            <v>1</v>
          </cell>
          <cell r="Y25">
            <v>2</v>
          </cell>
          <cell r="Z25">
            <v>2</v>
          </cell>
          <cell r="AA25">
            <v>4</v>
          </cell>
          <cell r="AB25">
            <v>4</v>
          </cell>
        </row>
        <row r="26">
          <cell r="A26" t="str">
            <v>IPE240</v>
          </cell>
          <cell r="B26">
            <v>240</v>
          </cell>
          <cell r="C26">
            <v>30.7</v>
          </cell>
          <cell r="D26">
            <v>240</v>
          </cell>
          <cell r="E26">
            <v>120</v>
          </cell>
          <cell r="F26">
            <v>6.2</v>
          </cell>
          <cell r="G26">
            <v>9.8000000000000007</v>
          </cell>
          <cell r="H26">
            <v>3912</v>
          </cell>
          <cell r="I26">
            <v>38920000</v>
          </cell>
          <cell r="J26">
            <v>324300</v>
          </cell>
          <cell r="K26">
            <v>366600</v>
          </cell>
          <cell r="L26">
            <v>99.7</v>
          </cell>
          <cell r="M26">
            <v>1914</v>
          </cell>
          <cell r="N26">
            <v>2836000</v>
          </cell>
          <cell r="O26">
            <v>47270</v>
          </cell>
          <cell r="P26">
            <v>73920</v>
          </cell>
          <cell r="Q26">
            <v>26.9</v>
          </cell>
          <cell r="R26">
            <v>43.4</v>
          </cell>
          <cell r="S26">
            <v>128800</v>
          </cell>
          <cell r="T26">
            <v>37391183423.999992</v>
          </cell>
          <cell r="W26">
            <v>1</v>
          </cell>
          <cell r="X26">
            <v>1</v>
          </cell>
          <cell r="Y26">
            <v>1</v>
          </cell>
          <cell r="Z26">
            <v>1</v>
          </cell>
          <cell r="AA26">
            <v>2</v>
          </cell>
          <cell r="AB26">
            <v>4</v>
          </cell>
        </row>
        <row r="27">
          <cell r="A27" t="str">
            <v>IPEO240</v>
          </cell>
          <cell r="B27">
            <v>240</v>
          </cell>
          <cell r="C27">
            <v>34.299999999999997</v>
          </cell>
          <cell r="D27">
            <v>242</v>
          </cell>
          <cell r="E27">
            <v>122</v>
          </cell>
          <cell r="F27">
            <v>7</v>
          </cell>
          <cell r="G27">
            <v>10.8</v>
          </cell>
          <cell r="H27">
            <v>4371</v>
          </cell>
          <cell r="I27">
            <v>43690000</v>
          </cell>
          <cell r="J27">
            <v>361100</v>
          </cell>
          <cell r="K27">
            <v>410300</v>
          </cell>
          <cell r="L27">
            <v>100</v>
          </cell>
          <cell r="M27">
            <v>2136</v>
          </cell>
          <cell r="N27">
            <v>3285000</v>
          </cell>
          <cell r="O27">
            <v>53860</v>
          </cell>
          <cell r="P27">
            <v>84400</v>
          </cell>
          <cell r="Q27">
            <v>27.4</v>
          </cell>
          <cell r="R27">
            <v>46.2</v>
          </cell>
          <cell r="S27">
            <v>171800</v>
          </cell>
          <cell r="T27">
            <v>43678494952.704002</v>
          </cell>
          <cell r="W27">
            <v>1</v>
          </cell>
          <cell r="X27">
            <v>1</v>
          </cell>
          <cell r="Y27">
            <v>1</v>
          </cell>
          <cell r="Z27">
            <v>1</v>
          </cell>
          <cell r="AA27">
            <v>2</v>
          </cell>
          <cell r="AB27">
            <v>3</v>
          </cell>
        </row>
        <row r="28">
          <cell r="A28" t="str">
            <v>IPEA270</v>
          </cell>
          <cell r="B28">
            <v>270</v>
          </cell>
          <cell r="C28">
            <v>30.7</v>
          </cell>
          <cell r="D28">
            <v>267</v>
          </cell>
          <cell r="E28">
            <v>135</v>
          </cell>
          <cell r="F28">
            <v>5.5</v>
          </cell>
          <cell r="G28">
            <v>8.6999999999999993</v>
          </cell>
          <cell r="H28">
            <v>3915</v>
          </cell>
          <cell r="I28">
            <v>49170000</v>
          </cell>
          <cell r="J28">
            <v>368300</v>
          </cell>
          <cell r="K28">
            <v>412500</v>
          </cell>
          <cell r="L28">
            <v>112.1</v>
          </cell>
          <cell r="M28">
            <v>1875</v>
          </cell>
          <cell r="N28">
            <v>3580000</v>
          </cell>
          <cell r="O28">
            <v>53030</v>
          </cell>
          <cell r="P28">
            <v>82340</v>
          </cell>
          <cell r="Q28">
            <v>30.2</v>
          </cell>
          <cell r="R28">
            <v>40.5</v>
          </cell>
          <cell r="S28">
            <v>103000</v>
          </cell>
          <cell r="T28">
            <v>59505639756.609375</v>
          </cell>
          <cell r="W28">
            <v>1</v>
          </cell>
          <cell r="X28">
            <v>1</v>
          </cell>
          <cell r="Y28">
            <v>2</v>
          </cell>
          <cell r="Z28">
            <v>3</v>
          </cell>
          <cell r="AA28">
            <v>4</v>
          </cell>
          <cell r="AB28">
            <v>4</v>
          </cell>
        </row>
        <row r="29">
          <cell r="A29" t="str">
            <v>IPE270</v>
          </cell>
          <cell r="B29">
            <v>270</v>
          </cell>
          <cell r="C29">
            <v>36.1</v>
          </cell>
          <cell r="D29">
            <v>270</v>
          </cell>
          <cell r="E29">
            <v>135</v>
          </cell>
          <cell r="F29">
            <v>6.6</v>
          </cell>
          <cell r="G29">
            <v>10.199999999999999</v>
          </cell>
          <cell r="H29">
            <v>4594</v>
          </cell>
          <cell r="I29">
            <v>57900000</v>
          </cell>
          <cell r="J29">
            <v>428900</v>
          </cell>
          <cell r="K29">
            <v>484000</v>
          </cell>
          <cell r="L29">
            <v>112.3</v>
          </cell>
          <cell r="M29">
            <v>2214</v>
          </cell>
          <cell r="N29">
            <v>4199000</v>
          </cell>
          <cell r="O29">
            <v>62200</v>
          </cell>
          <cell r="P29">
            <v>96950</v>
          </cell>
          <cell r="Q29">
            <v>30.2</v>
          </cell>
          <cell r="R29">
            <v>44.6</v>
          </cell>
          <cell r="S29">
            <v>159400</v>
          </cell>
          <cell r="T29">
            <v>70577867001.375015</v>
          </cell>
          <cell r="W29">
            <v>1</v>
          </cell>
          <cell r="X29">
            <v>1</v>
          </cell>
          <cell r="Y29">
            <v>1</v>
          </cell>
          <cell r="Z29">
            <v>2</v>
          </cell>
          <cell r="AA29">
            <v>3</v>
          </cell>
          <cell r="AB29">
            <v>4</v>
          </cell>
        </row>
        <row r="30">
          <cell r="A30" t="str">
            <v>IPEO270</v>
          </cell>
          <cell r="B30">
            <v>270</v>
          </cell>
          <cell r="C30">
            <v>42.3</v>
          </cell>
          <cell r="D30">
            <v>274</v>
          </cell>
          <cell r="E30">
            <v>136</v>
          </cell>
          <cell r="F30">
            <v>7.5</v>
          </cell>
          <cell r="G30">
            <v>12.2</v>
          </cell>
          <cell r="H30">
            <v>5384</v>
          </cell>
          <cell r="I30">
            <v>69470000</v>
          </cell>
          <cell r="J30">
            <v>507100</v>
          </cell>
          <cell r="K30">
            <v>574600</v>
          </cell>
          <cell r="L30">
            <v>113.6</v>
          </cell>
          <cell r="M30">
            <v>2523</v>
          </cell>
          <cell r="N30">
            <v>5135000</v>
          </cell>
          <cell r="O30">
            <v>75510</v>
          </cell>
          <cell r="P30">
            <v>117700</v>
          </cell>
          <cell r="Q30">
            <v>30.9</v>
          </cell>
          <cell r="R30">
            <v>49.5</v>
          </cell>
          <cell r="S30">
            <v>249000</v>
          </cell>
          <cell r="T30">
            <v>87640449934.165329</v>
          </cell>
          <cell r="W30">
            <v>1</v>
          </cell>
          <cell r="X30">
            <v>1</v>
          </cell>
          <cell r="Y30">
            <v>1</v>
          </cell>
          <cell r="Z30">
            <v>1</v>
          </cell>
          <cell r="AA30">
            <v>2</v>
          </cell>
          <cell r="AB30">
            <v>3</v>
          </cell>
        </row>
        <row r="31">
          <cell r="A31" t="str">
            <v>IPEA300</v>
          </cell>
          <cell r="B31">
            <v>300</v>
          </cell>
          <cell r="C31">
            <v>36.5</v>
          </cell>
          <cell r="D31">
            <v>297</v>
          </cell>
          <cell r="E31">
            <v>150</v>
          </cell>
          <cell r="F31">
            <v>6.1</v>
          </cell>
          <cell r="G31">
            <v>9.1999999999999993</v>
          </cell>
          <cell r="H31">
            <v>4653</v>
          </cell>
          <cell r="I31">
            <v>71730000</v>
          </cell>
          <cell r="J31">
            <v>483100</v>
          </cell>
          <cell r="K31">
            <v>541800</v>
          </cell>
          <cell r="L31">
            <v>124.2</v>
          </cell>
          <cell r="M31">
            <v>2225</v>
          </cell>
          <cell r="N31">
            <v>5190000</v>
          </cell>
          <cell r="O31">
            <v>69200</v>
          </cell>
          <cell r="P31">
            <v>107300</v>
          </cell>
          <cell r="Q31">
            <v>33.4</v>
          </cell>
          <cell r="R31">
            <v>42.1</v>
          </cell>
          <cell r="S31">
            <v>134300</v>
          </cell>
          <cell r="T31">
            <v>107159811750</v>
          </cell>
          <cell r="W31">
            <v>1</v>
          </cell>
          <cell r="X31">
            <v>2</v>
          </cell>
          <cell r="Y31">
            <v>3</v>
          </cell>
          <cell r="Z31">
            <v>3</v>
          </cell>
          <cell r="AA31">
            <v>4</v>
          </cell>
          <cell r="AB31">
            <v>4</v>
          </cell>
        </row>
        <row r="32">
          <cell r="A32" t="str">
            <v>IPE300</v>
          </cell>
          <cell r="B32">
            <v>300</v>
          </cell>
          <cell r="C32">
            <v>42.2</v>
          </cell>
          <cell r="D32">
            <v>300</v>
          </cell>
          <cell r="E32">
            <v>150</v>
          </cell>
          <cell r="F32">
            <v>7.1</v>
          </cell>
          <cell r="G32">
            <v>10.7</v>
          </cell>
          <cell r="H32">
            <v>5381</v>
          </cell>
          <cell r="I32">
            <v>83560000</v>
          </cell>
          <cell r="J32">
            <v>557100</v>
          </cell>
          <cell r="K32">
            <v>628400</v>
          </cell>
          <cell r="L32">
            <v>124.6</v>
          </cell>
          <cell r="M32">
            <v>2568</v>
          </cell>
          <cell r="N32">
            <v>6038000</v>
          </cell>
          <cell r="O32">
            <v>80500</v>
          </cell>
          <cell r="P32">
            <v>125200</v>
          </cell>
          <cell r="Q32">
            <v>33.5</v>
          </cell>
          <cell r="R32">
            <v>46.1</v>
          </cell>
          <cell r="S32">
            <v>201200</v>
          </cell>
          <cell r="T32">
            <v>125934052921.875</v>
          </cell>
          <cell r="W32">
            <v>1</v>
          </cell>
          <cell r="X32">
            <v>1</v>
          </cell>
          <cell r="Y32">
            <v>1</v>
          </cell>
          <cell r="Z32">
            <v>2</v>
          </cell>
          <cell r="AA32">
            <v>4</v>
          </cell>
          <cell r="AB32">
            <v>4</v>
          </cell>
        </row>
        <row r="33">
          <cell r="A33" t="str">
            <v>IPEO300</v>
          </cell>
          <cell r="B33">
            <v>300</v>
          </cell>
          <cell r="C33">
            <v>49.3</v>
          </cell>
          <cell r="D33">
            <v>304</v>
          </cell>
          <cell r="E33">
            <v>152</v>
          </cell>
          <cell r="F33">
            <v>8</v>
          </cell>
          <cell r="G33">
            <v>12.7</v>
          </cell>
          <cell r="H33">
            <v>6283</v>
          </cell>
          <cell r="I33">
            <v>99940000</v>
          </cell>
          <cell r="J33">
            <v>657500</v>
          </cell>
          <cell r="K33">
            <v>743800</v>
          </cell>
          <cell r="L33">
            <v>126.1</v>
          </cell>
          <cell r="M33">
            <v>2905</v>
          </cell>
          <cell r="N33">
            <v>7457000</v>
          </cell>
          <cell r="O33">
            <v>98120</v>
          </cell>
          <cell r="P33">
            <v>152600</v>
          </cell>
          <cell r="Q33">
            <v>34.5</v>
          </cell>
          <cell r="R33">
            <v>51</v>
          </cell>
          <cell r="S33">
            <v>310600</v>
          </cell>
          <cell r="T33">
            <v>157690021480.89597</v>
          </cell>
          <cell r="W33">
            <v>1</v>
          </cell>
          <cell r="X33">
            <v>1</v>
          </cell>
          <cell r="Y33">
            <v>1</v>
          </cell>
          <cell r="Z33">
            <v>1</v>
          </cell>
          <cell r="AA33">
            <v>3</v>
          </cell>
          <cell r="AB33">
            <v>4</v>
          </cell>
        </row>
        <row r="34">
          <cell r="A34" t="str">
            <v>IPEA330</v>
          </cell>
          <cell r="B34">
            <v>330</v>
          </cell>
          <cell r="C34">
            <v>43</v>
          </cell>
          <cell r="D34">
            <v>327</v>
          </cell>
          <cell r="E34">
            <v>160</v>
          </cell>
          <cell r="F34">
            <v>6.5</v>
          </cell>
          <cell r="G34">
            <v>10</v>
          </cell>
          <cell r="H34">
            <v>5474</v>
          </cell>
          <cell r="I34">
            <v>102300000</v>
          </cell>
          <cell r="J34">
            <v>625700</v>
          </cell>
          <cell r="K34">
            <v>701900</v>
          </cell>
          <cell r="L34">
            <v>136.69999999999999</v>
          </cell>
          <cell r="M34">
            <v>2699</v>
          </cell>
          <cell r="N34">
            <v>6852000</v>
          </cell>
          <cell r="O34">
            <v>85640</v>
          </cell>
          <cell r="P34">
            <v>133300</v>
          </cell>
          <cell r="Q34">
            <v>35.4</v>
          </cell>
          <cell r="R34">
            <v>47.6</v>
          </cell>
          <cell r="S34">
            <v>195700</v>
          </cell>
          <cell r="T34">
            <v>171501226666.66666</v>
          </cell>
          <cell r="W34">
            <v>1</v>
          </cell>
          <cell r="X34">
            <v>1</v>
          </cell>
          <cell r="Y34">
            <v>3</v>
          </cell>
          <cell r="Z34">
            <v>3</v>
          </cell>
          <cell r="AA34">
            <v>4</v>
          </cell>
          <cell r="AB34">
            <v>4</v>
          </cell>
        </row>
        <row r="35">
          <cell r="A35" t="str">
            <v>IPE330</v>
          </cell>
          <cell r="B35">
            <v>330</v>
          </cell>
          <cell r="C35">
            <v>49.1</v>
          </cell>
          <cell r="D35">
            <v>330</v>
          </cell>
          <cell r="E35">
            <v>160</v>
          </cell>
          <cell r="F35">
            <v>7.5</v>
          </cell>
          <cell r="G35">
            <v>11.5</v>
          </cell>
          <cell r="H35">
            <v>6261</v>
          </cell>
          <cell r="I35">
            <v>117700000</v>
          </cell>
          <cell r="J35">
            <v>713100</v>
          </cell>
          <cell r="K35">
            <v>804300</v>
          </cell>
          <cell r="L35">
            <v>137.1</v>
          </cell>
          <cell r="M35">
            <v>3081</v>
          </cell>
          <cell r="N35">
            <v>7881000</v>
          </cell>
          <cell r="O35">
            <v>98520</v>
          </cell>
          <cell r="P35">
            <v>153700</v>
          </cell>
          <cell r="Q35">
            <v>35.5</v>
          </cell>
          <cell r="R35">
            <v>51.6</v>
          </cell>
          <cell r="S35">
            <v>281500</v>
          </cell>
          <cell r="T35">
            <v>199097322666.66666</v>
          </cell>
          <cell r="W35">
            <v>1</v>
          </cell>
          <cell r="X35">
            <v>1</v>
          </cell>
          <cell r="Y35">
            <v>1</v>
          </cell>
          <cell r="Z35">
            <v>2</v>
          </cell>
          <cell r="AA35">
            <v>4</v>
          </cell>
          <cell r="AB35">
            <v>4</v>
          </cell>
        </row>
        <row r="36">
          <cell r="A36" t="str">
            <v>IPEO330</v>
          </cell>
          <cell r="B36">
            <v>330</v>
          </cell>
          <cell r="C36">
            <v>57</v>
          </cell>
          <cell r="D36">
            <v>334</v>
          </cell>
          <cell r="E36">
            <v>162</v>
          </cell>
          <cell r="F36">
            <v>8.5</v>
          </cell>
          <cell r="G36">
            <v>13.5</v>
          </cell>
          <cell r="H36">
            <v>7262</v>
          </cell>
          <cell r="I36">
            <v>139100000</v>
          </cell>
          <cell r="J36">
            <v>833000</v>
          </cell>
          <cell r="K36">
            <v>942800</v>
          </cell>
          <cell r="L36">
            <v>138.4</v>
          </cell>
          <cell r="M36">
            <v>3488</v>
          </cell>
          <cell r="N36">
            <v>9604000</v>
          </cell>
          <cell r="O36">
            <v>118600</v>
          </cell>
          <cell r="P36">
            <v>185000</v>
          </cell>
          <cell r="Q36">
            <v>36.4</v>
          </cell>
          <cell r="R36">
            <v>56.6</v>
          </cell>
          <cell r="S36">
            <v>421500</v>
          </cell>
          <cell r="T36">
            <v>245653885711.125</v>
          </cell>
          <cell r="W36">
            <v>1</v>
          </cell>
          <cell r="X36">
            <v>1</v>
          </cell>
          <cell r="Y36">
            <v>1</v>
          </cell>
          <cell r="Z36">
            <v>1</v>
          </cell>
          <cell r="AA36">
            <v>3</v>
          </cell>
          <cell r="AB36">
            <v>4</v>
          </cell>
        </row>
        <row r="37">
          <cell r="A37" t="str">
            <v>IPE360</v>
          </cell>
          <cell r="B37">
            <v>360</v>
          </cell>
          <cell r="C37">
            <v>57.1</v>
          </cell>
          <cell r="D37">
            <v>360</v>
          </cell>
          <cell r="E37">
            <v>170</v>
          </cell>
          <cell r="F37">
            <v>8</v>
          </cell>
          <cell r="G37">
            <v>12.7</v>
          </cell>
          <cell r="H37">
            <v>7273</v>
          </cell>
          <cell r="I37">
            <v>162700000</v>
          </cell>
          <cell r="J37">
            <v>903600</v>
          </cell>
          <cell r="K37">
            <v>1019000</v>
          </cell>
          <cell r="L37">
            <v>149.5</v>
          </cell>
          <cell r="M37">
            <v>3514</v>
          </cell>
          <cell r="N37">
            <v>10430000</v>
          </cell>
          <cell r="O37">
            <v>122800</v>
          </cell>
          <cell r="P37">
            <v>191100</v>
          </cell>
          <cell r="Q37">
            <v>37.9</v>
          </cell>
          <cell r="R37">
            <v>54.5</v>
          </cell>
          <cell r="S37">
            <v>373200</v>
          </cell>
          <cell r="T37">
            <v>313580327969.95837</v>
          </cell>
          <cell r="W37">
            <v>1</v>
          </cell>
          <cell r="X37">
            <v>1</v>
          </cell>
          <cell r="Y37">
            <v>1</v>
          </cell>
          <cell r="Z37">
            <v>2</v>
          </cell>
          <cell r="AA37">
            <v>4</v>
          </cell>
          <cell r="AB37">
            <v>4</v>
          </cell>
        </row>
        <row r="38">
          <cell r="A38" t="str">
            <v>IPEO360</v>
          </cell>
          <cell r="B38">
            <v>360</v>
          </cell>
          <cell r="C38">
            <v>66</v>
          </cell>
          <cell r="D38">
            <v>364</v>
          </cell>
          <cell r="E38">
            <v>172</v>
          </cell>
          <cell r="F38">
            <v>9.1999999999999993</v>
          </cell>
          <cell r="G38">
            <v>14.7</v>
          </cell>
          <cell r="H38">
            <v>8413</v>
          </cell>
          <cell r="I38">
            <v>190500000</v>
          </cell>
          <cell r="J38">
            <v>1047000</v>
          </cell>
          <cell r="K38">
            <v>1186000</v>
          </cell>
          <cell r="L38">
            <v>150.5</v>
          </cell>
          <cell r="M38">
            <v>4021</v>
          </cell>
          <cell r="N38">
            <v>12510000</v>
          </cell>
          <cell r="O38">
            <v>145500</v>
          </cell>
          <cell r="P38">
            <v>226900</v>
          </cell>
          <cell r="Q38">
            <v>38.6</v>
          </cell>
          <cell r="R38">
            <v>59.7</v>
          </cell>
          <cell r="S38">
            <v>557600</v>
          </cell>
          <cell r="T38">
            <v>380266970714.45599</v>
          </cell>
          <cell r="W38">
            <v>1</v>
          </cell>
          <cell r="X38">
            <v>1</v>
          </cell>
          <cell r="Y38">
            <v>1</v>
          </cell>
          <cell r="Z38">
            <v>1</v>
          </cell>
          <cell r="AA38">
            <v>3</v>
          </cell>
          <cell r="AB38">
            <v>4</v>
          </cell>
        </row>
        <row r="39">
          <cell r="A39" t="str">
            <v>IPE400</v>
          </cell>
          <cell r="B39">
            <v>400</v>
          </cell>
          <cell r="C39">
            <v>66.3</v>
          </cell>
          <cell r="D39">
            <v>400</v>
          </cell>
          <cell r="E39">
            <v>180</v>
          </cell>
          <cell r="F39">
            <v>8.6</v>
          </cell>
          <cell r="G39">
            <v>13.5</v>
          </cell>
          <cell r="H39">
            <v>8446</v>
          </cell>
          <cell r="I39">
            <v>231300000</v>
          </cell>
          <cell r="J39">
            <v>1156000</v>
          </cell>
          <cell r="K39">
            <v>1307000</v>
          </cell>
          <cell r="L39">
            <v>165.5</v>
          </cell>
          <cell r="M39">
            <v>4269</v>
          </cell>
          <cell r="N39">
            <v>13180000</v>
          </cell>
          <cell r="O39">
            <v>146400</v>
          </cell>
          <cell r="P39">
            <v>229000</v>
          </cell>
          <cell r="Q39">
            <v>39.5</v>
          </cell>
          <cell r="R39">
            <v>60.2</v>
          </cell>
          <cell r="S39">
            <v>510800</v>
          </cell>
          <cell r="T39">
            <v>490048471125</v>
          </cell>
          <cell r="W39">
            <v>1</v>
          </cell>
          <cell r="X39">
            <v>1</v>
          </cell>
          <cell r="Y39">
            <v>1</v>
          </cell>
          <cell r="Z39">
            <v>3</v>
          </cell>
          <cell r="AA39">
            <v>4</v>
          </cell>
          <cell r="AB39">
            <v>4</v>
          </cell>
        </row>
        <row r="40">
          <cell r="A40" t="str">
            <v>IPEO400</v>
          </cell>
          <cell r="B40">
            <v>400</v>
          </cell>
          <cell r="C40">
            <v>75.7</v>
          </cell>
          <cell r="D40">
            <v>404</v>
          </cell>
          <cell r="E40">
            <v>182</v>
          </cell>
          <cell r="F40">
            <v>9.6999999999999993</v>
          </cell>
          <cell r="G40">
            <v>15.5</v>
          </cell>
          <cell r="H40">
            <v>9639</v>
          </cell>
          <cell r="I40">
            <v>267500000</v>
          </cell>
          <cell r="J40">
            <v>1324000</v>
          </cell>
          <cell r="K40">
            <v>1502000</v>
          </cell>
          <cell r="L40">
            <v>166.6</v>
          </cell>
          <cell r="M40">
            <v>4798</v>
          </cell>
          <cell r="N40">
            <v>15640000</v>
          </cell>
          <cell r="O40">
            <v>171900</v>
          </cell>
          <cell r="P40">
            <v>269100</v>
          </cell>
          <cell r="Q40">
            <v>40.299999999999997</v>
          </cell>
          <cell r="R40">
            <v>65.3</v>
          </cell>
          <cell r="S40">
            <v>731000</v>
          </cell>
          <cell r="T40">
            <v>587647193917.875</v>
          </cell>
          <cell r="W40">
            <v>1</v>
          </cell>
          <cell r="X40">
            <v>1</v>
          </cell>
          <cell r="Y40">
            <v>1</v>
          </cell>
          <cell r="Z40">
            <v>2</v>
          </cell>
          <cell r="AA40">
            <v>3</v>
          </cell>
          <cell r="AB40">
            <v>4</v>
          </cell>
        </row>
        <row r="41">
          <cell r="A41" t="str">
            <v>IPE450</v>
          </cell>
          <cell r="B41">
            <v>450</v>
          </cell>
          <cell r="C41">
            <v>77.599999999999994</v>
          </cell>
          <cell r="D41">
            <v>450</v>
          </cell>
          <cell r="E41">
            <v>190</v>
          </cell>
          <cell r="F41">
            <v>9.4</v>
          </cell>
          <cell r="G41">
            <v>14.6</v>
          </cell>
          <cell r="H41">
            <v>9882</v>
          </cell>
          <cell r="I41">
            <v>337400000</v>
          </cell>
          <cell r="J41">
            <v>1500000</v>
          </cell>
          <cell r="K41">
            <v>1702000</v>
          </cell>
          <cell r="L41">
            <v>184.8</v>
          </cell>
          <cell r="M41">
            <v>5085</v>
          </cell>
          <cell r="N41">
            <v>16760000</v>
          </cell>
          <cell r="O41">
            <v>176400</v>
          </cell>
          <cell r="P41">
            <v>276400</v>
          </cell>
          <cell r="Q41">
            <v>41.2</v>
          </cell>
          <cell r="R41">
            <v>63.2</v>
          </cell>
          <cell r="S41">
            <v>668700</v>
          </cell>
          <cell r="T41">
            <v>791005068534.33313</v>
          </cell>
          <cell r="W41">
            <v>1</v>
          </cell>
          <cell r="X41">
            <v>1</v>
          </cell>
          <cell r="Y41">
            <v>1</v>
          </cell>
          <cell r="Z41">
            <v>3</v>
          </cell>
          <cell r="AA41">
            <v>4</v>
          </cell>
          <cell r="AB41">
            <v>4</v>
          </cell>
        </row>
        <row r="42">
          <cell r="A42" t="str">
            <v>IPEO450</v>
          </cell>
          <cell r="B42">
            <v>450</v>
          </cell>
          <cell r="C42">
            <v>92.4</v>
          </cell>
          <cell r="D42">
            <v>456</v>
          </cell>
          <cell r="E42">
            <v>192</v>
          </cell>
          <cell r="F42">
            <v>11</v>
          </cell>
          <cell r="G42">
            <v>17.600000000000001</v>
          </cell>
          <cell r="H42">
            <v>11770</v>
          </cell>
          <cell r="I42">
            <v>409200000</v>
          </cell>
          <cell r="J42">
            <v>1795000</v>
          </cell>
          <cell r="K42">
            <v>2046000</v>
          </cell>
          <cell r="L42">
            <v>186.5</v>
          </cell>
          <cell r="M42">
            <v>5940</v>
          </cell>
          <cell r="N42">
            <v>20850000</v>
          </cell>
          <cell r="O42">
            <v>217200</v>
          </cell>
          <cell r="P42">
            <v>341000</v>
          </cell>
          <cell r="Q42">
            <v>42.1</v>
          </cell>
          <cell r="R42">
            <v>70.8</v>
          </cell>
          <cell r="S42">
            <v>1090000</v>
          </cell>
          <cell r="T42">
            <v>997576484585.47205</v>
          </cell>
          <cell r="W42">
            <v>1</v>
          </cell>
          <cell r="X42">
            <v>1</v>
          </cell>
          <cell r="Y42">
            <v>1</v>
          </cell>
          <cell r="Z42">
            <v>2</v>
          </cell>
          <cell r="AA42">
            <v>4</v>
          </cell>
          <cell r="AB42">
            <v>4</v>
          </cell>
        </row>
        <row r="43">
          <cell r="A43" t="str">
            <v>IPE500</v>
          </cell>
          <cell r="B43">
            <v>500</v>
          </cell>
          <cell r="C43">
            <v>90.7</v>
          </cell>
          <cell r="D43">
            <v>500</v>
          </cell>
          <cell r="E43">
            <v>200</v>
          </cell>
          <cell r="F43">
            <v>10.199999999999999</v>
          </cell>
          <cell r="G43">
            <v>16</v>
          </cell>
          <cell r="H43">
            <v>11550</v>
          </cell>
          <cell r="I43">
            <v>482000000</v>
          </cell>
          <cell r="J43">
            <v>1928000</v>
          </cell>
          <cell r="K43">
            <v>2194000</v>
          </cell>
          <cell r="L43">
            <v>204.3</v>
          </cell>
          <cell r="M43">
            <v>5987</v>
          </cell>
          <cell r="N43">
            <v>21420000</v>
          </cell>
          <cell r="O43">
            <v>214200</v>
          </cell>
          <cell r="P43">
            <v>335900</v>
          </cell>
          <cell r="Q43">
            <v>43.1</v>
          </cell>
          <cell r="R43">
            <v>66.8</v>
          </cell>
          <cell r="S43">
            <v>892900</v>
          </cell>
          <cell r="T43">
            <v>1249365333333.3333</v>
          </cell>
          <cell r="W43">
            <v>1</v>
          </cell>
          <cell r="X43">
            <v>1</v>
          </cell>
          <cell r="Y43">
            <v>1</v>
          </cell>
          <cell r="Z43">
            <v>3</v>
          </cell>
          <cell r="AA43">
            <v>4</v>
          </cell>
          <cell r="AB43">
            <v>4</v>
          </cell>
        </row>
        <row r="44">
          <cell r="A44" t="str">
            <v>IPEO500</v>
          </cell>
          <cell r="B44">
            <v>500</v>
          </cell>
          <cell r="C44">
            <v>107</v>
          </cell>
          <cell r="D44">
            <v>506</v>
          </cell>
          <cell r="E44">
            <v>202</v>
          </cell>
          <cell r="F44">
            <v>12</v>
          </cell>
          <cell r="G44">
            <v>19</v>
          </cell>
          <cell r="H44">
            <v>13670</v>
          </cell>
          <cell r="I44">
            <v>577800000</v>
          </cell>
          <cell r="J44">
            <v>2284000</v>
          </cell>
          <cell r="K44">
            <v>2613000</v>
          </cell>
          <cell r="L44">
            <v>205.6</v>
          </cell>
          <cell r="M44">
            <v>7021</v>
          </cell>
          <cell r="N44">
            <v>26220000</v>
          </cell>
          <cell r="O44">
            <v>259600</v>
          </cell>
          <cell r="P44">
            <v>408500</v>
          </cell>
          <cell r="Q44">
            <v>43.8</v>
          </cell>
          <cell r="R44">
            <v>74.599999999999994</v>
          </cell>
          <cell r="S44">
            <v>1435000</v>
          </cell>
          <cell r="T44">
            <v>1547584566503.6667</v>
          </cell>
          <cell r="W44">
            <v>1</v>
          </cell>
          <cell r="X44">
            <v>1</v>
          </cell>
          <cell r="Y44">
            <v>1</v>
          </cell>
          <cell r="Z44">
            <v>2</v>
          </cell>
          <cell r="AA44">
            <v>4</v>
          </cell>
          <cell r="AB44">
            <v>4</v>
          </cell>
        </row>
        <row r="45">
          <cell r="A45" t="str">
            <v>IPEO550</v>
          </cell>
          <cell r="B45">
            <v>550</v>
          </cell>
          <cell r="C45">
            <v>123</v>
          </cell>
          <cell r="D45">
            <v>556</v>
          </cell>
          <cell r="E45">
            <v>212</v>
          </cell>
          <cell r="F45">
            <v>12.7</v>
          </cell>
          <cell r="G45">
            <v>20.2</v>
          </cell>
          <cell r="H45">
            <v>15610</v>
          </cell>
          <cell r="I45">
            <v>791600000</v>
          </cell>
          <cell r="J45">
            <v>2847000</v>
          </cell>
          <cell r="K45">
            <v>3263000</v>
          </cell>
          <cell r="L45">
            <v>225.2</v>
          </cell>
          <cell r="M45">
            <v>8269</v>
          </cell>
          <cell r="N45">
            <v>32240000</v>
          </cell>
          <cell r="O45">
            <v>304200</v>
          </cell>
          <cell r="P45">
            <v>480500</v>
          </cell>
          <cell r="Q45">
            <v>45.5</v>
          </cell>
          <cell r="R45">
            <v>81.2</v>
          </cell>
          <cell r="S45">
            <v>1875000</v>
          </cell>
          <cell r="T45">
            <v>2302253432078.0156</v>
          </cell>
          <cell r="W45">
            <v>1</v>
          </cell>
          <cell r="X45">
            <v>1</v>
          </cell>
          <cell r="Y45">
            <v>1</v>
          </cell>
          <cell r="Z45">
            <v>2</v>
          </cell>
          <cell r="AA45">
            <v>4</v>
          </cell>
          <cell r="AB45">
            <v>4</v>
          </cell>
        </row>
        <row r="46">
          <cell r="A46" t="str">
            <v>IPE600</v>
          </cell>
          <cell r="B46">
            <v>600</v>
          </cell>
          <cell r="C46">
            <v>122</v>
          </cell>
          <cell r="D46">
            <v>600</v>
          </cell>
          <cell r="E46">
            <v>220</v>
          </cell>
          <cell r="F46">
            <v>12</v>
          </cell>
          <cell r="G46">
            <v>19</v>
          </cell>
          <cell r="H46">
            <v>15600</v>
          </cell>
          <cell r="I46">
            <v>920800000</v>
          </cell>
          <cell r="J46">
            <v>3069000</v>
          </cell>
          <cell r="K46">
            <v>3512000</v>
          </cell>
          <cell r="L46">
            <v>243</v>
          </cell>
          <cell r="M46">
            <v>8378</v>
          </cell>
          <cell r="N46">
            <v>33870000</v>
          </cell>
          <cell r="O46">
            <v>307900</v>
          </cell>
          <cell r="P46">
            <v>485600</v>
          </cell>
          <cell r="Q46">
            <v>46.6</v>
          </cell>
          <cell r="R46">
            <v>78.099999999999994</v>
          </cell>
          <cell r="S46">
            <v>1654000</v>
          </cell>
          <cell r="T46">
            <v>2845526709666.6665</v>
          </cell>
          <cell r="W46">
            <v>1</v>
          </cell>
          <cell r="X46">
            <v>1</v>
          </cell>
          <cell r="Y46">
            <v>1</v>
          </cell>
          <cell r="Z46">
            <v>4</v>
          </cell>
          <cell r="AA46">
            <v>4</v>
          </cell>
          <cell r="AB46">
            <v>4</v>
          </cell>
        </row>
        <row r="49">
          <cell r="A49" t="str">
            <v>HE-profielen</v>
          </cell>
          <cell r="C49" t="str">
            <v>g</v>
          </cell>
          <cell r="D49" t="str">
            <v>h</v>
          </cell>
          <cell r="E49" t="str">
            <v>b</v>
          </cell>
          <cell r="F49" t="str">
            <v>tw</v>
          </cell>
          <cell r="G49" t="str">
            <v>tf</v>
          </cell>
          <cell r="H49" t="str">
            <v>A</v>
          </cell>
          <cell r="I49" t="str">
            <v>Iy</v>
          </cell>
          <cell r="J49" t="str">
            <v>Wy</v>
          </cell>
          <cell r="K49" t="str">
            <v>Wply</v>
          </cell>
          <cell r="L49" t="str">
            <v>iy</v>
          </cell>
          <cell r="M49" t="str">
            <v>Avz</v>
          </cell>
          <cell r="N49" t="str">
            <v>Iz</v>
          </cell>
          <cell r="O49" t="str">
            <v>Wz</v>
          </cell>
          <cell r="P49" t="str">
            <v>Wplz</v>
          </cell>
          <cell r="Q49" t="str">
            <v>iz</v>
          </cell>
          <cell r="R49" t="str">
            <v>Ss</v>
          </cell>
          <cell r="S49" t="str">
            <v>It</v>
          </cell>
          <cell r="T49" t="str">
            <v>Iw</v>
          </cell>
          <cell r="W49">
            <v>235</v>
          </cell>
          <cell r="X49">
            <v>355</v>
          </cell>
          <cell r="Y49">
            <v>460</v>
          </cell>
          <cell r="Z49">
            <v>235</v>
          </cell>
          <cell r="AA49">
            <v>355</v>
          </cell>
          <cell r="AB49">
            <v>460</v>
          </cell>
        </row>
        <row r="50">
          <cell r="C50" t="str">
            <v>kg/m</v>
          </cell>
          <cell r="D50" t="str">
            <v>mm</v>
          </cell>
          <cell r="E50" t="str">
            <v>mm</v>
          </cell>
          <cell r="F50" t="str">
            <v>mm</v>
          </cell>
          <cell r="G50" t="str">
            <v>mm</v>
          </cell>
          <cell r="H50" t="str">
            <v>mm2</v>
          </cell>
          <cell r="I50" t="str">
            <v>mm4</v>
          </cell>
          <cell r="J50" t="str">
            <v>mm3</v>
          </cell>
          <cell r="K50" t="str">
            <v>mm3</v>
          </cell>
          <cell r="L50" t="str">
            <v>mm</v>
          </cell>
          <cell r="M50" t="str">
            <v>mm2</v>
          </cell>
          <cell r="N50" t="str">
            <v>mm4</v>
          </cell>
          <cell r="O50" t="str">
            <v>mm3</v>
          </cell>
          <cell r="P50" t="str">
            <v>mm3</v>
          </cell>
          <cell r="Q50" t="str">
            <v>mm</v>
          </cell>
          <cell r="R50" t="str">
            <v>mm</v>
          </cell>
          <cell r="S50" t="str">
            <v>mm4</v>
          </cell>
          <cell r="T50" t="str">
            <v>mm6</v>
          </cell>
        </row>
        <row r="51">
          <cell r="A51" t="str">
            <v>HE100AA</v>
          </cell>
          <cell r="B51">
            <v>100</v>
          </cell>
          <cell r="C51">
            <v>12.2</v>
          </cell>
          <cell r="D51">
            <v>91</v>
          </cell>
          <cell r="E51">
            <v>100</v>
          </cell>
          <cell r="F51">
            <v>4.2</v>
          </cell>
          <cell r="G51">
            <v>5.5</v>
          </cell>
          <cell r="H51">
            <v>1560</v>
          </cell>
          <cell r="I51">
            <v>2365000</v>
          </cell>
          <cell r="J51">
            <v>51980</v>
          </cell>
          <cell r="K51">
            <v>58360</v>
          </cell>
          <cell r="L51">
            <v>38.9</v>
          </cell>
          <cell r="M51">
            <v>615</v>
          </cell>
          <cell r="N51">
            <v>920600</v>
          </cell>
          <cell r="O51">
            <v>18410</v>
          </cell>
          <cell r="P51">
            <v>28440</v>
          </cell>
          <cell r="Q51">
            <v>24.3</v>
          </cell>
          <cell r="R51">
            <v>29.3</v>
          </cell>
          <cell r="S51">
            <v>25100</v>
          </cell>
          <cell r="T51">
            <v>1675265625</v>
          </cell>
          <cell r="W51">
            <v>1</v>
          </cell>
          <cell r="X51">
            <v>3</v>
          </cell>
          <cell r="Y51">
            <v>3</v>
          </cell>
          <cell r="Z51">
            <v>1</v>
          </cell>
          <cell r="AA51">
            <v>3</v>
          </cell>
          <cell r="AB51">
            <v>3</v>
          </cell>
        </row>
        <row r="52">
          <cell r="A52" t="str">
            <v>HE100A</v>
          </cell>
          <cell r="B52">
            <v>100</v>
          </cell>
          <cell r="C52">
            <v>16.7</v>
          </cell>
          <cell r="D52">
            <v>96</v>
          </cell>
          <cell r="E52">
            <v>100</v>
          </cell>
          <cell r="F52">
            <v>5</v>
          </cell>
          <cell r="G52">
            <v>8</v>
          </cell>
          <cell r="H52">
            <v>2124</v>
          </cell>
          <cell r="I52">
            <v>3492000</v>
          </cell>
          <cell r="J52">
            <v>72760</v>
          </cell>
          <cell r="K52">
            <v>83010</v>
          </cell>
          <cell r="L52">
            <v>40.6</v>
          </cell>
          <cell r="M52">
            <v>756</v>
          </cell>
          <cell r="N52">
            <v>1338000</v>
          </cell>
          <cell r="O52">
            <v>26760</v>
          </cell>
          <cell r="P52">
            <v>41140</v>
          </cell>
          <cell r="Q52">
            <v>25.1</v>
          </cell>
          <cell r="R52">
            <v>35.1</v>
          </cell>
          <cell r="S52">
            <v>52400</v>
          </cell>
          <cell r="T52">
            <v>2581333333.3333335</v>
          </cell>
          <cell r="W52">
            <v>1</v>
          </cell>
          <cell r="X52">
            <v>1</v>
          </cell>
          <cell r="Y52">
            <v>1</v>
          </cell>
          <cell r="Z52">
            <v>1</v>
          </cell>
          <cell r="AA52">
            <v>1</v>
          </cell>
          <cell r="AB52">
            <v>1</v>
          </cell>
        </row>
        <row r="53">
          <cell r="A53" t="str">
            <v>HE100B</v>
          </cell>
          <cell r="B53">
            <v>100</v>
          </cell>
          <cell r="C53">
            <v>20.399999999999999</v>
          </cell>
          <cell r="D53">
            <v>100</v>
          </cell>
          <cell r="E53">
            <v>100</v>
          </cell>
          <cell r="F53">
            <v>6</v>
          </cell>
          <cell r="G53">
            <v>10</v>
          </cell>
          <cell r="H53">
            <v>2604</v>
          </cell>
          <cell r="I53">
            <v>4495000</v>
          </cell>
          <cell r="J53">
            <v>89910</v>
          </cell>
          <cell r="K53">
            <v>104200</v>
          </cell>
          <cell r="L53">
            <v>41.6</v>
          </cell>
          <cell r="M53">
            <v>904</v>
          </cell>
          <cell r="N53">
            <v>1673000</v>
          </cell>
          <cell r="O53">
            <v>33450</v>
          </cell>
          <cell r="P53">
            <v>51420</v>
          </cell>
          <cell r="Q53">
            <v>25.3</v>
          </cell>
          <cell r="R53">
            <v>40.1</v>
          </cell>
          <cell r="S53">
            <v>92500</v>
          </cell>
          <cell r="T53">
            <v>3375000000</v>
          </cell>
          <cell r="W53">
            <v>1</v>
          </cell>
          <cell r="X53">
            <v>1</v>
          </cell>
          <cell r="Y53">
            <v>1</v>
          </cell>
          <cell r="Z53">
            <v>1</v>
          </cell>
          <cell r="AA53">
            <v>1</v>
          </cell>
          <cell r="AB53">
            <v>1</v>
          </cell>
        </row>
        <row r="54">
          <cell r="A54" t="str">
            <v>HE100M</v>
          </cell>
          <cell r="B54">
            <v>100</v>
          </cell>
          <cell r="C54">
            <v>41.8</v>
          </cell>
          <cell r="D54">
            <v>120</v>
          </cell>
          <cell r="E54">
            <v>106</v>
          </cell>
          <cell r="F54">
            <v>12</v>
          </cell>
          <cell r="G54">
            <v>20</v>
          </cell>
          <cell r="H54">
            <v>5324</v>
          </cell>
          <cell r="I54">
            <v>11430000</v>
          </cell>
          <cell r="J54">
            <v>190400</v>
          </cell>
          <cell r="K54">
            <v>235800</v>
          </cell>
          <cell r="L54">
            <v>46.3</v>
          </cell>
          <cell r="M54">
            <v>1804</v>
          </cell>
          <cell r="N54">
            <v>3992000</v>
          </cell>
          <cell r="O54">
            <v>75310</v>
          </cell>
          <cell r="P54">
            <v>116300</v>
          </cell>
          <cell r="Q54">
            <v>27.4</v>
          </cell>
          <cell r="R54">
            <v>66.099999999999994</v>
          </cell>
          <cell r="S54">
            <v>682100</v>
          </cell>
          <cell r="T54">
            <v>9925133333.333334</v>
          </cell>
          <cell r="W54">
            <v>1</v>
          </cell>
          <cell r="X54">
            <v>1</v>
          </cell>
          <cell r="Y54">
            <v>1</v>
          </cell>
          <cell r="Z54">
            <v>1</v>
          </cell>
          <cell r="AA54">
            <v>1</v>
          </cell>
          <cell r="AB54">
            <v>1</v>
          </cell>
        </row>
        <row r="55">
          <cell r="A55" t="str">
            <v>HE120AA</v>
          </cell>
          <cell r="B55">
            <v>120</v>
          </cell>
          <cell r="C55">
            <v>14.6</v>
          </cell>
          <cell r="D55">
            <v>109</v>
          </cell>
          <cell r="E55">
            <v>120</v>
          </cell>
          <cell r="F55">
            <v>4.2</v>
          </cell>
          <cell r="G55">
            <v>5.5</v>
          </cell>
          <cell r="H55">
            <v>1855</v>
          </cell>
          <cell r="I55">
            <v>4134000</v>
          </cell>
          <cell r="J55">
            <v>75850</v>
          </cell>
          <cell r="K55">
            <v>84120</v>
          </cell>
          <cell r="L55">
            <v>47.2</v>
          </cell>
          <cell r="M55">
            <v>690</v>
          </cell>
          <cell r="N55">
            <v>1588000</v>
          </cell>
          <cell r="O55">
            <v>26470</v>
          </cell>
          <cell r="P55">
            <v>40620</v>
          </cell>
          <cell r="Q55">
            <v>29.3</v>
          </cell>
          <cell r="R55">
            <v>29.3</v>
          </cell>
          <cell r="S55">
            <v>27800</v>
          </cell>
          <cell r="T55">
            <v>4242051000</v>
          </cell>
          <cell r="W55">
            <v>2</v>
          </cell>
          <cell r="X55">
            <v>3</v>
          </cell>
          <cell r="Y55">
            <v>4</v>
          </cell>
          <cell r="Z55">
            <v>2</v>
          </cell>
          <cell r="AA55">
            <v>3</v>
          </cell>
          <cell r="AB55">
            <v>4</v>
          </cell>
        </row>
        <row r="56">
          <cell r="A56" t="str">
            <v>HE120A</v>
          </cell>
          <cell r="B56">
            <v>120</v>
          </cell>
          <cell r="C56">
            <v>19.899999999999999</v>
          </cell>
          <cell r="D56">
            <v>114</v>
          </cell>
          <cell r="E56">
            <v>120</v>
          </cell>
          <cell r="F56">
            <v>5</v>
          </cell>
          <cell r="G56">
            <v>8</v>
          </cell>
          <cell r="H56">
            <v>2534</v>
          </cell>
          <cell r="I56">
            <v>6062000</v>
          </cell>
          <cell r="J56">
            <v>106300</v>
          </cell>
          <cell r="K56">
            <v>119500</v>
          </cell>
          <cell r="L56">
            <v>48.9</v>
          </cell>
          <cell r="M56">
            <v>846</v>
          </cell>
          <cell r="N56">
            <v>2309000</v>
          </cell>
          <cell r="O56">
            <v>38480</v>
          </cell>
          <cell r="P56">
            <v>58850</v>
          </cell>
          <cell r="Q56">
            <v>30.2</v>
          </cell>
          <cell r="R56">
            <v>35.1</v>
          </cell>
          <cell r="S56">
            <v>59900</v>
          </cell>
          <cell r="T56">
            <v>6471936000</v>
          </cell>
          <cell r="W56">
            <v>1</v>
          </cell>
          <cell r="X56">
            <v>1</v>
          </cell>
          <cell r="Y56">
            <v>2</v>
          </cell>
          <cell r="Z56">
            <v>1</v>
          </cell>
          <cell r="AA56">
            <v>1</v>
          </cell>
          <cell r="AB56">
            <v>2</v>
          </cell>
        </row>
        <row r="57">
          <cell r="A57" t="str">
            <v>HE120B</v>
          </cell>
          <cell r="B57">
            <v>120</v>
          </cell>
          <cell r="C57">
            <v>26.7</v>
          </cell>
          <cell r="D57">
            <v>120</v>
          </cell>
          <cell r="E57">
            <v>120</v>
          </cell>
          <cell r="F57">
            <v>6.5</v>
          </cell>
          <cell r="G57">
            <v>11</v>
          </cell>
          <cell r="H57">
            <v>3401</v>
          </cell>
          <cell r="I57">
            <v>8644000</v>
          </cell>
          <cell r="J57">
            <v>144100</v>
          </cell>
          <cell r="K57">
            <v>165200</v>
          </cell>
          <cell r="L57">
            <v>50.4</v>
          </cell>
          <cell r="M57">
            <v>1096</v>
          </cell>
          <cell r="N57">
            <v>3175000</v>
          </cell>
          <cell r="O57">
            <v>52920</v>
          </cell>
          <cell r="P57">
            <v>80970</v>
          </cell>
          <cell r="Q57">
            <v>30.6</v>
          </cell>
          <cell r="R57">
            <v>42.6</v>
          </cell>
          <cell r="S57">
            <v>138400</v>
          </cell>
          <cell r="T57">
            <v>9409752000</v>
          </cell>
          <cell r="W57">
            <v>1</v>
          </cell>
          <cell r="X57">
            <v>1</v>
          </cell>
          <cell r="Y57">
            <v>1</v>
          </cell>
          <cell r="Z57">
            <v>1</v>
          </cell>
          <cell r="AA57">
            <v>1</v>
          </cell>
          <cell r="AB57">
            <v>1</v>
          </cell>
        </row>
        <row r="58">
          <cell r="A58" t="str">
            <v>HE120M</v>
          </cell>
          <cell r="B58">
            <v>120</v>
          </cell>
          <cell r="C58">
            <v>52.1</v>
          </cell>
          <cell r="D58">
            <v>140</v>
          </cell>
          <cell r="E58">
            <v>126</v>
          </cell>
          <cell r="F58">
            <v>12.5</v>
          </cell>
          <cell r="G58">
            <v>21</v>
          </cell>
          <cell r="H58">
            <v>6641</v>
          </cell>
          <cell r="I58">
            <v>20180000</v>
          </cell>
          <cell r="J58">
            <v>288200</v>
          </cell>
          <cell r="K58">
            <v>350600</v>
          </cell>
          <cell r="L58">
            <v>55.1</v>
          </cell>
          <cell r="M58">
            <v>2115</v>
          </cell>
          <cell r="N58">
            <v>7028000</v>
          </cell>
          <cell r="O58">
            <v>111600</v>
          </cell>
          <cell r="P58">
            <v>171600</v>
          </cell>
          <cell r="Q58">
            <v>32.5</v>
          </cell>
          <cell r="R58">
            <v>68.599999999999994</v>
          </cell>
          <cell r="S58">
            <v>916600</v>
          </cell>
          <cell r="T58">
            <v>24786408969</v>
          </cell>
          <cell r="W58">
            <v>1</v>
          </cell>
          <cell r="X58">
            <v>1</v>
          </cell>
          <cell r="Y58">
            <v>1</v>
          </cell>
          <cell r="Z58">
            <v>1</v>
          </cell>
          <cell r="AA58">
            <v>1</v>
          </cell>
          <cell r="AB58">
            <v>1</v>
          </cell>
        </row>
        <row r="59">
          <cell r="A59" t="str">
            <v>HE140AA</v>
          </cell>
          <cell r="B59">
            <v>140</v>
          </cell>
          <cell r="C59">
            <v>18.100000000000001</v>
          </cell>
          <cell r="D59">
            <v>128</v>
          </cell>
          <cell r="E59">
            <v>140</v>
          </cell>
          <cell r="F59">
            <v>4.3</v>
          </cell>
          <cell r="G59">
            <v>6</v>
          </cell>
          <cell r="H59">
            <v>2302</v>
          </cell>
          <cell r="I59">
            <v>7195000</v>
          </cell>
          <cell r="J59">
            <v>112400</v>
          </cell>
          <cell r="K59">
            <v>123800</v>
          </cell>
          <cell r="L59">
            <v>55.9</v>
          </cell>
          <cell r="M59">
            <v>792</v>
          </cell>
          <cell r="N59">
            <v>2748000</v>
          </cell>
          <cell r="O59">
            <v>39260</v>
          </cell>
          <cell r="P59">
            <v>59930</v>
          </cell>
          <cell r="Q59">
            <v>34.5</v>
          </cell>
          <cell r="R59">
            <v>30.4</v>
          </cell>
          <cell r="S59">
            <v>35400</v>
          </cell>
          <cell r="T59">
            <v>10210424000</v>
          </cell>
          <cell r="W59">
            <v>3</v>
          </cell>
          <cell r="X59">
            <v>3</v>
          </cell>
          <cell r="Y59">
            <v>4</v>
          </cell>
          <cell r="Z59">
            <v>3</v>
          </cell>
          <cell r="AA59">
            <v>3</v>
          </cell>
          <cell r="AB59">
            <v>4</v>
          </cell>
        </row>
        <row r="60">
          <cell r="A60" t="str">
            <v>HE140A</v>
          </cell>
          <cell r="B60">
            <v>140</v>
          </cell>
          <cell r="C60">
            <v>24.7</v>
          </cell>
          <cell r="D60">
            <v>133</v>
          </cell>
          <cell r="E60">
            <v>140</v>
          </cell>
          <cell r="F60">
            <v>5.5</v>
          </cell>
          <cell r="G60">
            <v>8.5</v>
          </cell>
          <cell r="H60">
            <v>3142</v>
          </cell>
          <cell r="I60">
            <v>10330000</v>
          </cell>
          <cell r="J60">
            <v>155400</v>
          </cell>
          <cell r="K60">
            <v>173500</v>
          </cell>
          <cell r="L60">
            <v>57.3</v>
          </cell>
          <cell r="M60">
            <v>1012</v>
          </cell>
          <cell r="N60">
            <v>3893000</v>
          </cell>
          <cell r="O60">
            <v>55620</v>
          </cell>
          <cell r="P60">
            <v>84850</v>
          </cell>
          <cell r="Q60">
            <v>35.200000000000003</v>
          </cell>
          <cell r="R60">
            <v>36.6</v>
          </cell>
          <cell r="S60">
            <v>81300</v>
          </cell>
          <cell r="T60">
            <v>15063659625</v>
          </cell>
          <cell r="W60">
            <v>1</v>
          </cell>
          <cell r="X60">
            <v>2</v>
          </cell>
          <cell r="Y60">
            <v>3</v>
          </cell>
          <cell r="Z60">
            <v>1</v>
          </cell>
          <cell r="AA60">
            <v>2</v>
          </cell>
          <cell r="AB60">
            <v>3</v>
          </cell>
        </row>
        <row r="61">
          <cell r="A61" t="str">
            <v>HE140B</v>
          </cell>
          <cell r="B61">
            <v>140</v>
          </cell>
          <cell r="C61">
            <v>33.700000000000003</v>
          </cell>
          <cell r="D61">
            <v>140</v>
          </cell>
          <cell r="E61">
            <v>140</v>
          </cell>
          <cell r="F61">
            <v>7</v>
          </cell>
          <cell r="G61">
            <v>12</v>
          </cell>
          <cell r="H61">
            <v>4296</v>
          </cell>
          <cell r="I61">
            <v>15090000</v>
          </cell>
          <cell r="J61">
            <v>215600</v>
          </cell>
          <cell r="K61">
            <v>245400</v>
          </cell>
          <cell r="L61">
            <v>59.3</v>
          </cell>
          <cell r="M61">
            <v>1308</v>
          </cell>
          <cell r="N61">
            <v>5497000</v>
          </cell>
          <cell r="O61">
            <v>78520</v>
          </cell>
          <cell r="P61">
            <v>119800</v>
          </cell>
          <cell r="Q61">
            <v>35.799999999999997</v>
          </cell>
          <cell r="R61">
            <v>45.1</v>
          </cell>
          <cell r="S61">
            <v>200600</v>
          </cell>
          <cell r="T61">
            <v>22478848000</v>
          </cell>
          <cell r="W61">
            <v>1</v>
          </cell>
          <cell r="X61">
            <v>1</v>
          </cell>
          <cell r="Y61">
            <v>1</v>
          </cell>
          <cell r="Z61">
            <v>1</v>
          </cell>
          <cell r="AA61">
            <v>1</v>
          </cell>
          <cell r="AB61">
            <v>1</v>
          </cell>
        </row>
        <row r="62">
          <cell r="A62" t="str">
            <v>HE140M</v>
          </cell>
          <cell r="B62">
            <v>140</v>
          </cell>
          <cell r="C62">
            <v>63.2</v>
          </cell>
          <cell r="D62">
            <v>160</v>
          </cell>
          <cell r="E62">
            <v>146</v>
          </cell>
          <cell r="F62">
            <v>13</v>
          </cell>
          <cell r="G62">
            <v>22</v>
          </cell>
          <cell r="H62">
            <v>8056</v>
          </cell>
          <cell r="I62">
            <v>32910000</v>
          </cell>
          <cell r="J62">
            <v>411400</v>
          </cell>
          <cell r="K62">
            <v>493800</v>
          </cell>
          <cell r="L62">
            <v>63.9</v>
          </cell>
          <cell r="M62">
            <v>2446</v>
          </cell>
          <cell r="N62">
            <v>11440000</v>
          </cell>
          <cell r="O62">
            <v>156800</v>
          </cell>
          <cell r="P62">
            <v>240500</v>
          </cell>
          <cell r="Q62">
            <v>37.700000000000003</v>
          </cell>
          <cell r="R62">
            <v>71.099999999999994</v>
          </cell>
          <cell r="S62">
            <v>1200000</v>
          </cell>
          <cell r="T62">
            <v>54328558152</v>
          </cell>
          <cell r="W62">
            <v>1</v>
          </cell>
          <cell r="X62">
            <v>1</v>
          </cell>
          <cell r="Y62">
            <v>1</v>
          </cell>
          <cell r="Z62">
            <v>1</v>
          </cell>
          <cell r="AA62">
            <v>1</v>
          </cell>
          <cell r="AB62">
            <v>1</v>
          </cell>
        </row>
        <row r="63">
          <cell r="A63" t="str">
            <v>HE160AA</v>
          </cell>
          <cell r="B63">
            <v>160</v>
          </cell>
          <cell r="C63">
            <v>23.8</v>
          </cell>
          <cell r="D63">
            <v>148</v>
          </cell>
          <cell r="E63">
            <v>160</v>
          </cell>
          <cell r="F63">
            <v>4.5</v>
          </cell>
          <cell r="G63">
            <v>7</v>
          </cell>
          <cell r="H63">
            <v>3036</v>
          </cell>
          <cell r="I63">
            <v>12830000</v>
          </cell>
          <cell r="J63">
            <v>173400</v>
          </cell>
          <cell r="K63">
            <v>190400</v>
          </cell>
          <cell r="L63">
            <v>65</v>
          </cell>
          <cell r="M63">
            <v>1038</v>
          </cell>
          <cell r="N63">
            <v>4787000</v>
          </cell>
          <cell r="O63">
            <v>59840</v>
          </cell>
          <cell r="P63">
            <v>91360</v>
          </cell>
          <cell r="Q63">
            <v>39.700000000000003</v>
          </cell>
          <cell r="R63">
            <v>36.1</v>
          </cell>
          <cell r="S63">
            <v>63300</v>
          </cell>
          <cell r="T63">
            <v>23751168000</v>
          </cell>
          <cell r="W63">
            <v>3</v>
          </cell>
          <cell r="X63">
            <v>3</v>
          </cell>
          <cell r="Y63">
            <v>4</v>
          </cell>
          <cell r="Z63">
            <v>3</v>
          </cell>
          <cell r="AA63">
            <v>3</v>
          </cell>
          <cell r="AB63">
            <v>4</v>
          </cell>
        </row>
        <row r="64">
          <cell r="A64" t="str">
            <v>HE160A</v>
          </cell>
          <cell r="B64">
            <v>160</v>
          </cell>
          <cell r="C64">
            <v>30.4</v>
          </cell>
          <cell r="D64">
            <v>152</v>
          </cell>
          <cell r="E64">
            <v>160</v>
          </cell>
          <cell r="F64">
            <v>6</v>
          </cell>
          <cell r="G64">
            <v>9</v>
          </cell>
          <cell r="H64">
            <v>3877</v>
          </cell>
          <cell r="I64">
            <v>16730000</v>
          </cell>
          <cell r="J64">
            <v>220100</v>
          </cell>
          <cell r="K64">
            <v>245100</v>
          </cell>
          <cell r="L64">
            <v>65.7</v>
          </cell>
          <cell r="M64">
            <v>1321</v>
          </cell>
          <cell r="N64">
            <v>6156000</v>
          </cell>
          <cell r="O64">
            <v>76950</v>
          </cell>
          <cell r="P64">
            <v>117600</v>
          </cell>
          <cell r="Q64">
            <v>39.799999999999997</v>
          </cell>
          <cell r="R64">
            <v>41.6</v>
          </cell>
          <cell r="S64">
            <v>121900</v>
          </cell>
          <cell r="T64">
            <v>31409664000</v>
          </cell>
          <cell r="W64">
            <v>1</v>
          </cell>
          <cell r="X64">
            <v>2</v>
          </cell>
          <cell r="Y64">
            <v>3</v>
          </cell>
          <cell r="Z64">
            <v>1</v>
          </cell>
          <cell r="AA64">
            <v>2</v>
          </cell>
          <cell r="AB64">
            <v>3</v>
          </cell>
        </row>
        <row r="65">
          <cell r="A65" t="str">
            <v>HE160B</v>
          </cell>
          <cell r="B65">
            <v>160</v>
          </cell>
          <cell r="C65">
            <v>42.6</v>
          </cell>
          <cell r="D65">
            <v>160</v>
          </cell>
          <cell r="E65">
            <v>160</v>
          </cell>
          <cell r="F65">
            <v>8</v>
          </cell>
          <cell r="G65">
            <v>13</v>
          </cell>
          <cell r="H65">
            <v>5425</v>
          </cell>
          <cell r="I65">
            <v>24920000</v>
          </cell>
          <cell r="J65">
            <v>311500</v>
          </cell>
          <cell r="K65">
            <v>354000</v>
          </cell>
          <cell r="L65">
            <v>67.8</v>
          </cell>
          <cell r="M65">
            <v>1759</v>
          </cell>
          <cell r="N65">
            <v>8892000</v>
          </cell>
          <cell r="O65">
            <v>111200</v>
          </cell>
          <cell r="P65">
            <v>170000</v>
          </cell>
          <cell r="Q65">
            <v>40.5</v>
          </cell>
          <cell r="R65">
            <v>51.6</v>
          </cell>
          <cell r="S65">
            <v>312400</v>
          </cell>
          <cell r="T65">
            <v>47943168000</v>
          </cell>
          <cell r="W65">
            <v>1</v>
          </cell>
          <cell r="X65">
            <v>1</v>
          </cell>
          <cell r="Y65">
            <v>1</v>
          </cell>
          <cell r="Z65">
            <v>1</v>
          </cell>
          <cell r="AA65">
            <v>1</v>
          </cell>
          <cell r="AB65">
            <v>1</v>
          </cell>
        </row>
        <row r="66">
          <cell r="A66" t="str">
            <v>HE160M</v>
          </cell>
          <cell r="B66">
            <v>160</v>
          </cell>
          <cell r="C66">
            <v>76.2</v>
          </cell>
          <cell r="D66">
            <v>180</v>
          </cell>
          <cell r="E66">
            <v>166</v>
          </cell>
          <cell r="F66">
            <v>14</v>
          </cell>
          <cell r="G66">
            <v>23</v>
          </cell>
          <cell r="H66">
            <v>9705</v>
          </cell>
          <cell r="I66">
            <v>50980000</v>
          </cell>
          <cell r="J66">
            <v>566500</v>
          </cell>
          <cell r="K66">
            <v>674600</v>
          </cell>
          <cell r="L66">
            <v>72.5</v>
          </cell>
          <cell r="M66">
            <v>3081</v>
          </cell>
          <cell r="N66">
            <v>17590000</v>
          </cell>
          <cell r="O66">
            <v>211900</v>
          </cell>
          <cell r="P66">
            <v>325500</v>
          </cell>
          <cell r="Q66">
            <v>42.6</v>
          </cell>
          <cell r="R66">
            <v>77.599999999999994</v>
          </cell>
          <cell r="S66">
            <v>1624000</v>
          </cell>
          <cell r="T66">
            <v>108053829516.33333</v>
          </cell>
          <cell r="W66">
            <v>1</v>
          </cell>
          <cell r="X66">
            <v>1</v>
          </cell>
          <cell r="Y66">
            <v>1</v>
          </cell>
          <cell r="Z66">
            <v>1</v>
          </cell>
          <cell r="AA66">
            <v>1</v>
          </cell>
          <cell r="AB66">
            <v>1</v>
          </cell>
        </row>
        <row r="67">
          <cell r="A67" t="str">
            <v>HE180AA</v>
          </cell>
          <cell r="B67">
            <v>180</v>
          </cell>
          <cell r="C67">
            <v>28.7</v>
          </cell>
          <cell r="D67">
            <v>167</v>
          </cell>
          <cell r="E67">
            <v>180</v>
          </cell>
          <cell r="F67">
            <v>5</v>
          </cell>
          <cell r="G67">
            <v>7.5</v>
          </cell>
          <cell r="H67">
            <v>3653</v>
          </cell>
          <cell r="I67">
            <v>19670000</v>
          </cell>
          <cell r="J67">
            <v>235600</v>
          </cell>
          <cell r="K67">
            <v>258200</v>
          </cell>
          <cell r="L67">
            <v>73.400000000000006</v>
          </cell>
          <cell r="M67">
            <v>1216</v>
          </cell>
          <cell r="N67">
            <v>7300000</v>
          </cell>
          <cell r="O67">
            <v>81110</v>
          </cell>
          <cell r="P67">
            <v>123600</v>
          </cell>
          <cell r="Q67">
            <v>44.7</v>
          </cell>
          <cell r="R67">
            <v>37.6</v>
          </cell>
          <cell r="S67">
            <v>83300</v>
          </cell>
          <cell r="T67">
            <v>46364855625</v>
          </cell>
          <cell r="W67">
            <v>3</v>
          </cell>
          <cell r="X67">
            <v>3</v>
          </cell>
          <cell r="Y67">
            <v>4</v>
          </cell>
          <cell r="Z67">
            <v>3</v>
          </cell>
          <cell r="AA67">
            <v>3</v>
          </cell>
          <cell r="AB67">
            <v>4</v>
          </cell>
        </row>
        <row r="68">
          <cell r="A68" t="str">
            <v>HE180A</v>
          </cell>
          <cell r="B68">
            <v>180</v>
          </cell>
          <cell r="C68">
            <v>35.5</v>
          </cell>
          <cell r="D68">
            <v>171</v>
          </cell>
          <cell r="E68">
            <v>180</v>
          </cell>
          <cell r="F68">
            <v>6</v>
          </cell>
          <cell r="G68">
            <v>9.5</v>
          </cell>
          <cell r="H68">
            <v>4525</v>
          </cell>
          <cell r="I68">
            <v>25100000</v>
          </cell>
          <cell r="J68">
            <v>293600</v>
          </cell>
          <cell r="K68">
            <v>324900</v>
          </cell>
          <cell r="L68">
            <v>74.5</v>
          </cell>
          <cell r="M68">
            <v>1447</v>
          </cell>
          <cell r="N68">
            <v>9246000</v>
          </cell>
          <cell r="O68">
            <v>102700</v>
          </cell>
          <cell r="P68">
            <v>156500</v>
          </cell>
          <cell r="Q68">
            <v>45.2</v>
          </cell>
          <cell r="R68">
            <v>42.6</v>
          </cell>
          <cell r="S68">
            <v>148000</v>
          </cell>
          <cell r="T68">
            <v>60210874125</v>
          </cell>
          <cell r="W68">
            <v>1</v>
          </cell>
          <cell r="X68">
            <v>3</v>
          </cell>
          <cell r="Y68">
            <v>3</v>
          </cell>
          <cell r="Z68">
            <v>1</v>
          </cell>
          <cell r="AA68">
            <v>3</v>
          </cell>
          <cell r="AB68">
            <v>3</v>
          </cell>
        </row>
        <row r="69">
          <cell r="A69" t="str">
            <v>HE180B</v>
          </cell>
          <cell r="B69">
            <v>180</v>
          </cell>
          <cell r="C69">
            <v>51.2</v>
          </cell>
          <cell r="D69">
            <v>180</v>
          </cell>
          <cell r="E69">
            <v>180</v>
          </cell>
          <cell r="F69">
            <v>8.5</v>
          </cell>
          <cell r="G69">
            <v>14</v>
          </cell>
          <cell r="H69">
            <v>6525</v>
          </cell>
          <cell r="I69">
            <v>38310000</v>
          </cell>
          <cell r="J69">
            <v>425700</v>
          </cell>
          <cell r="K69">
            <v>481400</v>
          </cell>
          <cell r="L69">
            <v>76.599999999999994</v>
          </cell>
          <cell r="M69">
            <v>2024</v>
          </cell>
          <cell r="N69">
            <v>13630000</v>
          </cell>
          <cell r="O69">
            <v>151400</v>
          </cell>
          <cell r="P69">
            <v>231000</v>
          </cell>
          <cell r="Q69">
            <v>45.7</v>
          </cell>
          <cell r="R69">
            <v>54.1</v>
          </cell>
          <cell r="S69">
            <v>421600</v>
          </cell>
          <cell r="T69">
            <v>93745512000</v>
          </cell>
          <cell r="W69">
            <v>1</v>
          </cell>
          <cell r="X69">
            <v>1</v>
          </cell>
          <cell r="Y69">
            <v>1</v>
          </cell>
          <cell r="Z69">
            <v>1</v>
          </cell>
          <cell r="AA69">
            <v>1</v>
          </cell>
          <cell r="AB69">
            <v>1</v>
          </cell>
        </row>
        <row r="70">
          <cell r="A70" t="str">
            <v>HE180M</v>
          </cell>
          <cell r="B70">
            <v>180</v>
          </cell>
          <cell r="C70">
            <v>88.9</v>
          </cell>
          <cell r="D70">
            <v>200</v>
          </cell>
          <cell r="E70">
            <v>186</v>
          </cell>
          <cell r="F70">
            <v>14.5</v>
          </cell>
          <cell r="G70">
            <v>24</v>
          </cell>
          <cell r="H70">
            <v>11330</v>
          </cell>
          <cell r="I70">
            <v>74830000</v>
          </cell>
          <cell r="J70">
            <v>748300</v>
          </cell>
          <cell r="K70">
            <v>883400</v>
          </cell>
          <cell r="L70">
            <v>81.3</v>
          </cell>
          <cell r="M70">
            <v>3465</v>
          </cell>
          <cell r="N70">
            <v>25800000</v>
          </cell>
          <cell r="O70">
            <v>277400</v>
          </cell>
          <cell r="P70">
            <v>425200</v>
          </cell>
          <cell r="Q70">
            <v>47.7</v>
          </cell>
          <cell r="R70">
            <v>80.099999999999994</v>
          </cell>
          <cell r="S70">
            <v>2033000</v>
          </cell>
          <cell r="T70">
            <v>199326099456</v>
          </cell>
          <cell r="W70">
            <v>1</v>
          </cell>
          <cell r="X70">
            <v>1</v>
          </cell>
          <cell r="Y70">
            <v>1</v>
          </cell>
          <cell r="Z70">
            <v>1</v>
          </cell>
          <cell r="AA70">
            <v>1</v>
          </cell>
          <cell r="AB70">
            <v>1</v>
          </cell>
        </row>
        <row r="71">
          <cell r="A71" t="str">
            <v>HE200AA</v>
          </cell>
          <cell r="B71">
            <v>200</v>
          </cell>
          <cell r="C71">
            <v>34.6</v>
          </cell>
          <cell r="D71">
            <v>186</v>
          </cell>
          <cell r="E71">
            <v>200</v>
          </cell>
          <cell r="F71">
            <v>5.5</v>
          </cell>
          <cell r="G71">
            <v>8</v>
          </cell>
          <cell r="H71">
            <v>4413</v>
          </cell>
          <cell r="I71">
            <v>29440000</v>
          </cell>
          <cell r="J71">
            <v>316600</v>
          </cell>
          <cell r="K71">
            <v>347100</v>
          </cell>
          <cell r="L71">
            <v>81.7</v>
          </cell>
          <cell r="M71">
            <v>1545</v>
          </cell>
          <cell r="N71">
            <v>10680000</v>
          </cell>
          <cell r="O71">
            <v>106800</v>
          </cell>
          <cell r="P71">
            <v>163200</v>
          </cell>
          <cell r="Q71">
            <v>49.2</v>
          </cell>
          <cell r="R71">
            <v>42.6</v>
          </cell>
          <cell r="S71">
            <v>126900</v>
          </cell>
          <cell r="T71">
            <v>84490666666.666672</v>
          </cell>
          <cell r="W71">
            <v>3</v>
          </cell>
          <cell r="X71">
            <v>4</v>
          </cell>
          <cell r="Y71">
            <v>4</v>
          </cell>
          <cell r="Z71">
            <v>3</v>
          </cell>
          <cell r="AA71">
            <v>4</v>
          </cell>
          <cell r="AB71">
            <v>4</v>
          </cell>
        </row>
        <row r="72">
          <cell r="A72" t="str">
            <v>HE200A</v>
          </cell>
          <cell r="B72">
            <v>200</v>
          </cell>
          <cell r="C72">
            <v>42.3</v>
          </cell>
          <cell r="D72">
            <v>190</v>
          </cell>
          <cell r="E72">
            <v>200</v>
          </cell>
          <cell r="F72">
            <v>6.5</v>
          </cell>
          <cell r="G72">
            <v>10</v>
          </cell>
          <cell r="H72">
            <v>5383</v>
          </cell>
          <cell r="I72">
            <v>36920000</v>
          </cell>
          <cell r="J72">
            <v>388600</v>
          </cell>
          <cell r="K72">
            <v>429500</v>
          </cell>
          <cell r="L72">
            <v>82.8</v>
          </cell>
          <cell r="M72">
            <v>1808</v>
          </cell>
          <cell r="N72">
            <v>13360000</v>
          </cell>
          <cell r="O72">
            <v>133600</v>
          </cell>
          <cell r="P72">
            <v>203800</v>
          </cell>
          <cell r="Q72">
            <v>49.8</v>
          </cell>
          <cell r="R72">
            <v>47.6</v>
          </cell>
          <cell r="S72">
            <v>209800</v>
          </cell>
          <cell r="T72">
            <v>108000000000</v>
          </cell>
          <cell r="W72">
            <v>1</v>
          </cell>
          <cell r="X72">
            <v>3</v>
          </cell>
          <cell r="Y72">
            <v>3</v>
          </cell>
          <cell r="Z72">
            <v>1</v>
          </cell>
          <cell r="AA72">
            <v>3</v>
          </cell>
          <cell r="AB72">
            <v>3</v>
          </cell>
        </row>
        <row r="73">
          <cell r="A73" t="str">
            <v>HE200B</v>
          </cell>
          <cell r="B73">
            <v>200</v>
          </cell>
          <cell r="C73">
            <v>61.3</v>
          </cell>
          <cell r="D73">
            <v>200</v>
          </cell>
          <cell r="E73">
            <v>200</v>
          </cell>
          <cell r="F73">
            <v>9</v>
          </cell>
          <cell r="G73">
            <v>15</v>
          </cell>
          <cell r="H73">
            <v>7808</v>
          </cell>
          <cell r="I73">
            <v>56960000</v>
          </cell>
          <cell r="J73">
            <v>569600</v>
          </cell>
          <cell r="K73">
            <v>642500</v>
          </cell>
          <cell r="L73">
            <v>85.4</v>
          </cell>
          <cell r="M73">
            <v>2483</v>
          </cell>
          <cell r="N73">
            <v>20030000</v>
          </cell>
          <cell r="O73">
            <v>200300</v>
          </cell>
          <cell r="P73">
            <v>305800</v>
          </cell>
          <cell r="Q73">
            <v>50.7</v>
          </cell>
          <cell r="R73">
            <v>60.1</v>
          </cell>
          <cell r="S73">
            <v>592800</v>
          </cell>
          <cell r="T73">
            <v>171125000000</v>
          </cell>
          <cell r="W73">
            <v>1</v>
          </cell>
          <cell r="X73">
            <v>1</v>
          </cell>
          <cell r="Y73">
            <v>1</v>
          </cell>
          <cell r="Z73">
            <v>1</v>
          </cell>
          <cell r="AA73">
            <v>1</v>
          </cell>
          <cell r="AB73">
            <v>1</v>
          </cell>
        </row>
        <row r="74">
          <cell r="A74" t="str">
            <v>HE200M</v>
          </cell>
          <cell r="B74">
            <v>200</v>
          </cell>
          <cell r="C74">
            <v>103</v>
          </cell>
          <cell r="D74">
            <v>220</v>
          </cell>
          <cell r="E74">
            <v>206</v>
          </cell>
          <cell r="F74">
            <v>15</v>
          </cell>
          <cell r="G74">
            <v>25</v>
          </cell>
          <cell r="H74">
            <v>13130</v>
          </cell>
          <cell r="I74">
            <v>106400000</v>
          </cell>
          <cell r="J74">
            <v>967400</v>
          </cell>
          <cell r="K74">
            <v>1135000</v>
          </cell>
          <cell r="L74">
            <v>90</v>
          </cell>
          <cell r="M74">
            <v>4103</v>
          </cell>
          <cell r="N74">
            <v>36510000</v>
          </cell>
          <cell r="O74">
            <v>354500</v>
          </cell>
          <cell r="P74">
            <v>543200</v>
          </cell>
          <cell r="Q74">
            <v>52.7</v>
          </cell>
          <cell r="R74">
            <v>86.1</v>
          </cell>
          <cell r="S74">
            <v>2594000</v>
          </cell>
          <cell r="T74">
            <v>346257868125</v>
          </cell>
          <cell r="W74">
            <v>1</v>
          </cell>
          <cell r="X74">
            <v>1</v>
          </cell>
          <cell r="Y74">
            <v>1</v>
          </cell>
          <cell r="Z74">
            <v>1</v>
          </cell>
          <cell r="AA74">
            <v>1</v>
          </cell>
          <cell r="AB74">
            <v>1</v>
          </cell>
        </row>
        <row r="75">
          <cell r="A75" t="str">
            <v>HE220AA</v>
          </cell>
          <cell r="B75">
            <v>220</v>
          </cell>
          <cell r="C75">
            <v>40.4</v>
          </cell>
          <cell r="D75">
            <v>205</v>
          </cell>
          <cell r="E75">
            <v>220</v>
          </cell>
          <cell r="F75">
            <v>6</v>
          </cell>
          <cell r="G75">
            <v>8.5</v>
          </cell>
          <cell r="H75">
            <v>5146</v>
          </cell>
          <cell r="I75">
            <v>41700000</v>
          </cell>
          <cell r="J75">
            <v>406900</v>
          </cell>
          <cell r="K75">
            <v>445500</v>
          </cell>
          <cell r="L75">
            <v>90</v>
          </cell>
          <cell r="M75">
            <v>1763</v>
          </cell>
          <cell r="N75">
            <v>15100000</v>
          </cell>
          <cell r="O75">
            <v>137300</v>
          </cell>
          <cell r="P75">
            <v>209300</v>
          </cell>
          <cell r="Q75">
            <v>54.2</v>
          </cell>
          <cell r="R75">
            <v>44.1</v>
          </cell>
          <cell r="S75">
            <v>159300</v>
          </cell>
          <cell r="T75">
            <v>145613230125</v>
          </cell>
          <cell r="W75">
            <v>3</v>
          </cell>
          <cell r="X75">
            <v>4</v>
          </cell>
          <cell r="Y75">
            <v>4</v>
          </cell>
          <cell r="Z75">
            <v>3</v>
          </cell>
          <cell r="AA75">
            <v>4</v>
          </cell>
          <cell r="AB75">
            <v>4</v>
          </cell>
        </row>
        <row r="76">
          <cell r="A76" t="str">
            <v>HE220A</v>
          </cell>
          <cell r="B76">
            <v>220</v>
          </cell>
          <cell r="C76">
            <v>50.5</v>
          </cell>
          <cell r="D76">
            <v>210</v>
          </cell>
          <cell r="E76">
            <v>220</v>
          </cell>
          <cell r="F76">
            <v>7</v>
          </cell>
          <cell r="G76">
            <v>11</v>
          </cell>
          <cell r="H76">
            <v>6434</v>
          </cell>
          <cell r="I76">
            <v>54100000</v>
          </cell>
          <cell r="J76">
            <v>515200</v>
          </cell>
          <cell r="K76">
            <v>568500</v>
          </cell>
          <cell r="L76">
            <v>91.7</v>
          </cell>
          <cell r="M76">
            <v>2067</v>
          </cell>
          <cell r="N76">
            <v>19550000</v>
          </cell>
          <cell r="O76">
            <v>177700</v>
          </cell>
          <cell r="P76">
            <v>270600</v>
          </cell>
          <cell r="Q76">
            <v>55.1</v>
          </cell>
          <cell r="R76">
            <v>50.1</v>
          </cell>
          <cell r="S76">
            <v>284600</v>
          </cell>
          <cell r="T76">
            <v>193266080333.33334</v>
          </cell>
          <cell r="W76">
            <v>1</v>
          </cell>
          <cell r="X76">
            <v>3</v>
          </cell>
          <cell r="Y76">
            <v>3</v>
          </cell>
          <cell r="Z76">
            <v>1</v>
          </cell>
          <cell r="AA76">
            <v>3</v>
          </cell>
          <cell r="AB76">
            <v>3</v>
          </cell>
        </row>
        <row r="77">
          <cell r="A77" t="str">
            <v>HE220B</v>
          </cell>
          <cell r="B77">
            <v>220</v>
          </cell>
          <cell r="C77">
            <v>71.5</v>
          </cell>
          <cell r="D77">
            <v>220</v>
          </cell>
          <cell r="E77">
            <v>220</v>
          </cell>
          <cell r="F77">
            <v>9.5</v>
          </cell>
          <cell r="G77">
            <v>16</v>
          </cell>
          <cell r="H77">
            <v>9104</v>
          </cell>
          <cell r="I77">
            <v>80910000</v>
          </cell>
          <cell r="J77">
            <v>735500</v>
          </cell>
          <cell r="K77">
            <v>827000</v>
          </cell>
          <cell r="L77">
            <v>94.3</v>
          </cell>
          <cell r="M77">
            <v>2792</v>
          </cell>
          <cell r="N77">
            <v>28430000</v>
          </cell>
          <cell r="O77">
            <v>258500</v>
          </cell>
          <cell r="P77">
            <v>393900</v>
          </cell>
          <cell r="Q77">
            <v>55.9</v>
          </cell>
          <cell r="R77">
            <v>62.6</v>
          </cell>
          <cell r="S77">
            <v>765700</v>
          </cell>
          <cell r="T77">
            <v>295418112000</v>
          </cell>
          <cell r="W77">
            <v>1</v>
          </cell>
          <cell r="X77">
            <v>1</v>
          </cell>
          <cell r="Y77">
            <v>1</v>
          </cell>
          <cell r="Z77">
            <v>1</v>
          </cell>
          <cell r="AA77">
            <v>1</v>
          </cell>
          <cell r="AB77">
            <v>1</v>
          </cell>
        </row>
        <row r="78">
          <cell r="A78" t="str">
            <v>HE220M</v>
          </cell>
          <cell r="B78">
            <v>220</v>
          </cell>
          <cell r="C78">
            <v>117</v>
          </cell>
          <cell r="D78">
            <v>240</v>
          </cell>
          <cell r="E78">
            <v>226</v>
          </cell>
          <cell r="F78">
            <v>15.5</v>
          </cell>
          <cell r="G78">
            <v>26</v>
          </cell>
          <cell r="H78">
            <v>14940</v>
          </cell>
          <cell r="I78">
            <v>146000000</v>
          </cell>
          <cell r="J78">
            <v>1217000</v>
          </cell>
          <cell r="K78">
            <v>1419000</v>
          </cell>
          <cell r="L78">
            <v>98.9</v>
          </cell>
          <cell r="M78">
            <v>4531</v>
          </cell>
          <cell r="N78">
            <v>50120000</v>
          </cell>
          <cell r="O78">
            <v>443500</v>
          </cell>
          <cell r="P78">
            <v>678600</v>
          </cell>
          <cell r="Q78">
            <v>57.9</v>
          </cell>
          <cell r="R78">
            <v>88.6</v>
          </cell>
          <cell r="S78">
            <v>3153000</v>
          </cell>
          <cell r="T78">
            <v>572683895437.33337</v>
          </cell>
          <cell r="W78">
            <v>1</v>
          </cell>
          <cell r="X78">
            <v>1</v>
          </cell>
          <cell r="Y78">
            <v>1</v>
          </cell>
          <cell r="Z78">
            <v>1</v>
          </cell>
          <cell r="AA78">
            <v>1</v>
          </cell>
          <cell r="AB78">
            <v>1</v>
          </cell>
        </row>
        <row r="79">
          <cell r="A79" t="str">
            <v>HE240AA</v>
          </cell>
          <cell r="B79">
            <v>240</v>
          </cell>
          <cell r="C79">
            <v>47.4</v>
          </cell>
          <cell r="D79">
            <v>224</v>
          </cell>
          <cell r="E79">
            <v>240</v>
          </cell>
          <cell r="F79">
            <v>6.5</v>
          </cell>
          <cell r="G79">
            <v>9</v>
          </cell>
          <cell r="H79">
            <v>6038</v>
          </cell>
          <cell r="I79">
            <v>58350000</v>
          </cell>
          <cell r="J79">
            <v>521000</v>
          </cell>
          <cell r="K79">
            <v>570600</v>
          </cell>
          <cell r="L79">
            <v>98.3</v>
          </cell>
          <cell r="M79">
            <v>2154</v>
          </cell>
          <cell r="N79">
            <v>20770000</v>
          </cell>
          <cell r="O79">
            <v>173100</v>
          </cell>
          <cell r="P79">
            <v>264400</v>
          </cell>
          <cell r="Q79">
            <v>58.7</v>
          </cell>
          <cell r="R79">
            <v>49.1</v>
          </cell>
          <cell r="S79">
            <v>229800</v>
          </cell>
          <cell r="T79">
            <v>239630400000</v>
          </cell>
          <cell r="W79">
            <v>3</v>
          </cell>
          <cell r="X79">
            <v>4</v>
          </cell>
          <cell r="Y79">
            <v>4</v>
          </cell>
          <cell r="Z79">
            <v>3</v>
          </cell>
          <cell r="AA79">
            <v>4</v>
          </cell>
          <cell r="AB79">
            <v>4</v>
          </cell>
        </row>
        <row r="80">
          <cell r="A80" t="str">
            <v>HE240A</v>
          </cell>
          <cell r="B80">
            <v>240</v>
          </cell>
          <cell r="C80">
            <v>60.3</v>
          </cell>
          <cell r="D80">
            <v>230</v>
          </cell>
          <cell r="E80">
            <v>240</v>
          </cell>
          <cell r="F80">
            <v>7.5</v>
          </cell>
          <cell r="G80">
            <v>12</v>
          </cell>
          <cell r="H80">
            <v>7684</v>
          </cell>
          <cell r="I80">
            <v>77630000</v>
          </cell>
          <cell r="J80">
            <v>675100</v>
          </cell>
          <cell r="K80">
            <v>744600</v>
          </cell>
          <cell r="L80">
            <v>100.5</v>
          </cell>
          <cell r="M80">
            <v>2518</v>
          </cell>
          <cell r="N80">
            <v>27690000</v>
          </cell>
          <cell r="O80">
            <v>230700</v>
          </cell>
          <cell r="P80">
            <v>351700</v>
          </cell>
          <cell r="Q80">
            <v>60</v>
          </cell>
          <cell r="R80">
            <v>56.1</v>
          </cell>
          <cell r="S80">
            <v>415500</v>
          </cell>
          <cell r="T80">
            <v>328485888000</v>
          </cell>
          <cell r="W80">
            <v>1</v>
          </cell>
          <cell r="X80">
            <v>3</v>
          </cell>
          <cell r="Y80">
            <v>3</v>
          </cell>
          <cell r="Z80">
            <v>1</v>
          </cell>
          <cell r="AA80">
            <v>3</v>
          </cell>
          <cell r="AB80">
            <v>3</v>
          </cell>
        </row>
        <row r="81">
          <cell r="A81" t="str">
            <v>HE240B</v>
          </cell>
          <cell r="B81">
            <v>240</v>
          </cell>
          <cell r="C81">
            <v>83.2</v>
          </cell>
          <cell r="D81">
            <v>240</v>
          </cell>
          <cell r="E81">
            <v>240</v>
          </cell>
          <cell r="F81">
            <v>10</v>
          </cell>
          <cell r="G81">
            <v>17</v>
          </cell>
          <cell r="H81">
            <v>10600</v>
          </cell>
          <cell r="I81">
            <v>112600000</v>
          </cell>
          <cell r="J81">
            <v>938300</v>
          </cell>
          <cell r="K81">
            <v>1053000</v>
          </cell>
          <cell r="L81">
            <v>103.1</v>
          </cell>
          <cell r="M81">
            <v>3323</v>
          </cell>
          <cell r="N81">
            <v>39230000</v>
          </cell>
          <cell r="O81">
            <v>326900</v>
          </cell>
          <cell r="P81">
            <v>498400</v>
          </cell>
          <cell r="Q81">
            <v>60.8</v>
          </cell>
          <cell r="R81">
            <v>68.599999999999994</v>
          </cell>
          <cell r="S81">
            <v>1027000</v>
          </cell>
          <cell r="T81">
            <v>486946368000</v>
          </cell>
          <cell r="W81">
            <v>1</v>
          </cell>
          <cell r="X81">
            <v>1</v>
          </cell>
          <cell r="Y81">
            <v>1</v>
          </cell>
          <cell r="Z81">
            <v>1</v>
          </cell>
          <cell r="AA81">
            <v>1</v>
          </cell>
          <cell r="AB81">
            <v>1</v>
          </cell>
        </row>
        <row r="82">
          <cell r="A82" t="str">
            <v>HE240M</v>
          </cell>
          <cell r="B82">
            <v>240</v>
          </cell>
          <cell r="C82">
            <v>157</v>
          </cell>
          <cell r="D82">
            <v>270</v>
          </cell>
          <cell r="E82">
            <v>248</v>
          </cell>
          <cell r="F82">
            <v>18</v>
          </cell>
          <cell r="G82">
            <v>32</v>
          </cell>
          <cell r="H82">
            <v>19960</v>
          </cell>
          <cell r="I82">
            <v>242900000</v>
          </cell>
          <cell r="J82">
            <v>1799000</v>
          </cell>
          <cell r="K82">
            <v>2117000</v>
          </cell>
          <cell r="L82">
            <v>110.3</v>
          </cell>
          <cell r="M82">
            <v>6007</v>
          </cell>
          <cell r="N82">
            <v>81530000</v>
          </cell>
          <cell r="O82">
            <v>657500</v>
          </cell>
          <cell r="P82">
            <v>1006000</v>
          </cell>
          <cell r="Q82">
            <v>63.9</v>
          </cell>
          <cell r="R82">
            <v>106.6</v>
          </cell>
          <cell r="S82">
            <v>6279000</v>
          </cell>
          <cell r="T82">
            <v>1151987305130.6667</v>
          </cell>
          <cell r="W82">
            <v>1</v>
          </cell>
          <cell r="X82">
            <v>1</v>
          </cell>
          <cell r="Y82">
            <v>1</v>
          </cell>
          <cell r="Z82">
            <v>1</v>
          </cell>
          <cell r="AA82">
            <v>1</v>
          </cell>
          <cell r="AB82">
            <v>1</v>
          </cell>
        </row>
        <row r="83">
          <cell r="A83" t="str">
            <v>HE260AA</v>
          </cell>
          <cell r="B83">
            <v>260</v>
          </cell>
          <cell r="C83">
            <v>54.1</v>
          </cell>
          <cell r="D83">
            <v>244</v>
          </cell>
          <cell r="E83">
            <v>260</v>
          </cell>
          <cell r="F83">
            <v>6.5</v>
          </cell>
          <cell r="G83">
            <v>9.5</v>
          </cell>
          <cell r="H83">
            <v>6897</v>
          </cell>
          <cell r="I83">
            <v>79810000</v>
          </cell>
          <cell r="J83">
            <v>654100</v>
          </cell>
          <cell r="K83">
            <v>714500</v>
          </cell>
          <cell r="L83">
            <v>107.6</v>
          </cell>
          <cell r="M83">
            <v>2475</v>
          </cell>
          <cell r="N83">
            <v>27880000</v>
          </cell>
          <cell r="O83">
            <v>214500</v>
          </cell>
          <cell r="P83">
            <v>327700</v>
          </cell>
          <cell r="Q83">
            <v>63.6</v>
          </cell>
          <cell r="R83">
            <v>53.6</v>
          </cell>
          <cell r="S83">
            <v>303100</v>
          </cell>
          <cell r="T83">
            <v>382576334291.66669</v>
          </cell>
          <cell r="W83">
            <v>3</v>
          </cell>
          <cell r="X83">
            <v>4</v>
          </cell>
          <cell r="Y83">
            <v>4</v>
          </cell>
          <cell r="Z83">
            <v>3</v>
          </cell>
          <cell r="AA83">
            <v>4</v>
          </cell>
          <cell r="AB83">
            <v>4</v>
          </cell>
        </row>
        <row r="84">
          <cell r="A84" t="str">
            <v>HE260A</v>
          </cell>
          <cell r="B84">
            <v>260</v>
          </cell>
          <cell r="C84">
            <v>68.2</v>
          </cell>
          <cell r="D84">
            <v>250</v>
          </cell>
          <cell r="E84">
            <v>260</v>
          </cell>
          <cell r="F84">
            <v>7.5</v>
          </cell>
          <cell r="G84">
            <v>12.5</v>
          </cell>
          <cell r="H84">
            <v>8682</v>
          </cell>
          <cell r="I84">
            <v>104500000</v>
          </cell>
          <cell r="J84">
            <v>836400</v>
          </cell>
          <cell r="K84">
            <v>919800</v>
          </cell>
          <cell r="L84">
            <v>109.7</v>
          </cell>
          <cell r="M84">
            <v>2876</v>
          </cell>
          <cell r="N84">
            <v>36680000</v>
          </cell>
          <cell r="O84">
            <v>282100</v>
          </cell>
          <cell r="P84">
            <v>430200</v>
          </cell>
          <cell r="Q84">
            <v>65</v>
          </cell>
          <cell r="R84">
            <v>60.6</v>
          </cell>
          <cell r="S84">
            <v>523700</v>
          </cell>
          <cell r="T84">
            <v>516352213541.66669</v>
          </cell>
          <cell r="W84">
            <v>2</v>
          </cell>
          <cell r="X84">
            <v>3</v>
          </cell>
          <cell r="Y84">
            <v>3</v>
          </cell>
          <cell r="Z84">
            <v>2</v>
          </cell>
          <cell r="AA84">
            <v>3</v>
          </cell>
          <cell r="AB84">
            <v>3</v>
          </cell>
        </row>
        <row r="85">
          <cell r="A85" t="str">
            <v>HE260B</v>
          </cell>
          <cell r="B85">
            <v>260</v>
          </cell>
          <cell r="C85">
            <v>93</v>
          </cell>
          <cell r="D85">
            <v>260</v>
          </cell>
          <cell r="E85">
            <v>260</v>
          </cell>
          <cell r="F85">
            <v>10</v>
          </cell>
          <cell r="G85">
            <v>17.5</v>
          </cell>
          <cell r="H85">
            <v>11840</v>
          </cell>
          <cell r="I85">
            <v>149200000</v>
          </cell>
          <cell r="J85">
            <v>1148000</v>
          </cell>
          <cell r="K85">
            <v>1283000</v>
          </cell>
          <cell r="L85">
            <v>112.2</v>
          </cell>
          <cell r="M85">
            <v>3759</v>
          </cell>
          <cell r="N85">
            <v>51350000</v>
          </cell>
          <cell r="O85">
            <v>395000</v>
          </cell>
          <cell r="P85">
            <v>602200</v>
          </cell>
          <cell r="Q85">
            <v>65.8</v>
          </cell>
          <cell r="R85">
            <v>73.099999999999994</v>
          </cell>
          <cell r="S85">
            <v>1238000</v>
          </cell>
          <cell r="T85">
            <v>753651098958.33337</v>
          </cell>
          <cell r="W85">
            <v>1</v>
          </cell>
          <cell r="X85">
            <v>1</v>
          </cell>
          <cell r="Y85">
            <v>2</v>
          </cell>
          <cell r="Z85">
            <v>1</v>
          </cell>
          <cell r="AA85">
            <v>1</v>
          </cell>
          <cell r="AB85">
            <v>2</v>
          </cell>
        </row>
        <row r="86">
          <cell r="A86" t="str">
            <v>HE260M</v>
          </cell>
          <cell r="B86">
            <v>260</v>
          </cell>
          <cell r="C86">
            <v>172</v>
          </cell>
          <cell r="D86">
            <v>290</v>
          </cell>
          <cell r="E86">
            <v>268</v>
          </cell>
          <cell r="F86">
            <v>18</v>
          </cell>
          <cell r="G86">
            <v>32.5</v>
          </cell>
          <cell r="H86">
            <v>21960</v>
          </cell>
          <cell r="I86">
            <v>313100000</v>
          </cell>
          <cell r="J86">
            <v>2159000</v>
          </cell>
          <cell r="K86">
            <v>2524000</v>
          </cell>
          <cell r="L86">
            <v>119.4</v>
          </cell>
          <cell r="M86">
            <v>6689</v>
          </cell>
          <cell r="N86">
            <v>104500000</v>
          </cell>
          <cell r="O86">
            <v>779700</v>
          </cell>
          <cell r="P86">
            <v>1192000</v>
          </cell>
          <cell r="Q86">
            <v>69</v>
          </cell>
          <cell r="R86">
            <v>111.1</v>
          </cell>
          <cell r="S86">
            <v>7190000</v>
          </cell>
          <cell r="T86">
            <v>1728347111291.6667</v>
          </cell>
          <cell r="W86">
            <v>1</v>
          </cell>
          <cell r="X86">
            <v>1</v>
          </cell>
          <cell r="Y86">
            <v>1</v>
          </cell>
          <cell r="Z86">
            <v>1</v>
          </cell>
          <cell r="AA86">
            <v>1</v>
          </cell>
          <cell r="AB86">
            <v>1</v>
          </cell>
        </row>
        <row r="87">
          <cell r="A87" t="str">
            <v>HE280AA</v>
          </cell>
          <cell r="B87">
            <v>280</v>
          </cell>
          <cell r="C87">
            <v>61.2</v>
          </cell>
          <cell r="D87">
            <v>264</v>
          </cell>
          <cell r="E87">
            <v>280</v>
          </cell>
          <cell r="F87">
            <v>7</v>
          </cell>
          <cell r="G87">
            <v>10</v>
          </cell>
          <cell r="H87">
            <v>7802</v>
          </cell>
          <cell r="I87">
            <v>105600000</v>
          </cell>
          <cell r="J87">
            <v>799800</v>
          </cell>
          <cell r="K87">
            <v>873100</v>
          </cell>
          <cell r="L87">
            <v>116.3</v>
          </cell>
          <cell r="M87">
            <v>2752</v>
          </cell>
          <cell r="N87">
            <v>36640000</v>
          </cell>
          <cell r="O87">
            <v>261700</v>
          </cell>
          <cell r="P87">
            <v>399400</v>
          </cell>
          <cell r="Q87">
            <v>68.5</v>
          </cell>
          <cell r="R87">
            <v>55.1</v>
          </cell>
          <cell r="S87">
            <v>362200</v>
          </cell>
          <cell r="T87">
            <v>590106346666.66663</v>
          </cell>
          <cell r="W87">
            <v>3</v>
          </cell>
          <cell r="X87">
            <v>4</v>
          </cell>
          <cell r="Y87">
            <v>4</v>
          </cell>
          <cell r="Z87">
            <v>3</v>
          </cell>
          <cell r="AA87">
            <v>4</v>
          </cell>
          <cell r="AB87">
            <v>4</v>
          </cell>
        </row>
        <row r="88">
          <cell r="A88" t="str">
            <v>HE280A</v>
          </cell>
          <cell r="B88">
            <v>280</v>
          </cell>
          <cell r="C88">
            <v>76.400000000000006</v>
          </cell>
          <cell r="D88">
            <v>270</v>
          </cell>
          <cell r="E88">
            <v>280</v>
          </cell>
          <cell r="F88">
            <v>8</v>
          </cell>
          <cell r="G88">
            <v>13</v>
          </cell>
          <cell r="H88">
            <v>9726</v>
          </cell>
          <cell r="I88">
            <v>136700000</v>
          </cell>
          <cell r="J88">
            <v>1013000</v>
          </cell>
          <cell r="K88">
            <v>1112000</v>
          </cell>
          <cell r="L88">
            <v>118.6</v>
          </cell>
          <cell r="M88">
            <v>3174</v>
          </cell>
          <cell r="N88">
            <v>47630000</v>
          </cell>
          <cell r="O88">
            <v>340200</v>
          </cell>
          <cell r="P88">
            <v>518100</v>
          </cell>
          <cell r="Q88">
            <v>70</v>
          </cell>
          <cell r="R88">
            <v>62.1</v>
          </cell>
          <cell r="S88">
            <v>621000</v>
          </cell>
          <cell r="T88">
            <v>785366642666.66663</v>
          </cell>
          <cell r="W88">
            <v>2</v>
          </cell>
          <cell r="X88">
            <v>3</v>
          </cell>
          <cell r="Y88">
            <v>4</v>
          </cell>
          <cell r="Z88">
            <v>2</v>
          </cell>
          <cell r="AA88">
            <v>3</v>
          </cell>
          <cell r="AB88">
            <v>4</v>
          </cell>
        </row>
        <row r="89">
          <cell r="A89" t="str">
            <v>HE280B</v>
          </cell>
          <cell r="B89">
            <v>280</v>
          </cell>
          <cell r="C89">
            <v>103</v>
          </cell>
          <cell r="D89">
            <v>280</v>
          </cell>
          <cell r="E89">
            <v>280</v>
          </cell>
          <cell r="F89">
            <v>10.5</v>
          </cell>
          <cell r="G89">
            <v>18</v>
          </cell>
          <cell r="H89">
            <v>13140</v>
          </cell>
          <cell r="I89">
            <v>192700000</v>
          </cell>
          <cell r="J89">
            <v>1376000</v>
          </cell>
          <cell r="K89">
            <v>1534000</v>
          </cell>
          <cell r="L89">
            <v>121.1</v>
          </cell>
          <cell r="M89">
            <v>4109</v>
          </cell>
          <cell r="N89">
            <v>65950000</v>
          </cell>
          <cell r="O89">
            <v>471000</v>
          </cell>
          <cell r="P89">
            <v>717600</v>
          </cell>
          <cell r="Q89">
            <v>70.900000000000006</v>
          </cell>
          <cell r="R89">
            <v>74.599999999999994</v>
          </cell>
          <cell r="S89">
            <v>1437000</v>
          </cell>
          <cell r="T89">
            <v>1130154816000</v>
          </cell>
          <cell r="W89">
            <v>1</v>
          </cell>
          <cell r="X89">
            <v>1</v>
          </cell>
          <cell r="Y89">
            <v>2</v>
          </cell>
          <cell r="Z89">
            <v>1</v>
          </cell>
          <cell r="AA89">
            <v>1</v>
          </cell>
          <cell r="AB89">
            <v>2</v>
          </cell>
        </row>
        <row r="90">
          <cell r="A90" t="str">
            <v>HE280M</v>
          </cell>
          <cell r="B90">
            <v>280</v>
          </cell>
          <cell r="C90">
            <v>189</v>
          </cell>
          <cell r="D90">
            <v>310</v>
          </cell>
          <cell r="E90">
            <v>288</v>
          </cell>
          <cell r="F90">
            <v>18.5</v>
          </cell>
          <cell r="G90">
            <v>33</v>
          </cell>
          <cell r="H90">
            <v>24020</v>
          </cell>
          <cell r="I90">
            <v>395500000</v>
          </cell>
          <cell r="J90">
            <v>2551000</v>
          </cell>
          <cell r="K90">
            <v>2966000</v>
          </cell>
          <cell r="L90">
            <v>128.30000000000001</v>
          </cell>
          <cell r="M90">
            <v>7203</v>
          </cell>
          <cell r="N90">
            <v>131600000</v>
          </cell>
          <cell r="O90">
            <v>914100</v>
          </cell>
          <cell r="P90">
            <v>1397000</v>
          </cell>
          <cell r="Q90">
            <v>74</v>
          </cell>
          <cell r="R90">
            <v>112.6</v>
          </cell>
          <cell r="S90">
            <v>8073000</v>
          </cell>
          <cell r="T90">
            <v>2520227229696</v>
          </cell>
          <cell r="W90">
            <v>1</v>
          </cell>
          <cell r="X90">
            <v>1</v>
          </cell>
          <cell r="Y90">
            <v>1</v>
          </cell>
          <cell r="Z90">
            <v>1</v>
          </cell>
          <cell r="AA90">
            <v>1</v>
          </cell>
          <cell r="AB90">
            <v>1</v>
          </cell>
        </row>
        <row r="91">
          <cell r="A91" t="str">
            <v>HE300AA</v>
          </cell>
          <cell r="B91">
            <v>300</v>
          </cell>
          <cell r="C91">
            <v>69.8</v>
          </cell>
          <cell r="D91">
            <v>283</v>
          </cell>
          <cell r="E91">
            <v>300</v>
          </cell>
          <cell r="F91">
            <v>7.5</v>
          </cell>
          <cell r="G91">
            <v>10.5</v>
          </cell>
          <cell r="H91">
            <v>8891</v>
          </cell>
          <cell r="I91">
            <v>138000000</v>
          </cell>
          <cell r="J91">
            <v>975600</v>
          </cell>
          <cell r="K91">
            <v>1065000</v>
          </cell>
          <cell r="L91">
            <v>124.6</v>
          </cell>
          <cell r="M91">
            <v>3237</v>
          </cell>
          <cell r="N91">
            <v>47340000</v>
          </cell>
          <cell r="O91">
            <v>315600</v>
          </cell>
          <cell r="P91">
            <v>482300</v>
          </cell>
          <cell r="Q91">
            <v>73</v>
          </cell>
          <cell r="R91">
            <v>60.1</v>
          </cell>
          <cell r="S91">
            <v>493500</v>
          </cell>
          <cell r="T91">
            <v>877151953125</v>
          </cell>
          <cell r="W91">
            <v>3</v>
          </cell>
          <cell r="X91">
            <v>4</v>
          </cell>
          <cell r="Y91">
            <v>4</v>
          </cell>
          <cell r="Z91">
            <v>3</v>
          </cell>
          <cell r="AA91">
            <v>4</v>
          </cell>
          <cell r="AB91">
            <v>4</v>
          </cell>
        </row>
        <row r="92">
          <cell r="A92" t="str">
            <v>HE300A</v>
          </cell>
          <cell r="B92">
            <v>300</v>
          </cell>
          <cell r="C92">
            <v>88.3</v>
          </cell>
          <cell r="D92">
            <v>290</v>
          </cell>
          <cell r="E92">
            <v>300</v>
          </cell>
          <cell r="F92">
            <v>8.5</v>
          </cell>
          <cell r="G92">
            <v>14</v>
          </cell>
          <cell r="H92">
            <v>11250</v>
          </cell>
          <cell r="I92">
            <v>182600000</v>
          </cell>
          <cell r="J92">
            <v>1260000</v>
          </cell>
          <cell r="K92">
            <v>1383000</v>
          </cell>
          <cell r="L92">
            <v>127.4</v>
          </cell>
          <cell r="M92">
            <v>3728</v>
          </cell>
          <cell r="N92">
            <v>63100000</v>
          </cell>
          <cell r="O92">
            <v>420600</v>
          </cell>
          <cell r="P92">
            <v>641200</v>
          </cell>
          <cell r="Q92">
            <v>74.900000000000006</v>
          </cell>
          <cell r="R92">
            <v>68.099999999999994</v>
          </cell>
          <cell r="S92">
            <v>851700</v>
          </cell>
          <cell r="T92">
            <v>1199772000000</v>
          </cell>
          <cell r="W92">
            <v>2</v>
          </cell>
          <cell r="X92">
            <v>3</v>
          </cell>
          <cell r="Y92">
            <v>3</v>
          </cell>
          <cell r="Z92">
            <v>2</v>
          </cell>
          <cell r="AA92">
            <v>3</v>
          </cell>
          <cell r="AB92">
            <v>3</v>
          </cell>
        </row>
        <row r="93">
          <cell r="A93" t="str">
            <v>HE300B</v>
          </cell>
          <cell r="B93">
            <v>300</v>
          </cell>
          <cell r="C93">
            <v>117</v>
          </cell>
          <cell r="D93">
            <v>300</v>
          </cell>
          <cell r="E93">
            <v>300</v>
          </cell>
          <cell r="F93">
            <v>11</v>
          </cell>
          <cell r="G93">
            <v>19</v>
          </cell>
          <cell r="H93">
            <v>14910</v>
          </cell>
          <cell r="I93">
            <v>251700000</v>
          </cell>
          <cell r="J93">
            <v>1678000</v>
          </cell>
          <cell r="K93">
            <v>1869000</v>
          </cell>
          <cell r="L93">
            <v>129.9</v>
          </cell>
          <cell r="M93">
            <v>4743</v>
          </cell>
          <cell r="N93">
            <v>85630000</v>
          </cell>
          <cell r="O93">
            <v>570900</v>
          </cell>
          <cell r="P93">
            <v>870100</v>
          </cell>
          <cell r="Q93">
            <v>75.8</v>
          </cell>
          <cell r="R93">
            <v>80.599999999999994</v>
          </cell>
          <cell r="S93">
            <v>1850000</v>
          </cell>
          <cell r="T93">
            <v>1687791375000</v>
          </cell>
          <cell r="W93">
            <v>1</v>
          </cell>
          <cell r="X93">
            <v>1</v>
          </cell>
          <cell r="Y93">
            <v>3</v>
          </cell>
          <cell r="Z93">
            <v>1</v>
          </cell>
          <cell r="AA93">
            <v>1</v>
          </cell>
          <cell r="AB93">
            <v>3</v>
          </cell>
        </row>
        <row r="94">
          <cell r="A94" t="str">
            <v>HE300C</v>
          </cell>
          <cell r="B94">
            <v>300</v>
          </cell>
          <cell r="C94">
            <v>177</v>
          </cell>
          <cell r="D94">
            <v>320</v>
          </cell>
          <cell r="E94">
            <v>305</v>
          </cell>
          <cell r="F94">
            <v>16</v>
          </cell>
          <cell r="G94">
            <v>29</v>
          </cell>
          <cell r="H94">
            <v>22510</v>
          </cell>
          <cell r="I94">
            <v>409500000</v>
          </cell>
          <cell r="J94">
            <v>2559000</v>
          </cell>
          <cell r="K94">
            <v>2927000</v>
          </cell>
          <cell r="L94">
            <v>134.9</v>
          </cell>
          <cell r="M94">
            <v>6848</v>
          </cell>
          <cell r="N94">
            <v>137400000</v>
          </cell>
          <cell r="O94">
            <v>900700</v>
          </cell>
          <cell r="P94">
            <v>1374000</v>
          </cell>
          <cell r="Q94">
            <v>78.099999999999994</v>
          </cell>
          <cell r="R94">
            <v>105.6</v>
          </cell>
          <cell r="S94">
            <v>5983000</v>
          </cell>
          <cell r="T94">
            <v>2903168561296.875</v>
          </cell>
          <cell r="W94">
            <v>1</v>
          </cell>
          <cell r="X94">
            <v>1</v>
          </cell>
          <cell r="Y94">
            <v>1</v>
          </cell>
          <cell r="Z94">
            <v>1</v>
          </cell>
          <cell r="AA94">
            <v>1</v>
          </cell>
          <cell r="AB94">
            <v>1</v>
          </cell>
        </row>
        <row r="95">
          <cell r="A95" t="str">
            <v>HE300M</v>
          </cell>
          <cell r="B95">
            <v>300</v>
          </cell>
          <cell r="C95">
            <v>238</v>
          </cell>
          <cell r="D95">
            <v>340</v>
          </cell>
          <cell r="E95">
            <v>310</v>
          </cell>
          <cell r="F95">
            <v>21</v>
          </cell>
          <cell r="G95">
            <v>39</v>
          </cell>
          <cell r="H95">
            <v>30310</v>
          </cell>
          <cell r="I95">
            <v>592000000</v>
          </cell>
          <cell r="J95">
            <v>3482000</v>
          </cell>
          <cell r="K95">
            <v>4078000</v>
          </cell>
          <cell r="L95">
            <v>139.80000000000001</v>
          </cell>
          <cell r="M95">
            <v>9053</v>
          </cell>
          <cell r="N95">
            <v>194000000</v>
          </cell>
          <cell r="O95">
            <v>1252000</v>
          </cell>
          <cell r="P95">
            <v>1913000</v>
          </cell>
          <cell r="Q95">
            <v>80</v>
          </cell>
          <cell r="R95">
            <v>130.6</v>
          </cell>
          <cell r="S95">
            <v>14080000</v>
          </cell>
          <cell r="T95">
            <v>4386028385375</v>
          </cell>
          <cell r="W95">
            <v>1</v>
          </cell>
          <cell r="X95">
            <v>1</v>
          </cell>
          <cell r="Y95">
            <v>1</v>
          </cell>
          <cell r="Z95">
            <v>1</v>
          </cell>
          <cell r="AA95">
            <v>1</v>
          </cell>
          <cell r="AB95">
            <v>1</v>
          </cell>
        </row>
        <row r="96">
          <cell r="A96" t="str">
            <v>HE320AA</v>
          </cell>
          <cell r="B96">
            <v>320</v>
          </cell>
          <cell r="C96">
            <v>74.2</v>
          </cell>
          <cell r="D96">
            <v>301</v>
          </cell>
          <cell r="E96">
            <v>300</v>
          </cell>
          <cell r="F96">
            <v>8</v>
          </cell>
          <cell r="G96">
            <v>11</v>
          </cell>
          <cell r="H96">
            <v>9458</v>
          </cell>
          <cell r="I96">
            <v>164500000</v>
          </cell>
          <cell r="J96">
            <v>1093000</v>
          </cell>
          <cell r="K96">
            <v>1196000</v>
          </cell>
          <cell r="L96">
            <v>131.9</v>
          </cell>
          <cell r="M96">
            <v>3540</v>
          </cell>
          <cell r="N96">
            <v>49590000</v>
          </cell>
          <cell r="O96">
            <v>330600</v>
          </cell>
          <cell r="P96">
            <v>505700</v>
          </cell>
          <cell r="Q96">
            <v>72.400000000000006</v>
          </cell>
          <cell r="R96">
            <v>61.6</v>
          </cell>
          <cell r="S96">
            <v>558700</v>
          </cell>
          <cell r="T96">
            <v>1040737500000</v>
          </cell>
          <cell r="W96">
            <v>3</v>
          </cell>
          <cell r="X96">
            <v>4</v>
          </cell>
          <cell r="Y96">
            <v>4</v>
          </cell>
          <cell r="Z96">
            <v>3</v>
          </cell>
          <cell r="AA96">
            <v>4</v>
          </cell>
          <cell r="AB96">
            <v>4</v>
          </cell>
        </row>
        <row r="97">
          <cell r="A97" t="str">
            <v>HE320A</v>
          </cell>
          <cell r="B97">
            <v>320</v>
          </cell>
          <cell r="C97">
            <v>97.6</v>
          </cell>
          <cell r="D97">
            <v>310</v>
          </cell>
          <cell r="E97">
            <v>300</v>
          </cell>
          <cell r="F97">
            <v>9</v>
          </cell>
          <cell r="G97">
            <v>15.5</v>
          </cell>
          <cell r="H97">
            <v>12440</v>
          </cell>
          <cell r="I97">
            <v>229300000</v>
          </cell>
          <cell r="J97">
            <v>1479000</v>
          </cell>
          <cell r="K97">
            <v>1628000</v>
          </cell>
          <cell r="L97">
            <v>135.80000000000001</v>
          </cell>
          <cell r="M97">
            <v>4113</v>
          </cell>
          <cell r="N97">
            <v>69850000</v>
          </cell>
          <cell r="O97">
            <v>465700</v>
          </cell>
          <cell r="P97">
            <v>709700</v>
          </cell>
          <cell r="Q97">
            <v>74.900000000000006</v>
          </cell>
          <cell r="R97">
            <v>71.599999999999994</v>
          </cell>
          <cell r="S97">
            <v>1080000</v>
          </cell>
          <cell r="T97">
            <v>1512358734375</v>
          </cell>
          <cell r="W97">
            <v>1</v>
          </cell>
          <cell r="X97">
            <v>3</v>
          </cell>
          <cell r="Y97">
            <v>3</v>
          </cell>
          <cell r="Z97">
            <v>1</v>
          </cell>
          <cell r="AA97">
            <v>3</v>
          </cell>
          <cell r="AB97">
            <v>3</v>
          </cell>
        </row>
        <row r="98">
          <cell r="A98" t="str">
            <v>HE320B</v>
          </cell>
          <cell r="B98">
            <v>320</v>
          </cell>
          <cell r="C98">
            <v>127</v>
          </cell>
          <cell r="D98">
            <v>320</v>
          </cell>
          <cell r="E98">
            <v>300</v>
          </cell>
          <cell r="F98">
            <v>11.5</v>
          </cell>
          <cell r="G98">
            <v>20.5</v>
          </cell>
          <cell r="H98">
            <v>16130</v>
          </cell>
          <cell r="I98">
            <v>308200000</v>
          </cell>
          <cell r="J98">
            <v>1926000</v>
          </cell>
          <cell r="K98">
            <v>2149000</v>
          </cell>
          <cell r="L98">
            <v>138.19999999999999</v>
          </cell>
          <cell r="M98">
            <v>5177</v>
          </cell>
          <cell r="N98">
            <v>92390000</v>
          </cell>
          <cell r="O98">
            <v>615900</v>
          </cell>
          <cell r="P98">
            <v>939100</v>
          </cell>
          <cell r="Q98">
            <v>75.7</v>
          </cell>
          <cell r="R98">
            <v>84.1</v>
          </cell>
          <cell r="S98">
            <v>2251000</v>
          </cell>
          <cell r="T98">
            <v>2068712015625</v>
          </cell>
          <cell r="W98">
            <v>1</v>
          </cell>
          <cell r="X98">
            <v>1</v>
          </cell>
          <cell r="Y98">
            <v>2</v>
          </cell>
          <cell r="Z98">
            <v>1</v>
          </cell>
          <cell r="AA98">
            <v>1</v>
          </cell>
          <cell r="AB98">
            <v>2</v>
          </cell>
        </row>
        <row r="99">
          <cell r="A99" t="str">
            <v>HE320M</v>
          </cell>
          <cell r="B99">
            <v>320</v>
          </cell>
          <cell r="C99">
            <v>245</v>
          </cell>
          <cell r="D99">
            <v>359</v>
          </cell>
          <cell r="E99">
            <v>309</v>
          </cell>
          <cell r="F99">
            <v>21</v>
          </cell>
          <cell r="G99">
            <v>40</v>
          </cell>
          <cell r="H99">
            <v>31200</v>
          </cell>
          <cell r="I99">
            <v>681300000</v>
          </cell>
          <cell r="J99">
            <v>3796000</v>
          </cell>
          <cell r="K99">
            <v>4435000</v>
          </cell>
          <cell r="L99">
            <v>147.80000000000001</v>
          </cell>
          <cell r="M99">
            <v>9485</v>
          </cell>
          <cell r="N99">
            <v>197100000</v>
          </cell>
          <cell r="O99">
            <v>1276000</v>
          </cell>
          <cell r="P99">
            <v>1951000</v>
          </cell>
          <cell r="Q99">
            <v>79.5</v>
          </cell>
          <cell r="R99">
            <v>132.6</v>
          </cell>
          <cell r="S99">
            <v>15010000</v>
          </cell>
          <cell r="T99">
            <v>5003864651115</v>
          </cell>
          <cell r="W99">
            <v>1</v>
          </cell>
          <cell r="X99">
            <v>1</v>
          </cell>
          <cell r="Y99">
            <v>1</v>
          </cell>
          <cell r="Z99">
            <v>1</v>
          </cell>
          <cell r="AA99">
            <v>1</v>
          </cell>
          <cell r="AB99">
            <v>1</v>
          </cell>
        </row>
        <row r="100">
          <cell r="A100" t="str">
            <v>HE340AA</v>
          </cell>
          <cell r="B100">
            <v>340</v>
          </cell>
          <cell r="C100">
            <v>78.900000000000006</v>
          </cell>
          <cell r="D100">
            <v>320</v>
          </cell>
          <cell r="E100">
            <v>300</v>
          </cell>
          <cell r="F100">
            <v>8.5</v>
          </cell>
          <cell r="G100">
            <v>11.5</v>
          </cell>
          <cell r="H100">
            <v>10050</v>
          </cell>
          <cell r="I100">
            <v>195500000</v>
          </cell>
          <cell r="J100">
            <v>1222000</v>
          </cell>
          <cell r="K100">
            <v>1341000</v>
          </cell>
          <cell r="L100">
            <v>139.5</v>
          </cell>
          <cell r="M100">
            <v>3869</v>
          </cell>
          <cell r="N100">
            <v>51850000</v>
          </cell>
          <cell r="O100">
            <v>345600</v>
          </cell>
          <cell r="P100">
            <v>529300</v>
          </cell>
          <cell r="Q100">
            <v>71.8</v>
          </cell>
          <cell r="R100">
            <v>63.1</v>
          </cell>
          <cell r="S100">
            <v>630700</v>
          </cell>
          <cell r="T100">
            <v>1231290984375</v>
          </cell>
          <cell r="W100">
            <v>3</v>
          </cell>
          <cell r="X100">
            <v>4</v>
          </cell>
          <cell r="Y100">
            <v>4</v>
          </cell>
          <cell r="Z100">
            <v>3</v>
          </cell>
          <cell r="AA100">
            <v>4</v>
          </cell>
          <cell r="AB100">
            <v>4</v>
          </cell>
        </row>
        <row r="101">
          <cell r="A101" t="str">
            <v>HE340A</v>
          </cell>
          <cell r="B101">
            <v>340</v>
          </cell>
          <cell r="C101">
            <v>105</v>
          </cell>
          <cell r="D101">
            <v>330</v>
          </cell>
          <cell r="E101">
            <v>300</v>
          </cell>
          <cell r="F101">
            <v>9.5</v>
          </cell>
          <cell r="G101">
            <v>16.5</v>
          </cell>
          <cell r="H101">
            <v>13350</v>
          </cell>
          <cell r="I101">
            <v>276900000</v>
          </cell>
          <cell r="J101">
            <v>1678000</v>
          </cell>
          <cell r="K101">
            <v>1850000</v>
          </cell>
          <cell r="L101">
            <v>144</v>
          </cell>
          <cell r="M101">
            <v>4495</v>
          </cell>
          <cell r="N101">
            <v>74360000</v>
          </cell>
          <cell r="O101">
            <v>495700</v>
          </cell>
          <cell r="P101">
            <v>755900</v>
          </cell>
          <cell r="Q101">
            <v>74.599999999999994</v>
          </cell>
          <cell r="R101">
            <v>74.099999999999994</v>
          </cell>
          <cell r="S101">
            <v>1272000</v>
          </cell>
          <cell r="T101">
            <v>1824364265625</v>
          </cell>
          <cell r="W101">
            <v>1</v>
          </cell>
          <cell r="X101">
            <v>3</v>
          </cell>
          <cell r="Y101">
            <v>3</v>
          </cell>
          <cell r="Z101">
            <v>1</v>
          </cell>
          <cell r="AA101">
            <v>3</v>
          </cell>
          <cell r="AB101">
            <v>3</v>
          </cell>
        </row>
        <row r="102">
          <cell r="A102" t="str">
            <v>HE340B</v>
          </cell>
          <cell r="B102">
            <v>340</v>
          </cell>
          <cell r="C102">
            <v>134</v>
          </cell>
          <cell r="D102">
            <v>340</v>
          </cell>
          <cell r="E102">
            <v>300</v>
          </cell>
          <cell r="F102">
            <v>12</v>
          </cell>
          <cell r="G102">
            <v>21.5</v>
          </cell>
          <cell r="H102">
            <v>17090</v>
          </cell>
          <cell r="I102">
            <v>366600000</v>
          </cell>
          <cell r="J102">
            <v>2156000</v>
          </cell>
          <cell r="K102">
            <v>2408000</v>
          </cell>
          <cell r="L102">
            <v>146.5</v>
          </cell>
          <cell r="M102">
            <v>5609</v>
          </cell>
          <cell r="N102">
            <v>96900000</v>
          </cell>
          <cell r="O102">
            <v>646000</v>
          </cell>
          <cell r="P102">
            <v>985700</v>
          </cell>
          <cell r="Q102">
            <v>75.3</v>
          </cell>
          <cell r="R102">
            <v>86.6</v>
          </cell>
          <cell r="S102">
            <v>2572000</v>
          </cell>
          <cell r="T102">
            <v>2453634421875</v>
          </cell>
          <cell r="W102">
            <v>1</v>
          </cell>
          <cell r="X102">
            <v>1</v>
          </cell>
          <cell r="Y102">
            <v>1</v>
          </cell>
          <cell r="Z102">
            <v>1</v>
          </cell>
          <cell r="AA102">
            <v>1</v>
          </cell>
          <cell r="AB102">
            <v>1</v>
          </cell>
        </row>
        <row r="103">
          <cell r="A103" t="str">
            <v>HE340M</v>
          </cell>
          <cell r="B103">
            <v>340</v>
          </cell>
          <cell r="C103">
            <v>248</v>
          </cell>
          <cell r="D103">
            <v>377</v>
          </cell>
          <cell r="E103">
            <v>309</v>
          </cell>
          <cell r="F103">
            <v>21</v>
          </cell>
          <cell r="G103">
            <v>40</v>
          </cell>
          <cell r="H103">
            <v>31580</v>
          </cell>
          <cell r="I103">
            <v>763700000</v>
          </cell>
          <cell r="J103">
            <v>4052000</v>
          </cell>
          <cell r="K103">
            <v>4718000</v>
          </cell>
          <cell r="L103">
            <v>155.5</v>
          </cell>
          <cell r="M103">
            <v>9863</v>
          </cell>
          <cell r="N103">
            <v>197100000</v>
          </cell>
          <cell r="O103">
            <v>1276000</v>
          </cell>
          <cell r="P103">
            <v>1953000</v>
          </cell>
          <cell r="Q103">
            <v>79</v>
          </cell>
          <cell r="R103">
            <v>132.6</v>
          </cell>
          <cell r="S103">
            <v>15060000</v>
          </cell>
          <cell r="T103">
            <v>5584496069835</v>
          </cell>
          <cell r="W103">
            <v>1</v>
          </cell>
          <cell r="X103">
            <v>1</v>
          </cell>
          <cell r="Y103">
            <v>1</v>
          </cell>
          <cell r="Z103">
            <v>1</v>
          </cell>
          <cell r="AA103">
            <v>1</v>
          </cell>
          <cell r="AB103">
            <v>1</v>
          </cell>
        </row>
        <row r="104">
          <cell r="A104" t="str">
            <v>HE360AA</v>
          </cell>
          <cell r="B104">
            <v>360</v>
          </cell>
          <cell r="C104">
            <v>83.7</v>
          </cell>
          <cell r="D104">
            <v>339</v>
          </cell>
          <cell r="E104">
            <v>300</v>
          </cell>
          <cell r="F104">
            <v>9</v>
          </cell>
          <cell r="G104">
            <v>12</v>
          </cell>
          <cell r="H104">
            <v>10660</v>
          </cell>
          <cell r="I104">
            <v>230400000</v>
          </cell>
          <cell r="J104">
            <v>1359000</v>
          </cell>
          <cell r="K104">
            <v>1495000</v>
          </cell>
          <cell r="L104">
            <v>147</v>
          </cell>
          <cell r="M104">
            <v>4217</v>
          </cell>
          <cell r="N104">
            <v>54100000</v>
          </cell>
          <cell r="O104">
            <v>360700</v>
          </cell>
          <cell r="P104">
            <v>553000</v>
          </cell>
          <cell r="Q104">
            <v>71.2</v>
          </cell>
          <cell r="R104">
            <v>64.599999999999994</v>
          </cell>
          <cell r="S104">
            <v>709900</v>
          </cell>
          <cell r="T104">
            <v>1443541500000</v>
          </cell>
          <cell r="W104">
            <v>3</v>
          </cell>
          <cell r="X104">
            <v>4</v>
          </cell>
          <cell r="Y104">
            <v>4</v>
          </cell>
          <cell r="Z104">
            <v>3</v>
          </cell>
          <cell r="AA104">
            <v>4</v>
          </cell>
          <cell r="AB104">
            <v>4</v>
          </cell>
        </row>
        <row r="105">
          <cell r="A105" t="str">
            <v>HE360A</v>
          </cell>
          <cell r="B105">
            <v>360</v>
          </cell>
          <cell r="C105">
            <v>112</v>
          </cell>
          <cell r="D105">
            <v>350</v>
          </cell>
          <cell r="E105">
            <v>300</v>
          </cell>
          <cell r="F105">
            <v>10</v>
          </cell>
          <cell r="G105">
            <v>17.5</v>
          </cell>
          <cell r="H105">
            <v>14280</v>
          </cell>
          <cell r="I105">
            <v>330900000</v>
          </cell>
          <cell r="J105">
            <v>1891000</v>
          </cell>
          <cell r="K105">
            <v>2088000</v>
          </cell>
          <cell r="L105">
            <v>152.19999999999999</v>
          </cell>
          <cell r="M105">
            <v>4896</v>
          </cell>
          <cell r="N105">
            <v>78870000</v>
          </cell>
          <cell r="O105">
            <v>525800</v>
          </cell>
          <cell r="P105">
            <v>802300</v>
          </cell>
          <cell r="Q105">
            <v>74.3</v>
          </cell>
          <cell r="R105">
            <v>76.599999999999994</v>
          </cell>
          <cell r="S105">
            <v>1488000</v>
          </cell>
          <cell r="T105">
            <v>2176576171875</v>
          </cell>
          <cell r="W105">
            <v>1</v>
          </cell>
          <cell r="X105">
            <v>2</v>
          </cell>
          <cell r="Y105">
            <v>3</v>
          </cell>
          <cell r="Z105">
            <v>1</v>
          </cell>
          <cell r="AA105">
            <v>2</v>
          </cell>
          <cell r="AB105">
            <v>3</v>
          </cell>
        </row>
        <row r="106">
          <cell r="A106" t="str">
            <v>HE360B</v>
          </cell>
          <cell r="B106">
            <v>360</v>
          </cell>
          <cell r="C106">
            <v>142</v>
          </cell>
          <cell r="D106">
            <v>360</v>
          </cell>
          <cell r="E106">
            <v>300</v>
          </cell>
          <cell r="F106">
            <v>12.5</v>
          </cell>
          <cell r="G106">
            <v>22.5</v>
          </cell>
          <cell r="H106">
            <v>18060</v>
          </cell>
          <cell r="I106">
            <v>431900000</v>
          </cell>
          <cell r="J106">
            <v>2400000</v>
          </cell>
          <cell r="K106">
            <v>2683000</v>
          </cell>
          <cell r="L106">
            <v>154.6</v>
          </cell>
          <cell r="M106">
            <v>6060</v>
          </cell>
          <cell r="N106">
            <v>101400000</v>
          </cell>
          <cell r="O106">
            <v>676100</v>
          </cell>
          <cell r="P106">
            <v>1032000</v>
          </cell>
          <cell r="Q106">
            <v>74.900000000000006</v>
          </cell>
          <cell r="R106">
            <v>89.1</v>
          </cell>
          <cell r="S106">
            <v>2925000</v>
          </cell>
          <cell r="T106">
            <v>2883251953125</v>
          </cell>
          <cell r="W106">
            <v>1</v>
          </cell>
          <cell r="X106">
            <v>1</v>
          </cell>
          <cell r="Y106">
            <v>1</v>
          </cell>
          <cell r="Z106">
            <v>1</v>
          </cell>
          <cell r="AA106">
            <v>1</v>
          </cell>
          <cell r="AB106">
            <v>1</v>
          </cell>
        </row>
        <row r="107">
          <cell r="A107" t="str">
            <v>HE360M</v>
          </cell>
          <cell r="B107">
            <v>360</v>
          </cell>
          <cell r="C107">
            <v>250</v>
          </cell>
          <cell r="D107">
            <v>395</v>
          </cell>
          <cell r="E107">
            <v>308</v>
          </cell>
          <cell r="F107">
            <v>21</v>
          </cell>
          <cell r="G107">
            <v>40</v>
          </cell>
          <cell r="H107">
            <v>31880</v>
          </cell>
          <cell r="I107">
            <v>848700000</v>
          </cell>
          <cell r="J107">
            <v>4297000</v>
          </cell>
          <cell r="K107">
            <v>4989000</v>
          </cell>
          <cell r="L107">
            <v>163.19999999999999</v>
          </cell>
          <cell r="M107">
            <v>10240</v>
          </cell>
          <cell r="N107">
            <v>195200000</v>
          </cell>
          <cell r="O107">
            <v>1268000</v>
          </cell>
          <cell r="P107">
            <v>1942000</v>
          </cell>
          <cell r="Q107">
            <v>78.3</v>
          </cell>
          <cell r="R107">
            <v>132.6</v>
          </cell>
          <cell r="S107">
            <v>15070000</v>
          </cell>
          <cell r="T107">
            <v>6137020941333.333</v>
          </cell>
          <cell r="W107">
            <v>1</v>
          </cell>
          <cell r="X107">
            <v>1</v>
          </cell>
          <cell r="Y107">
            <v>1</v>
          </cell>
          <cell r="Z107">
            <v>1</v>
          </cell>
          <cell r="AA107">
            <v>1</v>
          </cell>
          <cell r="AB107">
            <v>1</v>
          </cell>
        </row>
        <row r="108">
          <cell r="A108" t="str">
            <v>HE400AA</v>
          </cell>
          <cell r="B108">
            <v>400</v>
          </cell>
          <cell r="C108">
            <v>92.4</v>
          </cell>
          <cell r="D108">
            <v>378</v>
          </cell>
          <cell r="E108">
            <v>300</v>
          </cell>
          <cell r="F108">
            <v>9.5</v>
          </cell>
          <cell r="G108">
            <v>13</v>
          </cell>
          <cell r="H108">
            <v>11770</v>
          </cell>
          <cell r="I108">
            <v>312500000</v>
          </cell>
          <cell r="J108">
            <v>1654000</v>
          </cell>
          <cell r="K108">
            <v>1824000</v>
          </cell>
          <cell r="L108">
            <v>163</v>
          </cell>
          <cell r="M108">
            <v>4795</v>
          </cell>
          <cell r="N108">
            <v>58610000</v>
          </cell>
          <cell r="O108">
            <v>390800</v>
          </cell>
          <cell r="P108">
            <v>599700</v>
          </cell>
          <cell r="Q108">
            <v>70.599999999999994</v>
          </cell>
          <cell r="R108">
            <v>67.099999999999994</v>
          </cell>
          <cell r="S108">
            <v>846900</v>
          </cell>
          <cell r="T108">
            <v>1948415625000</v>
          </cell>
          <cell r="W108">
            <v>3</v>
          </cell>
          <cell r="X108">
            <v>3</v>
          </cell>
          <cell r="Y108">
            <v>4</v>
          </cell>
          <cell r="Z108">
            <v>3</v>
          </cell>
          <cell r="AA108">
            <v>3</v>
          </cell>
          <cell r="AB108">
            <v>4</v>
          </cell>
        </row>
        <row r="109">
          <cell r="A109" t="str">
            <v>HE400A</v>
          </cell>
          <cell r="B109">
            <v>400</v>
          </cell>
          <cell r="C109">
            <v>125</v>
          </cell>
          <cell r="D109">
            <v>390</v>
          </cell>
          <cell r="E109">
            <v>300</v>
          </cell>
          <cell r="F109">
            <v>11</v>
          </cell>
          <cell r="G109">
            <v>19</v>
          </cell>
          <cell r="H109">
            <v>15900</v>
          </cell>
          <cell r="I109">
            <v>450700000</v>
          </cell>
          <cell r="J109">
            <v>2311000</v>
          </cell>
          <cell r="K109">
            <v>2562000</v>
          </cell>
          <cell r="L109">
            <v>168.4</v>
          </cell>
          <cell r="M109">
            <v>5733</v>
          </cell>
          <cell r="N109">
            <v>85640000</v>
          </cell>
          <cell r="O109">
            <v>570900</v>
          </cell>
          <cell r="P109">
            <v>872900</v>
          </cell>
          <cell r="Q109">
            <v>73.400000000000006</v>
          </cell>
          <cell r="R109">
            <v>80.599999999999994</v>
          </cell>
          <cell r="S109">
            <v>1890000</v>
          </cell>
          <cell r="T109">
            <v>2942076375000</v>
          </cell>
          <cell r="W109">
            <v>1</v>
          </cell>
          <cell r="X109">
            <v>1</v>
          </cell>
          <cell r="Y109">
            <v>3</v>
          </cell>
          <cell r="Z109">
            <v>1</v>
          </cell>
          <cell r="AA109">
            <v>2</v>
          </cell>
          <cell r="AB109">
            <v>3</v>
          </cell>
        </row>
        <row r="110">
          <cell r="A110" t="str">
            <v>HE400B</v>
          </cell>
          <cell r="B110">
            <v>400</v>
          </cell>
          <cell r="C110">
            <v>155</v>
          </cell>
          <cell r="D110">
            <v>400</v>
          </cell>
          <cell r="E110">
            <v>300</v>
          </cell>
          <cell r="F110">
            <v>13.5</v>
          </cell>
          <cell r="G110">
            <v>24</v>
          </cell>
          <cell r="H110">
            <v>19780</v>
          </cell>
          <cell r="I110">
            <v>576800000</v>
          </cell>
          <cell r="J110">
            <v>2884000</v>
          </cell>
          <cell r="K110">
            <v>3232000</v>
          </cell>
          <cell r="L110">
            <v>170.8</v>
          </cell>
          <cell r="M110">
            <v>6998</v>
          </cell>
          <cell r="N110">
            <v>108200000</v>
          </cell>
          <cell r="O110">
            <v>721300</v>
          </cell>
          <cell r="P110">
            <v>1104000</v>
          </cell>
          <cell r="Q110">
            <v>74</v>
          </cell>
          <cell r="R110">
            <v>93.1</v>
          </cell>
          <cell r="S110">
            <v>3557000</v>
          </cell>
          <cell r="T110">
            <v>3817152000000</v>
          </cell>
          <cell r="W110">
            <v>1</v>
          </cell>
          <cell r="X110">
            <v>1</v>
          </cell>
          <cell r="Y110">
            <v>1</v>
          </cell>
          <cell r="Z110">
            <v>1</v>
          </cell>
          <cell r="AA110">
            <v>1</v>
          </cell>
          <cell r="AB110">
            <v>1</v>
          </cell>
        </row>
        <row r="111">
          <cell r="A111" t="str">
            <v>HE400M</v>
          </cell>
          <cell r="B111">
            <v>400</v>
          </cell>
          <cell r="C111">
            <v>256</v>
          </cell>
          <cell r="D111">
            <v>432</v>
          </cell>
          <cell r="E111">
            <v>307</v>
          </cell>
          <cell r="F111">
            <v>21</v>
          </cell>
          <cell r="G111">
            <v>40</v>
          </cell>
          <cell r="H111">
            <v>32580</v>
          </cell>
          <cell r="I111">
            <v>1041000000</v>
          </cell>
          <cell r="J111">
            <v>4820000</v>
          </cell>
          <cell r="K111">
            <v>5571000</v>
          </cell>
          <cell r="L111">
            <v>178.8</v>
          </cell>
          <cell r="M111">
            <v>11020</v>
          </cell>
          <cell r="N111">
            <v>193400000</v>
          </cell>
          <cell r="O111">
            <v>1260000</v>
          </cell>
          <cell r="P111">
            <v>1934000</v>
          </cell>
          <cell r="Q111">
            <v>77</v>
          </cell>
          <cell r="R111">
            <v>132.6</v>
          </cell>
          <cell r="S111">
            <v>15150000</v>
          </cell>
          <cell r="T111">
            <v>7410303748586.667</v>
          </cell>
          <cell r="W111">
            <v>1</v>
          </cell>
          <cell r="X111">
            <v>1</v>
          </cell>
          <cell r="Y111">
            <v>1</v>
          </cell>
          <cell r="Z111">
            <v>1</v>
          </cell>
          <cell r="AA111">
            <v>1</v>
          </cell>
          <cell r="AB111">
            <v>1</v>
          </cell>
        </row>
        <row r="112">
          <cell r="A112" t="str">
            <v>HE450AA</v>
          </cell>
          <cell r="B112">
            <v>450</v>
          </cell>
          <cell r="C112">
            <v>99.7</v>
          </cell>
          <cell r="D112">
            <v>425</v>
          </cell>
          <cell r="E112">
            <v>300</v>
          </cell>
          <cell r="F112">
            <v>10</v>
          </cell>
          <cell r="G112">
            <v>13.5</v>
          </cell>
          <cell r="H112">
            <v>12710</v>
          </cell>
          <cell r="I112">
            <v>418900000</v>
          </cell>
          <cell r="J112">
            <v>1971000</v>
          </cell>
          <cell r="K112">
            <v>2183000</v>
          </cell>
          <cell r="L112">
            <v>181.6</v>
          </cell>
          <cell r="M112">
            <v>5470</v>
          </cell>
          <cell r="N112">
            <v>60880000</v>
          </cell>
          <cell r="O112">
            <v>405800</v>
          </cell>
          <cell r="P112">
            <v>624400</v>
          </cell>
          <cell r="Q112">
            <v>69.2</v>
          </cell>
          <cell r="R112">
            <v>68.599999999999994</v>
          </cell>
          <cell r="S112">
            <v>956100</v>
          </cell>
          <cell r="T112">
            <v>2571733546875</v>
          </cell>
          <cell r="W112">
            <v>3</v>
          </cell>
          <cell r="X112">
            <v>3</v>
          </cell>
          <cell r="Y112">
            <v>4</v>
          </cell>
          <cell r="Z112">
            <v>3</v>
          </cell>
          <cell r="AA112">
            <v>4</v>
          </cell>
          <cell r="AB112">
            <v>4</v>
          </cell>
        </row>
        <row r="113">
          <cell r="A113" t="str">
            <v>HE450A</v>
          </cell>
          <cell r="B113">
            <v>450</v>
          </cell>
          <cell r="C113">
            <v>140</v>
          </cell>
          <cell r="D113">
            <v>440</v>
          </cell>
          <cell r="E113">
            <v>300</v>
          </cell>
          <cell r="F113">
            <v>11.5</v>
          </cell>
          <cell r="G113">
            <v>21</v>
          </cell>
          <cell r="H113">
            <v>17800</v>
          </cell>
          <cell r="I113">
            <v>637200000</v>
          </cell>
          <cell r="J113">
            <v>2896000</v>
          </cell>
          <cell r="K113">
            <v>3216000</v>
          </cell>
          <cell r="L113">
            <v>189.2</v>
          </cell>
          <cell r="M113">
            <v>6578</v>
          </cell>
          <cell r="N113">
            <v>94650000</v>
          </cell>
          <cell r="O113">
            <v>631000</v>
          </cell>
          <cell r="P113">
            <v>965500</v>
          </cell>
          <cell r="Q113">
            <v>72.900000000000006</v>
          </cell>
          <cell r="R113">
            <v>85.1</v>
          </cell>
          <cell r="S113">
            <v>2438000</v>
          </cell>
          <cell r="T113">
            <v>4147628625000</v>
          </cell>
          <cell r="W113">
            <v>1</v>
          </cell>
          <cell r="X113">
            <v>1</v>
          </cell>
          <cell r="Y113">
            <v>1</v>
          </cell>
          <cell r="Z113">
            <v>1</v>
          </cell>
          <cell r="AA113">
            <v>2</v>
          </cell>
          <cell r="AB113">
            <v>3</v>
          </cell>
        </row>
        <row r="114">
          <cell r="A114" t="str">
            <v>HE450B</v>
          </cell>
          <cell r="B114">
            <v>450</v>
          </cell>
          <cell r="C114">
            <v>171</v>
          </cell>
          <cell r="D114">
            <v>450</v>
          </cell>
          <cell r="E114">
            <v>300</v>
          </cell>
          <cell r="F114">
            <v>14</v>
          </cell>
          <cell r="G114">
            <v>26</v>
          </cell>
          <cell r="H114">
            <v>21800</v>
          </cell>
          <cell r="I114">
            <v>798900000</v>
          </cell>
          <cell r="J114">
            <v>3551000</v>
          </cell>
          <cell r="K114">
            <v>3982000</v>
          </cell>
          <cell r="L114">
            <v>191.4</v>
          </cell>
          <cell r="M114">
            <v>7966</v>
          </cell>
          <cell r="N114">
            <v>117200000</v>
          </cell>
          <cell r="O114">
            <v>781400</v>
          </cell>
          <cell r="P114">
            <v>1198000</v>
          </cell>
          <cell r="Q114">
            <v>73.3</v>
          </cell>
          <cell r="R114">
            <v>97.6</v>
          </cell>
          <cell r="S114">
            <v>4405000</v>
          </cell>
          <cell r="T114">
            <v>5258448000000</v>
          </cell>
          <cell r="W114">
            <v>1</v>
          </cell>
          <cell r="X114">
            <v>1</v>
          </cell>
          <cell r="Y114">
            <v>1</v>
          </cell>
          <cell r="Z114">
            <v>1</v>
          </cell>
          <cell r="AA114">
            <v>1</v>
          </cell>
          <cell r="AB114">
            <v>2</v>
          </cell>
        </row>
        <row r="115">
          <cell r="A115" t="str">
            <v>HE450M</v>
          </cell>
          <cell r="B115">
            <v>450</v>
          </cell>
          <cell r="C115">
            <v>263</v>
          </cell>
          <cell r="D115">
            <v>478</v>
          </cell>
          <cell r="E115">
            <v>307</v>
          </cell>
          <cell r="F115">
            <v>21</v>
          </cell>
          <cell r="G115">
            <v>40</v>
          </cell>
          <cell r="H115">
            <v>33540</v>
          </cell>
          <cell r="I115">
            <v>1315000000</v>
          </cell>
          <cell r="J115">
            <v>5501000</v>
          </cell>
          <cell r="K115">
            <v>6331000</v>
          </cell>
          <cell r="L115">
            <v>198</v>
          </cell>
          <cell r="M115">
            <v>11980</v>
          </cell>
          <cell r="N115">
            <v>193400000</v>
          </cell>
          <cell r="O115">
            <v>1260000</v>
          </cell>
          <cell r="P115">
            <v>1939000</v>
          </cell>
          <cell r="Q115">
            <v>75.900000000000006</v>
          </cell>
          <cell r="R115">
            <v>132.6</v>
          </cell>
          <cell r="S115">
            <v>15290000</v>
          </cell>
          <cell r="T115">
            <v>9251498804820</v>
          </cell>
          <cell r="W115">
            <v>1</v>
          </cell>
          <cell r="X115">
            <v>1</v>
          </cell>
          <cell r="Y115">
            <v>1</v>
          </cell>
          <cell r="Z115">
            <v>1</v>
          </cell>
          <cell r="AA115">
            <v>1</v>
          </cell>
          <cell r="AB115">
            <v>1</v>
          </cell>
        </row>
        <row r="116">
          <cell r="A116" t="str">
            <v>HE500AA</v>
          </cell>
          <cell r="B116">
            <v>500</v>
          </cell>
          <cell r="C116">
            <v>107</v>
          </cell>
          <cell r="D116">
            <v>472</v>
          </cell>
          <cell r="E116">
            <v>300</v>
          </cell>
          <cell r="F116">
            <v>10.5</v>
          </cell>
          <cell r="G116">
            <v>14</v>
          </cell>
          <cell r="H116">
            <v>13690</v>
          </cell>
          <cell r="I116">
            <v>546400000</v>
          </cell>
          <cell r="J116">
            <v>2315000</v>
          </cell>
          <cell r="K116">
            <v>2576000</v>
          </cell>
          <cell r="L116">
            <v>199.8</v>
          </cell>
          <cell r="M116">
            <v>6191</v>
          </cell>
          <cell r="N116">
            <v>63140000</v>
          </cell>
          <cell r="O116">
            <v>420900</v>
          </cell>
          <cell r="P116">
            <v>649300</v>
          </cell>
          <cell r="Q116">
            <v>67.900000000000006</v>
          </cell>
          <cell r="R116">
            <v>70.099999999999994</v>
          </cell>
          <cell r="S116">
            <v>1077000</v>
          </cell>
          <cell r="T116">
            <v>3303783000000</v>
          </cell>
          <cell r="W116">
            <v>2</v>
          </cell>
          <cell r="X116">
            <v>3</v>
          </cell>
          <cell r="Y116">
            <v>3</v>
          </cell>
          <cell r="Z116">
            <v>2</v>
          </cell>
          <cell r="AA116">
            <v>4</v>
          </cell>
          <cell r="AB116">
            <v>4</v>
          </cell>
        </row>
        <row r="117">
          <cell r="A117" t="str">
            <v>HE500A</v>
          </cell>
          <cell r="B117">
            <v>500</v>
          </cell>
          <cell r="C117">
            <v>155</v>
          </cell>
          <cell r="D117">
            <v>490</v>
          </cell>
          <cell r="E117">
            <v>300</v>
          </cell>
          <cell r="F117">
            <v>12</v>
          </cell>
          <cell r="G117">
            <v>23</v>
          </cell>
          <cell r="H117">
            <v>19750</v>
          </cell>
          <cell r="I117">
            <v>869700000</v>
          </cell>
          <cell r="J117">
            <v>3550000</v>
          </cell>
          <cell r="K117">
            <v>3949000</v>
          </cell>
          <cell r="L117">
            <v>209.8</v>
          </cell>
          <cell r="M117">
            <v>7472</v>
          </cell>
          <cell r="N117">
            <v>103700000</v>
          </cell>
          <cell r="O117">
            <v>691100</v>
          </cell>
          <cell r="P117">
            <v>1059000</v>
          </cell>
          <cell r="Q117">
            <v>72.400000000000006</v>
          </cell>
          <cell r="R117">
            <v>89.6</v>
          </cell>
          <cell r="S117">
            <v>3093000</v>
          </cell>
          <cell r="T117">
            <v>5643052875000</v>
          </cell>
          <cell r="W117">
            <v>1</v>
          </cell>
          <cell r="X117">
            <v>1</v>
          </cell>
          <cell r="Y117">
            <v>1</v>
          </cell>
          <cell r="Z117">
            <v>1</v>
          </cell>
          <cell r="AA117">
            <v>3</v>
          </cell>
          <cell r="AB117">
            <v>4</v>
          </cell>
        </row>
        <row r="118">
          <cell r="A118" t="str">
            <v>HE500B</v>
          </cell>
          <cell r="B118">
            <v>500</v>
          </cell>
          <cell r="C118">
            <v>187</v>
          </cell>
          <cell r="D118">
            <v>500</v>
          </cell>
          <cell r="E118">
            <v>300</v>
          </cell>
          <cell r="F118">
            <v>14.5</v>
          </cell>
          <cell r="G118">
            <v>28</v>
          </cell>
          <cell r="H118">
            <v>23860</v>
          </cell>
          <cell r="I118">
            <v>1072000000</v>
          </cell>
          <cell r="J118">
            <v>4287000</v>
          </cell>
          <cell r="K118">
            <v>4815000</v>
          </cell>
          <cell r="L118">
            <v>211.9</v>
          </cell>
          <cell r="M118">
            <v>8982</v>
          </cell>
          <cell r="N118">
            <v>126200000</v>
          </cell>
          <cell r="O118">
            <v>841600</v>
          </cell>
          <cell r="P118">
            <v>1292000</v>
          </cell>
          <cell r="Q118">
            <v>72.7</v>
          </cell>
          <cell r="R118">
            <v>102.1</v>
          </cell>
          <cell r="S118">
            <v>5384000</v>
          </cell>
          <cell r="T118">
            <v>7017696000000</v>
          </cell>
          <cell r="W118">
            <v>1</v>
          </cell>
          <cell r="X118">
            <v>1</v>
          </cell>
          <cell r="Y118">
            <v>1</v>
          </cell>
          <cell r="Z118">
            <v>1</v>
          </cell>
          <cell r="AA118">
            <v>2</v>
          </cell>
          <cell r="AB118">
            <v>2</v>
          </cell>
        </row>
        <row r="119">
          <cell r="A119" t="str">
            <v>HE500M</v>
          </cell>
          <cell r="B119">
            <v>500</v>
          </cell>
          <cell r="C119">
            <v>270</v>
          </cell>
          <cell r="D119">
            <v>524</v>
          </cell>
          <cell r="E119">
            <v>306</v>
          </cell>
          <cell r="F119">
            <v>21</v>
          </cell>
          <cell r="G119">
            <v>40</v>
          </cell>
          <cell r="H119">
            <v>34430</v>
          </cell>
          <cell r="I119">
            <v>1619000000</v>
          </cell>
          <cell r="J119">
            <v>6180000</v>
          </cell>
          <cell r="K119">
            <v>7094000</v>
          </cell>
          <cell r="L119">
            <v>216.9</v>
          </cell>
          <cell r="M119">
            <v>12950</v>
          </cell>
          <cell r="N119">
            <v>191500000</v>
          </cell>
          <cell r="O119">
            <v>1252000</v>
          </cell>
          <cell r="P119">
            <v>1932000</v>
          </cell>
          <cell r="Q119">
            <v>74.599999999999994</v>
          </cell>
          <cell r="R119">
            <v>132.6</v>
          </cell>
          <cell r="S119">
            <v>15390000</v>
          </cell>
          <cell r="T119">
            <v>11186745356160</v>
          </cell>
          <cell r="W119">
            <v>1</v>
          </cell>
          <cell r="X119">
            <v>1</v>
          </cell>
          <cell r="Y119">
            <v>1</v>
          </cell>
          <cell r="Z119">
            <v>1</v>
          </cell>
          <cell r="AA119">
            <v>1</v>
          </cell>
          <cell r="AB119">
            <v>1</v>
          </cell>
        </row>
        <row r="120">
          <cell r="A120" t="str">
            <v>HE550AA</v>
          </cell>
          <cell r="B120">
            <v>550</v>
          </cell>
          <cell r="C120">
            <v>120</v>
          </cell>
          <cell r="D120">
            <v>522</v>
          </cell>
          <cell r="E120">
            <v>300</v>
          </cell>
          <cell r="F120">
            <v>11.5</v>
          </cell>
          <cell r="G120">
            <v>15</v>
          </cell>
          <cell r="H120">
            <v>15280</v>
          </cell>
          <cell r="I120">
            <v>728700000</v>
          </cell>
          <cell r="J120">
            <v>2792000</v>
          </cell>
          <cell r="K120">
            <v>3128000</v>
          </cell>
          <cell r="L120">
            <v>218.4</v>
          </cell>
          <cell r="M120">
            <v>7266</v>
          </cell>
          <cell r="N120">
            <v>67670000</v>
          </cell>
          <cell r="O120">
            <v>451100</v>
          </cell>
          <cell r="P120">
            <v>698600</v>
          </cell>
          <cell r="Q120">
            <v>66.5</v>
          </cell>
          <cell r="R120">
            <v>73.099999999999994</v>
          </cell>
          <cell r="S120">
            <v>1337000</v>
          </cell>
          <cell r="T120">
            <v>4337701875000</v>
          </cell>
          <cell r="W120">
            <v>1</v>
          </cell>
          <cell r="X120">
            <v>3</v>
          </cell>
          <cell r="Y120">
            <v>3</v>
          </cell>
          <cell r="Z120">
            <v>3</v>
          </cell>
          <cell r="AA120">
            <v>4</v>
          </cell>
          <cell r="AB120">
            <v>4</v>
          </cell>
        </row>
        <row r="121">
          <cell r="A121" t="str">
            <v>HE550A</v>
          </cell>
          <cell r="B121">
            <v>550</v>
          </cell>
          <cell r="C121">
            <v>166</v>
          </cell>
          <cell r="D121">
            <v>540</v>
          </cell>
          <cell r="E121">
            <v>300</v>
          </cell>
          <cell r="F121">
            <v>12.5</v>
          </cell>
          <cell r="G121">
            <v>24</v>
          </cell>
          <cell r="H121">
            <v>21180</v>
          </cell>
          <cell r="I121">
            <v>1119000000</v>
          </cell>
          <cell r="J121">
            <v>4146000</v>
          </cell>
          <cell r="K121">
            <v>4622000</v>
          </cell>
          <cell r="L121">
            <v>229.9</v>
          </cell>
          <cell r="M121">
            <v>8372</v>
          </cell>
          <cell r="N121">
            <v>108200000</v>
          </cell>
          <cell r="O121">
            <v>721300</v>
          </cell>
          <cell r="P121">
            <v>1107000</v>
          </cell>
          <cell r="Q121">
            <v>71.5</v>
          </cell>
          <cell r="R121">
            <v>92.1</v>
          </cell>
          <cell r="S121">
            <v>3515000</v>
          </cell>
          <cell r="T121">
            <v>7188912000000</v>
          </cell>
          <cell r="W121">
            <v>1</v>
          </cell>
          <cell r="X121">
            <v>1</v>
          </cell>
          <cell r="Y121">
            <v>1</v>
          </cell>
          <cell r="Z121">
            <v>2</v>
          </cell>
          <cell r="AA121">
            <v>4</v>
          </cell>
          <cell r="AB121">
            <v>4</v>
          </cell>
        </row>
        <row r="122">
          <cell r="A122" t="str">
            <v>HE550B</v>
          </cell>
          <cell r="B122">
            <v>550</v>
          </cell>
          <cell r="C122">
            <v>199</v>
          </cell>
          <cell r="D122">
            <v>550</v>
          </cell>
          <cell r="E122">
            <v>300</v>
          </cell>
          <cell r="F122">
            <v>15</v>
          </cell>
          <cell r="G122">
            <v>29</v>
          </cell>
          <cell r="H122">
            <v>25410</v>
          </cell>
          <cell r="I122">
            <v>1367000000</v>
          </cell>
          <cell r="J122">
            <v>4971000</v>
          </cell>
          <cell r="K122">
            <v>5591000</v>
          </cell>
          <cell r="L122">
            <v>232</v>
          </cell>
          <cell r="M122">
            <v>10010</v>
          </cell>
          <cell r="N122">
            <v>130800000</v>
          </cell>
          <cell r="O122">
            <v>871800</v>
          </cell>
          <cell r="P122">
            <v>1341000</v>
          </cell>
          <cell r="Q122">
            <v>71.7</v>
          </cell>
          <cell r="R122">
            <v>104.6</v>
          </cell>
          <cell r="S122">
            <v>6003000</v>
          </cell>
          <cell r="T122">
            <v>8855762625000</v>
          </cell>
          <cell r="W122">
            <v>1</v>
          </cell>
          <cell r="X122">
            <v>1</v>
          </cell>
          <cell r="Y122">
            <v>1</v>
          </cell>
          <cell r="Z122">
            <v>1</v>
          </cell>
          <cell r="AA122">
            <v>2</v>
          </cell>
          <cell r="AB122">
            <v>3</v>
          </cell>
        </row>
        <row r="123">
          <cell r="A123" t="str">
            <v>HE550M</v>
          </cell>
          <cell r="B123">
            <v>550</v>
          </cell>
          <cell r="C123">
            <v>278</v>
          </cell>
          <cell r="D123">
            <v>572</v>
          </cell>
          <cell r="E123">
            <v>306</v>
          </cell>
          <cell r="F123">
            <v>21</v>
          </cell>
          <cell r="G123">
            <v>40</v>
          </cell>
          <cell r="H123">
            <v>35440</v>
          </cell>
          <cell r="I123">
            <v>1980000000</v>
          </cell>
          <cell r="J123">
            <v>6923000</v>
          </cell>
          <cell r="K123">
            <v>7933000</v>
          </cell>
          <cell r="L123">
            <v>236.4</v>
          </cell>
          <cell r="M123">
            <v>13960</v>
          </cell>
          <cell r="N123">
            <v>191600000</v>
          </cell>
          <cell r="O123">
            <v>1252000</v>
          </cell>
          <cell r="P123">
            <v>1937000</v>
          </cell>
          <cell r="Q123">
            <v>73.5</v>
          </cell>
          <cell r="R123">
            <v>132.6</v>
          </cell>
          <cell r="S123">
            <v>15540000</v>
          </cell>
          <cell r="T123">
            <v>13515629984640</v>
          </cell>
          <cell r="W123">
            <v>1</v>
          </cell>
          <cell r="X123">
            <v>1</v>
          </cell>
          <cell r="Y123">
            <v>1</v>
          </cell>
          <cell r="Z123">
            <v>1</v>
          </cell>
          <cell r="AA123">
            <v>1</v>
          </cell>
          <cell r="AB123">
            <v>1</v>
          </cell>
        </row>
        <row r="124">
          <cell r="A124" t="str">
            <v>HE600AA</v>
          </cell>
          <cell r="B124">
            <v>600</v>
          </cell>
          <cell r="C124">
            <v>129</v>
          </cell>
          <cell r="D124">
            <v>571</v>
          </cell>
          <cell r="E124">
            <v>300</v>
          </cell>
          <cell r="F124">
            <v>12</v>
          </cell>
          <cell r="G124">
            <v>15.5</v>
          </cell>
          <cell r="H124">
            <v>16410</v>
          </cell>
          <cell r="I124">
            <v>918700000</v>
          </cell>
          <cell r="J124">
            <v>3218000</v>
          </cell>
          <cell r="K124">
            <v>3623000</v>
          </cell>
          <cell r="L124">
            <v>236.6</v>
          </cell>
          <cell r="M124">
            <v>8129</v>
          </cell>
          <cell r="N124">
            <v>69930000</v>
          </cell>
          <cell r="O124">
            <v>466200</v>
          </cell>
          <cell r="P124">
            <v>724500</v>
          </cell>
          <cell r="Q124">
            <v>65.3</v>
          </cell>
          <cell r="R124">
            <v>74.599999999999994</v>
          </cell>
          <cell r="S124">
            <v>1498000</v>
          </cell>
          <cell r="T124">
            <v>5380868109375</v>
          </cell>
          <cell r="W124">
            <v>1</v>
          </cell>
          <cell r="X124">
            <v>3</v>
          </cell>
          <cell r="Y124">
            <v>3</v>
          </cell>
          <cell r="Z124">
            <v>3</v>
          </cell>
          <cell r="AA124">
            <v>4</v>
          </cell>
          <cell r="AB124">
            <v>4</v>
          </cell>
        </row>
        <row r="125">
          <cell r="A125" t="str">
            <v>HE600A</v>
          </cell>
          <cell r="B125">
            <v>600</v>
          </cell>
          <cell r="C125">
            <v>178</v>
          </cell>
          <cell r="D125">
            <v>590</v>
          </cell>
          <cell r="E125">
            <v>300</v>
          </cell>
          <cell r="F125">
            <v>13</v>
          </cell>
          <cell r="G125">
            <v>25</v>
          </cell>
          <cell r="H125">
            <v>22650</v>
          </cell>
          <cell r="I125">
            <v>1412000000</v>
          </cell>
          <cell r="J125">
            <v>4787000</v>
          </cell>
          <cell r="K125">
            <v>5350000</v>
          </cell>
          <cell r="L125">
            <v>249.7</v>
          </cell>
          <cell r="M125">
            <v>9321</v>
          </cell>
          <cell r="N125">
            <v>112700000</v>
          </cell>
          <cell r="O125">
            <v>751400</v>
          </cell>
          <cell r="P125">
            <v>1156000</v>
          </cell>
          <cell r="Q125">
            <v>70.5</v>
          </cell>
          <cell r="R125">
            <v>94.6</v>
          </cell>
          <cell r="S125">
            <v>3978000</v>
          </cell>
          <cell r="T125">
            <v>8978203125000</v>
          </cell>
          <cell r="W125">
            <v>1</v>
          </cell>
          <cell r="X125">
            <v>1</v>
          </cell>
          <cell r="Y125">
            <v>1</v>
          </cell>
          <cell r="Z125">
            <v>2</v>
          </cell>
          <cell r="AA125">
            <v>4</v>
          </cell>
          <cell r="AB125">
            <v>4</v>
          </cell>
        </row>
        <row r="126">
          <cell r="A126" t="str">
            <v>HE600B</v>
          </cell>
          <cell r="B126">
            <v>600</v>
          </cell>
          <cell r="C126">
            <v>212</v>
          </cell>
          <cell r="D126">
            <v>600</v>
          </cell>
          <cell r="E126">
            <v>300</v>
          </cell>
          <cell r="F126">
            <v>15.5</v>
          </cell>
          <cell r="G126">
            <v>30</v>
          </cell>
          <cell r="H126">
            <v>27000</v>
          </cell>
          <cell r="I126">
            <v>1710000000</v>
          </cell>
          <cell r="J126">
            <v>5701000</v>
          </cell>
          <cell r="K126">
            <v>6425000</v>
          </cell>
          <cell r="L126">
            <v>251.7</v>
          </cell>
          <cell r="M126">
            <v>11080</v>
          </cell>
          <cell r="N126">
            <v>135300000</v>
          </cell>
          <cell r="O126">
            <v>902000</v>
          </cell>
          <cell r="P126">
            <v>1391000</v>
          </cell>
          <cell r="Q126">
            <v>70.8</v>
          </cell>
          <cell r="R126">
            <v>107.1</v>
          </cell>
          <cell r="S126">
            <v>6672000</v>
          </cell>
          <cell r="T126">
            <v>10965375000000</v>
          </cell>
          <cell r="W126">
            <v>1</v>
          </cell>
          <cell r="X126">
            <v>1</v>
          </cell>
          <cell r="Y126">
            <v>1</v>
          </cell>
          <cell r="Z126">
            <v>1</v>
          </cell>
          <cell r="AA126">
            <v>3</v>
          </cell>
          <cell r="AB126">
            <v>4</v>
          </cell>
        </row>
        <row r="127">
          <cell r="A127" t="str">
            <v>HE600M</v>
          </cell>
          <cell r="B127">
            <v>600</v>
          </cell>
          <cell r="C127">
            <v>285</v>
          </cell>
          <cell r="D127">
            <v>620</v>
          </cell>
          <cell r="E127">
            <v>305</v>
          </cell>
          <cell r="F127">
            <v>21</v>
          </cell>
          <cell r="G127">
            <v>40</v>
          </cell>
          <cell r="H127">
            <v>36370</v>
          </cell>
          <cell r="I127">
            <v>2374000000</v>
          </cell>
          <cell r="J127">
            <v>7660000</v>
          </cell>
          <cell r="K127">
            <v>8772000</v>
          </cell>
          <cell r="L127">
            <v>255.5</v>
          </cell>
          <cell r="M127">
            <v>14970</v>
          </cell>
          <cell r="N127">
            <v>189800000</v>
          </cell>
          <cell r="O127">
            <v>1244000</v>
          </cell>
          <cell r="P127">
            <v>1930000</v>
          </cell>
          <cell r="Q127">
            <v>72.2</v>
          </cell>
          <cell r="R127">
            <v>132.6</v>
          </cell>
          <cell r="S127">
            <v>15640000</v>
          </cell>
          <cell r="T127">
            <v>15907585083333.334</v>
          </cell>
          <cell r="W127">
            <v>1</v>
          </cell>
          <cell r="X127">
            <v>1</v>
          </cell>
          <cell r="Y127">
            <v>1</v>
          </cell>
          <cell r="Z127">
            <v>1</v>
          </cell>
          <cell r="AA127">
            <v>1</v>
          </cell>
          <cell r="AB127">
            <v>1</v>
          </cell>
        </row>
        <row r="128">
          <cell r="A128" t="str">
            <v>HE650A</v>
          </cell>
          <cell r="B128">
            <v>650</v>
          </cell>
          <cell r="C128">
            <v>190</v>
          </cell>
          <cell r="D128">
            <v>640</v>
          </cell>
          <cell r="E128">
            <v>300</v>
          </cell>
          <cell r="F128">
            <v>13.5</v>
          </cell>
          <cell r="G128">
            <v>26</v>
          </cell>
          <cell r="H128">
            <v>24160</v>
          </cell>
          <cell r="I128">
            <v>1752000000</v>
          </cell>
          <cell r="J128">
            <v>5474000</v>
          </cell>
          <cell r="K128">
            <v>6136000</v>
          </cell>
          <cell r="L128">
            <v>269.3</v>
          </cell>
          <cell r="M128">
            <v>10320</v>
          </cell>
          <cell r="N128">
            <v>117200000</v>
          </cell>
          <cell r="O128">
            <v>781600</v>
          </cell>
          <cell r="P128">
            <v>1205000</v>
          </cell>
          <cell r="Q128">
            <v>69.7</v>
          </cell>
          <cell r="R128">
            <v>97.1</v>
          </cell>
          <cell r="S128">
            <v>4483000</v>
          </cell>
          <cell r="T128">
            <v>11027133000000</v>
          </cell>
          <cell r="W128">
            <v>1</v>
          </cell>
          <cell r="X128">
            <v>1</v>
          </cell>
          <cell r="Y128">
            <v>1</v>
          </cell>
          <cell r="Z128">
            <v>3</v>
          </cell>
          <cell r="AA128">
            <v>4</v>
          </cell>
          <cell r="AB128">
            <v>4</v>
          </cell>
        </row>
        <row r="129">
          <cell r="A129" t="str">
            <v>HE650B</v>
          </cell>
          <cell r="B129">
            <v>650</v>
          </cell>
          <cell r="C129">
            <v>225</v>
          </cell>
          <cell r="D129">
            <v>650</v>
          </cell>
          <cell r="E129">
            <v>300</v>
          </cell>
          <cell r="F129">
            <v>16</v>
          </cell>
          <cell r="G129">
            <v>31</v>
          </cell>
          <cell r="H129">
            <v>28630</v>
          </cell>
          <cell r="I129">
            <v>2106000000</v>
          </cell>
          <cell r="J129">
            <v>6480000</v>
          </cell>
          <cell r="K129">
            <v>7320000</v>
          </cell>
          <cell r="L129">
            <v>271.2</v>
          </cell>
          <cell r="M129">
            <v>12200</v>
          </cell>
          <cell r="N129">
            <v>139800000</v>
          </cell>
          <cell r="O129">
            <v>932300</v>
          </cell>
          <cell r="P129">
            <v>1441000</v>
          </cell>
          <cell r="Q129">
            <v>69.900000000000006</v>
          </cell>
          <cell r="R129">
            <v>109.6</v>
          </cell>
          <cell r="S129">
            <v>7392000</v>
          </cell>
          <cell r="T129">
            <v>13362739875000</v>
          </cell>
          <cell r="W129">
            <v>1</v>
          </cell>
          <cell r="X129">
            <v>1</v>
          </cell>
          <cell r="Y129">
            <v>1</v>
          </cell>
          <cell r="Z129">
            <v>2</v>
          </cell>
          <cell r="AA129">
            <v>3</v>
          </cell>
          <cell r="AB129">
            <v>4</v>
          </cell>
        </row>
        <row r="130">
          <cell r="A130" t="str">
            <v>HE650M</v>
          </cell>
          <cell r="B130">
            <v>650</v>
          </cell>
          <cell r="C130">
            <v>293</v>
          </cell>
          <cell r="D130">
            <v>668</v>
          </cell>
          <cell r="E130">
            <v>305</v>
          </cell>
          <cell r="F130">
            <v>21</v>
          </cell>
          <cell r="G130">
            <v>40</v>
          </cell>
          <cell r="H130">
            <v>37370</v>
          </cell>
          <cell r="I130">
            <v>2817000000</v>
          </cell>
          <cell r="J130">
            <v>8433000</v>
          </cell>
          <cell r="K130">
            <v>9657000</v>
          </cell>
          <cell r="L130">
            <v>274.5</v>
          </cell>
          <cell r="M130">
            <v>15970</v>
          </cell>
          <cell r="N130">
            <v>189800000</v>
          </cell>
          <cell r="O130">
            <v>1245000</v>
          </cell>
          <cell r="P130">
            <v>1936000</v>
          </cell>
          <cell r="Q130">
            <v>71.3</v>
          </cell>
          <cell r="R130">
            <v>132.6</v>
          </cell>
          <cell r="S130">
            <v>15790000</v>
          </cell>
          <cell r="T130">
            <v>18649515563333.332</v>
          </cell>
          <cell r="W130">
            <v>1</v>
          </cell>
          <cell r="X130">
            <v>1</v>
          </cell>
          <cell r="Y130">
            <v>1</v>
          </cell>
          <cell r="Z130">
            <v>1</v>
          </cell>
          <cell r="AA130">
            <v>1</v>
          </cell>
          <cell r="AB130">
            <v>2</v>
          </cell>
        </row>
        <row r="131">
          <cell r="A131" t="str">
            <v>HE700A</v>
          </cell>
          <cell r="B131">
            <v>700</v>
          </cell>
          <cell r="C131">
            <v>204</v>
          </cell>
          <cell r="D131">
            <v>690</v>
          </cell>
          <cell r="E131">
            <v>300</v>
          </cell>
          <cell r="F131">
            <v>14.5</v>
          </cell>
          <cell r="G131">
            <v>27</v>
          </cell>
          <cell r="H131">
            <v>26050</v>
          </cell>
          <cell r="I131">
            <v>2153000000</v>
          </cell>
          <cell r="J131">
            <v>6241000</v>
          </cell>
          <cell r="K131">
            <v>7032000</v>
          </cell>
          <cell r="L131">
            <v>287.5</v>
          </cell>
          <cell r="M131">
            <v>11700</v>
          </cell>
          <cell r="N131">
            <v>121800000</v>
          </cell>
          <cell r="O131">
            <v>811900</v>
          </cell>
          <cell r="P131">
            <v>1257000</v>
          </cell>
          <cell r="Q131">
            <v>68.400000000000006</v>
          </cell>
          <cell r="R131">
            <v>100.1</v>
          </cell>
          <cell r="S131">
            <v>5139000</v>
          </cell>
          <cell r="T131">
            <v>13351908375000</v>
          </cell>
          <cell r="W131">
            <v>1</v>
          </cell>
          <cell r="X131">
            <v>1</v>
          </cell>
          <cell r="Y131">
            <v>1</v>
          </cell>
          <cell r="Z131">
            <v>3</v>
          </cell>
          <cell r="AA131">
            <v>4</v>
          </cell>
          <cell r="AB131">
            <v>4</v>
          </cell>
        </row>
        <row r="132">
          <cell r="A132" t="str">
            <v>HE700B</v>
          </cell>
          <cell r="B132">
            <v>700</v>
          </cell>
          <cell r="C132">
            <v>241</v>
          </cell>
          <cell r="D132">
            <v>700</v>
          </cell>
          <cell r="E132">
            <v>300</v>
          </cell>
          <cell r="F132">
            <v>17</v>
          </cell>
          <cell r="G132">
            <v>32</v>
          </cell>
          <cell r="H132">
            <v>30640</v>
          </cell>
          <cell r="I132">
            <v>2569000000</v>
          </cell>
          <cell r="J132">
            <v>7340000</v>
          </cell>
          <cell r="K132">
            <v>8327000</v>
          </cell>
          <cell r="L132">
            <v>289.60000000000002</v>
          </cell>
          <cell r="M132">
            <v>13710</v>
          </cell>
          <cell r="N132">
            <v>144400000</v>
          </cell>
          <cell r="O132">
            <v>962700</v>
          </cell>
          <cell r="P132">
            <v>1495000</v>
          </cell>
          <cell r="Q132">
            <v>68.7</v>
          </cell>
          <cell r="R132">
            <v>112.6</v>
          </cell>
          <cell r="S132">
            <v>8309000</v>
          </cell>
          <cell r="T132">
            <v>16064064000000</v>
          </cell>
          <cell r="W132">
            <v>1</v>
          </cell>
          <cell r="X132">
            <v>1</v>
          </cell>
          <cell r="Y132">
            <v>1</v>
          </cell>
          <cell r="Z132">
            <v>2</v>
          </cell>
          <cell r="AA132">
            <v>4</v>
          </cell>
          <cell r="AB132">
            <v>4</v>
          </cell>
        </row>
        <row r="133">
          <cell r="A133" t="str">
            <v>HE700M</v>
          </cell>
          <cell r="B133">
            <v>700</v>
          </cell>
          <cell r="C133">
            <v>301</v>
          </cell>
          <cell r="D133">
            <v>716</v>
          </cell>
          <cell r="E133">
            <v>304</v>
          </cell>
          <cell r="F133">
            <v>21</v>
          </cell>
          <cell r="G133">
            <v>40</v>
          </cell>
          <cell r="H133">
            <v>38300</v>
          </cell>
          <cell r="I133">
            <v>3293000000</v>
          </cell>
          <cell r="J133">
            <v>9198000</v>
          </cell>
          <cell r="K133">
            <v>10540000</v>
          </cell>
          <cell r="L133">
            <v>293.2</v>
          </cell>
          <cell r="M133">
            <v>16980</v>
          </cell>
          <cell r="N133">
            <v>188000000</v>
          </cell>
          <cell r="O133">
            <v>1237000</v>
          </cell>
          <cell r="P133">
            <v>1929000</v>
          </cell>
          <cell r="Q133">
            <v>70.099999999999994</v>
          </cell>
          <cell r="R133">
            <v>132.6</v>
          </cell>
          <cell r="S133">
            <v>15890000</v>
          </cell>
          <cell r="T133">
            <v>21397492968106.668</v>
          </cell>
          <cell r="W133">
            <v>1</v>
          </cell>
          <cell r="X133">
            <v>1</v>
          </cell>
          <cell r="Y133">
            <v>1</v>
          </cell>
          <cell r="Z133">
            <v>1</v>
          </cell>
          <cell r="AA133">
            <v>2</v>
          </cell>
          <cell r="AB133">
            <v>3</v>
          </cell>
        </row>
        <row r="134">
          <cell r="A134" t="str">
            <v>HE800A</v>
          </cell>
          <cell r="B134">
            <v>800</v>
          </cell>
          <cell r="C134">
            <v>224</v>
          </cell>
          <cell r="D134">
            <v>790</v>
          </cell>
          <cell r="E134">
            <v>300</v>
          </cell>
          <cell r="F134">
            <v>15</v>
          </cell>
          <cell r="G134">
            <v>28</v>
          </cell>
          <cell r="H134">
            <v>28550</v>
          </cell>
          <cell r="I134">
            <v>3034000000</v>
          </cell>
          <cell r="J134">
            <v>7682000</v>
          </cell>
          <cell r="K134">
            <v>8699000</v>
          </cell>
          <cell r="L134">
            <v>325.8</v>
          </cell>
          <cell r="M134">
            <v>13880</v>
          </cell>
          <cell r="N134">
            <v>126400000</v>
          </cell>
          <cell r="O134">
            <v>842600</v>
          </cell>
          <cell r="P134">
            <v>1312000</v>
          </cell>
          <cell r="Q134">
            <v>66.5</v>
          </cell>
          <cell r="R134">
            <v>106.1</v>
          </cell>
          <cell r="S134">
            <v>5969000</v>
          </cell>
          <cell r="T134">
            <v>18290286000000</v>
          </cell>
          <cell r="W134">
            <v>1</v>
          </cell>
          <cell r="X134">
            <v>1</v>
          </cell>
          <cell r="Y134">
            <v>1</v>
          </cell>
          <cell r="Z134">
            <v>4</v>
          </cell>
          <cell r="AA134">
            <v>4</v>
          </cell>
          <cell r="AB134">
            <v>4</v>
          </cell>
        </row>
        <row r="135">
          <cell r="A135" t="str">
            <v>HE800B</v>
          </cell>
          <cell r="B135">
            <v>800</v>
          </cell>
          <cell r="C135">
            <v>262</v>
          </cell>
          <cell r="D135">
            <v>800</v>
          </cell>
          <cell r="E135">
            <v>300</v>
          </cell>
          <cell r="F135">
            <v>17.5</v>
          </cell>
          <cell r="G135">
            <v>33</v>
          </cell>
          <cell r="H135">
            <v>33420</v>
          </cell>
          <cell r="I135">
            <v>3591000000</v>
          </cell>
          <cell r="J135">
            <v>8977000</v>
          </cell>
          <cell r="K135">
            <v>10230000</v>
          </cell>
          <cell r="L135">
            <v>327.8</v>
          </cell>
          <cell r="M135">
            <v>16180</v>
          </cell>
          <cell r="N135">
            <v>149000000</v>
          </cell>
          <cell r="O135">
            <v>993600</v>
          </cell>
          <cell r="P135">
            <v>1553000</v>
          </cell>
          <cell r="Q135">
            <v>66.8</v>
          </cell>
          <cell r="R135">
            <v>118.6</v>
          </cell>
          <cell r="S135">
            <v>9460000</v>
          </cell>
          <cell r="T135">
            <v>21840229125000</v>
          </cell>
          <cell r="W135">
            <v>1</v>
          </cell>
          <cell r="X135">
            <v>1</v>
          </cell>
          <cell r="Y135">
            <v>1</v>
          </cell>
          <cell r="Z135">
            <v>3</v>
          </cell>
          <cell r="AA135">
            <v>4</v>
          </cell>
          <cell r="AB135">
            <v>4</v>
          </cell>
        </row>
        <row r="136">
          <cell r="A136" t="str">
            <v>HE800M</v>
          </cell>
          <cell r="B136">
            <v>800</v>
          </cell>
          <cell r="C136">
            <v>317</v>
          </cell>
          <cell r="D136">
            <v>814</v>
          </cell>
          <cell r="E136">
            <v>303</v>
          </cell>
          <cell r="F136">
            <v>21</v>
          </cell>
          <cell r="G136">
            <v>40</v>
          </cell>
          <cell r="H136">
            <v>40430</v>
          </cell>
          <cell r="I136">
            <v>4426000000</v>
          </cell>
          <cell r="J136">
            <v>10870000</v>
          </cell>
          <cell r="K136">
            <v>12490000</v>
          </cell>
          <cell r="L136">
            <v>330.9</v>
          </cell>
          <cell r="M136">
            <v>19430</v>
          </cell>
          <cell r="N136">
            <v>186300000</v>
          </cell>
          <cell r="O136">
            <v>1230000</v>
          </cell>
          <cell r="P136">
            <v>1930000</v>
          </cell>
          <cell r="Q136">
            <v>67.900000000000006</v>
          </cell>
          <cell r="R136">
            <v>136.1</v>
          </cell>
          <cell r="S136">
            <v>16460000</v>
          </cell>
          <cell r="T136">
            <v>27775287084420</v>
          </cell>
          <cell r="W136">
            <v>1</v>
          </cell>
          <cell r="X136">
            <v>1</v>
          </cell>
          <cell r="Y136">
            <v>1</v>
          </cell>
          <cell r="Z136">
            <v>1</v>
          </cell>
          <cell r="AA136">
            <v>3</v>
          </cell>
          <cell r="AB136">
            <v>4</v>
          </cell>
        </row>
        <row r="137">
          <cell r="A137" t="str">
            <v>HE900A</v>
          </cell>
          <cell r="B137">
            <v>900</v>
          </cell>
          <cell r="C137">
            <v>252</v>
          </cell>
          <cell r="D137">
            <v>890</v>
          </cell>
          <cell r="E137">
            <v>300</v>
          </cell>
          <cell r="F137">
            <v>16</v>
          </cell>
          <cell r="G137">
            <v>30</v>
          </cell>
          <cell r="H137">
            <v>32050</v>
          </cell>
          <cell r="I137">
            <v>4220750000</v>
          </cell>
          <cell r="J137">
            <v>9485000</v>
          </cell>
          <cell r="K137">
            <v>10811000</v>
          </cell>
          <cell r="L137">
            <v>363</v>
          </cell>
          <cell r="M137">
            <v>16330</v>
          </cell>
          <cell r="N137">
            <v>135470000</v>
          </cell>
          <cell r="O137">
            <v>903200</v>
          </cell>
          <cell r="P137">
            <v>1414000</v>
          </cell>
          <cell r="Q137">
            <v>65</v>
          </cell>
          <cell r="R137">
            <v>114</v>
          </cell>
          <cell r="S137">
            <v>7511000</v>
          </cell>
          <cell r="T137">
            <v>24961500000000</v>
          </cell>
          <cell r="W137">
            <v>1</v>
          </cell>
          <cell r="X137">
            <v>1</v>
          </cell>
          <cell r="Y137">
            <v>1</v>
          </cell>
          <cell r="Z137">
            <v>4</v>
          </cell>
          <cell r="AA137">
            <v>4</v>
          </cell>
          <cell r="AB137">
            <v>4</v>
          </cell>
        </row>
        <row r="138">
          <cell r="A138" t="str">
            <v>HE900B</v>
          </cell>
          <cell r="B138">
            <v>900</v>
          </cell>
          <cell r="C138">
            <v>291</v>
          </cell>
          <cell r="D138">
            <v>900</v>
          </cell>
          <cell r="E138">
            <v>300</v>
          </cell>
          <cell r="F138">
            <v>18.5</v>
          </cell>
          <cell r="G138">
            <v>35</v>
          </cell>
          <cell r="H138">
            <v>37130</v>
          </cell>
          <cell r="I138">
            <v>4941000000</v>
          </cell>
          <cell r="J138">
            <v>10980000</v>
          </cell>
          <cell r="K138">
            <v>12580000</v>
          </cell>
          <cell r="L138">
            <v>364.8</v>
          </cell>
          <cell r="M138">
            <v>18880</v>
          </cell>
          <cell r="N138">
            <v>158200000</v>
          </cell>
          <cell r="O138">
            <v>1054000</v>
          </cell>
          <cell r="P138">
            <v>1658000</v>
          </cell>
          <cell r="Q138">
            <v>65.3</v>
          </cell>
          <cell r="R138">
            <v>123.6</v>
          </cell>
          <cell r="S138">
            <v>11370000</v>
          </cell>
          <cell r="T138">
            <v>29461359375000</v>
          </cell>
          <cell r="W138">
            <v>1</v>
          </cell>
          <cell r="X138">
            <v>1</v>
          </cell>
          <cell r="Y138">
            <v>1</v>
          </cell>
          <cell r="Z138">
            <v>3</v>
          </cell>
          <cell r="AA138">
            <v>4</v>
          </cell>
          <cell r="AB138">
            <v>4</v>
          </cell>
        </row>
        <row r="139">
          <cell r="A139" t="str">
            <v>HE900M</v>
          </cell>
          <cell r="B139">
            <v>900</v>
          </cell>
          <cell r="C139">
            <v>333</v>
          </cell>
          <cell r="D139">
            <v>910</v>
          </cell>
          <cell r="E139">
            <v>302</v>
          </cell>
          <cell r="F139">
            <v>21</v>
          </cell>
          <cell r="G139">
            <v>40</v>
          </cell>
          <cell r="H139">
            <v>42360</v>
          </cell>
          <cell r="I139">
            <v>5704000000</v>
          </cell>
          <cell r="J139">
            <v>12540000</v>
          </cell>
          <cell r="K139">
            <v>14440000</v>
          </cell>
          <cell r="L139">
            <v>367</v>
          </cell>
          <cell r="M139">
            <v>21440</v>
          </cell>
          <cell r="N139">
            <v>184500000</v>
          </cell>
          <cell r="O139">
            <v>1222000</v>
          </cell>
          <cell r="P139">
            <v>1929000</v>
          </cell>
          <cell r="Q139">
            <v>63.5</v>
          </cell>
          <cell r="R139">
            <v>136.1</v>
          </cell>
          <cell r="S139">
            <v>16710000</v>
          </cell>
          <cell r="T139">
            <v>34746261492000</v>
          </cell>
          <cell r="W139">
            <v>1</v>
          </cell>
          <cell r="X139">
            <v>1</v>
          </cell>
          <cell r="Y139">
            <v>1</v>
          </cell>
          <cell r="Z139">
            <v>2</v>
          </cell>
          <cell r="AA139">
            <v>4</v>
          </cell>
          <cell r="AB139">
            <v>4</v>
          </cell>
        </row>
        <row r="140">
          <cell r="A140" t="str">
            <v>HE1000A</v>
          </cell>
          <cell r="B140">
            <v>1000</v>
          </cell>
          <cell r="C140">
            <v>272</v>
          </cell>
          <cell r="D140">
            <v>990</v>
          </cell>
          <cell r="E140">
            <v>300</v>
          </cell>
          <cell r="F140">
            <v>16.5</v>
          </cell>
          <cell r="G140">
            <v>31</v>
          </cell>
          <cell r="H140">
            <v>34680</v>
          </cell>
          <cell r="I140">
            <v>5538460000</v>
          </cell>
          <cell r="J140">
            <v>11189000</v>
          </cell>
          <cell r="K140">
            <v>12824000</v>
          </cell>
          <cell r="L140">
            <v>400</v>
          </cell>
          <cell r="M140">
            <v>18460</v>
          </cell>
          <cell r="N140">
            <v>140040000</v>
          </cell>
          <cell r="O140">
            <v>933600</v>
          </cell>
          <cell r="P140">
            <v>1470000</v>
          </cell>
          <cell r="Q140">
            <v>63.5</v>
          </cell>
          <cell r="R140">
            <v>114</v>
          </cell>
          <cell r="S140">
            <v>8374000</v>
          </cell>
          <cell r="T140">
            <v>32073874875000</v>
          </cell>
          <cell r="W140">
            <v>1</v>
          </cell>
          <cell r="X140">
            <v>1</v>
          </cell>
          <cell r="Y140">
            <v>1</v>
          </cell>
          <cell r="Z140">
            <v>4</v>
          </cell>
          <cell r="AA140">
            <v>4</v>
          </cell>
          <cell r="AB140">
            <v>4</v>
          </cell>
        </row>
        <row r="141">
          <cell r="A141" t="str">
            <v>HE1000B</v>
          </cell>
          <cell r="B141">
            <v>1000</v>
          </cell>
          <cell r="C141">
            <v>314</v>
          </cell>
          <cell r="D141">
            <v>1000</v>
          </cell>
          <cell r="E141">
            <v>300</v>
          </cell>
          <cell r="F141">
            <v>36</v>
          </cell>
          <cell r="G141">
            <v>36</v>
          </cell>
          <cell r="H141">
            <v>40000</v>
          </cell>
          <cell r="I141">
            <v>6447480000</v>
          </cell>
          <cell r="J141">
            <v>12895000</v>
          </cell>
          <cell r="K141">
            <v>14855000</v>
          </cell>
          <cell r="L141">
            <v>401</v>
          </cell>
          <cell r="M141">
            <v>21250</v>
          </cell>
          <cell r="N141">
            <v>162760000</v>
          </cell>
          <cell r="O141">
            <v>1085000</v>
          </cell>
          <cell r="P141">
            <v>1716000</v>
          </cell>
          <cell r="Q141">
            <v>63.8</v>
          </cell>
          <cell r="R141">
            <v>126</v>
          </cell>
          <cell r="S141">
            <v>12720000</v>
          </cell>
          <cell r="T141">
            <v>37636488000000</v>
          </cell>
          <cell r="W141">
            <v>1</v>
          </cell>
          <cell r="X141">
            <v>1</v>
          </cell>
          <cell r="Y141">
            <v>1</v>
          </cell>
          <cell r="Z141">
            <v>4</v>
          </cell>
          <cell r="AA141">
            <v>4</v>
          </cell>
          <cell r="AB141">
            <v>4</v>
          </cell>
        </row>
        <row r="142">
          <cell r="A142" t="str">
            <v>HE1000M</v>
          </cell>
          <cell r="B142">
            <v>1000</v>
          </cell>
          <cell r="C142">
            <v>349</v>
          </cell>
          <cell r="D142">
            <v>1008</v>
          </cell>
          <cell r="E142">
            <v>302</v>
          </cell>
          <cell r="F142">
            <v>21</v>
          </cell>
          <cell r="G142">
            <v>40</v>
          </cell>
          <cell r="H142">
            <v>44420</v>
          </cell>
          <cell r="I142">
            <v>7223000000</v>
          </cell>
          <cell r="J142">
            <v>14330000</v>
          </cell>
          <cell r="K142">
            <v>16570000</v>
          </cell>
          <cell r="L142">
            <v>403.2</v>
          </cell>
          <cell r="M142">
            <v>23500</v>
          </cell>
          <cell r="N142">
            <v>184600000</v>
          </cell>
          <cell r="O142">
            <v>1222000</v>
          </cell>
          <cell r="P142">
            <v>1940000</v>
          </cell>
          <cell r="Q142">
            <v>64.5</v>
          </cell>
          <cell r="R142">
            <v>136.1</v>
          </cell>
          <cell r="S142">
            <v>17010000</v>
          </cell>
          <cell r="T142">
            <v>43015036237653.336</v>
          </cell>
          <cell r="W142">
            <v>1</v>
          </cell>
          <cell r="X142">
            <v>1</v>
          </cell>
          <cell r="Y142">
            <v>1</v>
          </cell>
          <cell r="Z142">
            <v>3</v>
          </cell>
          <cell r="AA142">
            <v>4</v>
          </cell>
          <cell r="AB142">
            <v>4</v>
          </cell>
        </row>
        <row r="143">
          <cell r="A143" t="str">
            <v>HL1000M</v>
          </cell>
          <cell r="B143">
            <v>1000</v>
          </cell>
          <cell r="C143">
            <v>412</v>
          </cell>
          <cell r="D143">
            <v>1008</v>
          </cell>
          <cell r="E143">
            <v>402</v>
          </cell>
          <cell r="F143">
            <v>21</v>
          </cell>
          <cell r="G143">
            <v>40</v>
          </cell>
          <cell r="H143">
            <v>52420</v>
          </cell>
          <cell r="I143">
            <v>9098000000</v>
          </cell>
          <cell r="J143">
            <v>18050000</v>
          </cell>
          <cell r="K143">
            <v>20440000</v>
          </cell>
          <cell r="L143">
            <v>416.6</v>
          </cell>
          <cell r="M143">
            <v>23500</v>
          </cell>
          <cell r="N143">
            <v>434100000</v>
          </cell>
          <cell r="O143">
            <v>2160000</v>
          </cell>
          <cell r="P143">
            <v>3348000</v>
          </cell>
          <cell r="Q143">
            <v>91</v>
          </cell>
          <cell r="R143">
            <v>136.1</v>
          </cell>
          <cell r="S143">
            <v>21280000</v>
          </cell>
          <cell r="T143">
            <v>101455973752320</v>
          </cell>
          <cell r="W143">
            <v>1</v>
          </cell>
          <cell r="X143">
            <v>1</v>
          </cell>
          <cell r="Y143">
            <v>1</v>
          </cell>
          <cell r="Z143">
            <v>3</v>
          </cell>
          <cell r="AA143">
            <v>4</v>
          </cell>
          <cell r="AB143">
            <v>4</v>
          </cell>
        </row>
        <row r="144">
          <cell r="A144" t="str">
            <v>HL1100M</v>
          </cell>
          <cell r="B144">
            <v>1100</v>
          </cell>
          <cell r="C144">
            <v>499</v>
          </cell>
          <cell r="D144">
            <v>1118</v>
          </cell>
          <cell r="E144">
            <v>405</v>
          </cell>
          <cell r="F144">
            <v>26</v>
          </cell>
          <cell r="G144">
            <v>45</v>
          </cell>
          <cell r="H144">
            <v>63520</v>
          </cell>
          <cell r="I144">
            <v>12940000000</v>
          </cell>
          <cell r="J144">
            <v>23150000</v>
          </cell>
          <cell r="K144">
            <v>26600000</v>
          </cell>
          <cell r="L144">
            <v>451.4</v>
          </cell>
          <cell r="M144">
            <v>30040</v>
          </cell>
          <cell r="N144">
            <v>499800000</v>
          </cell>
          <cell r="O144">
            <v>2468000</v>
          </cell>
          <cell r="P144">
            <v>3870000</v>
          </cell>
          <cell r="Q144">
            <v>88.7</v>
          </cell>
          <cell r="R144">
            <v>139.4</v>
          </cell>
          <cell r="S144">
            <v>31350000</v>
          </cell>
          <cell r="T144">
            <v>143405492598984.38</v>
          </cell>
          <cell r="W144">
            <v>1</v>
          </cell>
          <cell r="X144">
            <v>1</v>
          </cell>
          <cell r="Y144">
            <v>1</v>
          </cell>
          <cell r="Z144">
            <v>2</v>
          </cell>
          <cell r="AA144">
            <v>4</v>
          </cell>
          <cell r="AB144">
            <v>4</v>
          </cell>
        </row>
        <row r="147">
          <cell r="A147" t="str">
            <v>IPN</v>
          </cell>
          <cell r="B147" t="str">
            <v>profiel</v>
          </cell>
          <cell r="C147" t="str">
            <v>g</v>
          </cell>
          <cell r="D147" t="str">
            <v>h</v>
          </cell>
          <cell r="E147" t="str">
            <v>b</v>
          </cell>
          <cell r="F147" t="str">
            <v>tw</v>
          </cell>
          <cell r="G147" t="str">
            <v>tf</v>
          </cell>
          <cell r="H147" t="str">
            <v>A</v>
          </cell>
          <cell r="I147" t="str">
            <v>Iy</v>
          </cell>
          <cell r="J147" t="str">
            <v>Wy</v>
          </cell>
          <cell r="K147" t="str">
            <v>Wply</v>
          </cell>
          <cell r="L147" t="str">
            <v>iy</v>
          </cell>
          <cell r="M147" t="str">
            <v>Avz</v>
          </cell>
          <cell r="N147" t="str">
            <v>Iz</v>
          </cell>
          <cell r="O147" t="str">
            <v>Wz</v>
          </cell>
          <cell r="P147" t="str">
            <v>Wplz</v>
          </cell>
          <cell r="Q147" t="str">
            <v>iz</v>
          </cell>
          <cell r="R147" t="str">
            <v>Ss</v>
          </cell>
          <cell r="S147" t="str">
            <v>It</v>
          </cell>
          <cell r="T147" t="str">
            <v>Iw</v>
          </cell>
          <cell r="W147">
            <v>235</v>
          </cell>
          <cell r="X147">
            <v>355</v>
          </cell>
          <cell r="Y147">
            <v>460</v>
          </cell>
          <cell r="Z147">
            <v>235</v>
          </cell>
          <cell r="AA147">
            <v>355</v>
          </cell>
          <cell r="AB147">
            <v>460</v>
          </cell>
        </row>
        <row r="148">
          <cell r="C148" t="str">
            <v>kg/m</v>
          </cell>
          <cell r="D148" t="str">
            <v>mm</v>
          </cell>
          <cell r="E148" t="str">
            <v>mm</v>
          </cell>
          <cell r="F148" t="str">
            <v>mm</v>
          </cell>
          <cell r="G148" t="str">
            <v>mm</v>
          </cell>
          <cell r="H148" t="str">
            <v>mm2</v>
          </cell>
          <cell r="I148" t="str">
            <v>mm4</v>
          </cell>
          <cell r="J148" t="str">
            <v>mm3</v>
          </cell>
          <cell r="K148" t="str">
            <v>mm3</v>
          </cell>
          <cell r="L148" t="str">
            <v>mm</v>
          </cell>
          <cell r="M148" t="str">
            <v>mm2</v>
          </cell>
          <cell r="N148" t="str">
            <v>mm4</v>
          </cell>
          <cell r="O148" t="str">
            <v>mm3</v>
          </cell>
          <cell r="P148" t="str">
            <v>mm3</v>
          </cell>
          <cell r="Q148" t="str">
            <v>mm</v>
          </cell>
          <cell r="R148" t="str">
            <v>mm</v>
          </cell>
          <cell r="S148" t="str">
            <v>mm4</v>
          </cell>
          <cell r="T148" t="str">
            <v>mm6</v>
          </cell>
        </row>
        <row r="149">
          <cell r="A149" t="str">
            <v>IPN80</v>
          </cell>
          <cell r="B149">
            <v>80</v>
          </cell>
          <cell r="C149">
            <v>5.94</v>
          </cell>
          <cell r="D149">
            <v>80</v>
          </cell>
          <cell r="E149">
            <v>42</v>
          </cell>
          <cell r="F149">
            <v>3.9</v>
          </cell>
          <cell r="G149">
            <v>5.9</v>
          </cell>
          <cell r="H149">
            <v>758</v>
          </cell>
          <cell r="I149">
            <v>778000</v>
          </cell>
          <cell r="J149">
            <v>19500</v>
          </cell>
          <cell r="K149">
            <v>22800</v>
          </cell>
          <cell r="L149">
            <v>13.2</v>
          </cell>
          <cell r="M149">
            <v>341</v>
          </cell>
          <cell r="N149">
            <v>62900</v>
          </cell>
          <cell r="O149">
            <v>3000</v>
          </cell>
          <cell r="P149">
            <v>5000</v>
          </cell>
          <cell r="Q149">
            <v>9.1</v>
          </cell>
          <cell r="R149">
            <v>21.6</v>
          </cell>
          <cell r="S149">
            <v>8700</v>
          </cell>
          <cell r="T149">
            <v>100005769.773</v>
          </cell>
          <cell r="W149">
            <v>1</v>
          </cell>
          <cell r="X149">
            <v>1</v>
          </cell>
          <cell r="Y149">
            <v>1</v>
          </cell>
          <cell r="Z149">
            <v>1</v>
          </cell>
          <cell r="AA149">
            <v>1</v>
          </cell>
          <cell r="AB149">
            <v>1</v>
          </cell>
        </row>
        <row r="150">
          <cell r="A150" t="str">
            <v>IPN100</v>
          </cell>
          <cell r="B150">
            <v>100</v>
          </cell>
          <cell r="C150">
            <v>8.34</v>
          </cell>
          <cell r="D150">
            <v>100</v>
          </cell>
          <cell r="E150">
            <v>50</v>
          </cell>
          <cell r="F150">
            <v>4.5</v>
          </cell>
          <cell r="G150">
            <v>6.8</v>
          </cell>
          <cell r="H150">
            <v>1060</v>
          </cell>
          <cell r="I150">
            <v>1710000</v>
          </cell>
          <cell r="J150">
            <v>34200</v>
          </cell>
          <cell r="K150">
            <v>39800</v>
          </cell>
          <cell r="L150">
            <v>14.01</v>
          </cell>
          <cell r="M150">
            <v>485</v>
          </cell>
          <cell r="N150">
            <v>122000</v>
          </cell>
          <cell r="O150">
            <v>4880</v>
          </cell>
          <cell r="P150">
            <v>8100</v>
          </cell>
          <cell r="Q150">
            <v>10.7</v>
          </cell>
          <cell r="R150">
            <v>25</v>
          </cell>
          <cell r="S150">
            <v>16000</v>
          </cell>
          <cell r="T150">
            <v>307637666.66666669</v>
          </cell>
          <cell r="W150">
            <v>1</v>
          </cell>
          <cell r="X150">
            <v>1</v>
          </cell>
          <cell r="Y150">
            <v>1</v>
          </cell>
          <cell r="Z150">
            <v>1</v>
          </cell>
          <cell r="AA150">
            <v>1</v>
          </cell>
          <cell r="AB150">
            <v>1</v>
          </cell>
        </row>
        <row r="151">
          <cell r="A151" t="str">
            <v>IPN120</v>
          </cell>
          <cell r="B151">
            <v>120</v>
          </cell>
          <cell r="C151">
            <v>11.1</v>
          </cell>
          <cell r="D151">
            <v>120</v>
          </cell>
          <cell r="E151">
            <v>58</v>
          </cell>
          <cell r="F151">
            <v>5.0999999999999996</v>
          </cell>
          <cell r="G151">
            <v>7.7</v>
          </cell>
          <cell r="H151">
            <v>1420</v>
          </cell>
          <cell r="I151">
            <v>3280000</v>
          </cell>
          <cell r="J151">
            <v>54700</v>
          </cell>
          <cell r="K151">
            <v>63600</v>
          </cell>
          <cell r="L151">
            <v>14.81</v>
          </cell>
          <cell r="M151">
            <v>663</v>
          </cell>
          <cell r="N151">
            <v>215000</v>
          </cell>
          <cell r="O151">
            <v>7410</v>
          </cell>
          <cell r="P151">
            <v>12400</v>
          </cell>
          <cell r="Q151">
            <v>12.3</v>
          </cell>
          <cell r="R151">
            <v>28.4</v>
          </cell>
          <cell r="S151">
            <v>27100</v>
          </cell>
          <cell r="T151">
            <v>789446996.31233346</v>
          </cell>
          <cell r="W151">
            <v>1</v>
          </cell>
          <cell r="X151">
            <v>1</v>
          </cell>
          <cell r="Y151">
            <v>1</v>
          </cell>
          <cell r="Z151">
            <v>1</v>
          </cell>
          <cell r="AA151">
            <v>1</v>
          </cell>
          <cell r="AB151">
            <v>1</v>
          </cell>
        </row>
        <row r="152">
          <cell r="A152" t="str">
            <v>IPN140</v>
          </cell>
          <cell r="B152">
            <v>140</v>
          </cell>
          <cell r="C152">
            <v>14.3</v>
          </cell>
          <cell r="D152">
            <v>140</v>
          </cell>
          <cell r="E152">
            <v>66</v>
          </cell>
          <cell r="F152">
            <v>5.7</v>
          </cell>
          <cell r="G152">
            <v>8.6</v>
          </cell>
          <cell r="H152">
            <v>1830</v>
          </cell>
          <cell r="I152">
            <v>5730000</v>
          </cell>
          <cell r="J152">
            <v>81900</v>
          </cell>
          <cell r="K152">
            <v>95400</v>
          </cell>
          <cell r="L152">
            <v>15.61</v>
          </cell>
          <cell r="M152">
            <v>865</v>
          </cell>
          <cell r="N152">
            <v>352000</v>
          </cell>
          <cell r="O152">
            <v>10700</v>
          </cell>
          <cell r="P152">
            <v>17900</v>
          </cell>
          <cell r="Q152">
            <v>14</v>
          </cell>
          <cell r="R152">
            <v>31.8</v>
          </cell>
          <cell r="S152">
            <v>43200</v>
          </cell>
          <cell r="T152">
            <v>1778728839.6240003</v>
          </cell>
          <cell r="W152">
            <v>1</v>
          </cell>
          <cell r="X152">
            <v>1</v>
          </cell>
          <cell r="Y152">
            <v>1</v>
          </cell>
          <cell r="Z152">
            <v>1</v>
          </cell>
          <cell r="AA152">
            <v>1</v>
          </cell>
          <cell r="AB152">
            <v>1</v>
          </cell>
        </row>
        <row r="153">
          <cell r="A153" t="str">
            <v>IPN160</v>
          </cell>
          <cell r="B153">
            <v>160</v>
          </cell>
          <cell r="C153">
            <v>17.899999999999999</v>
          </cell>
          <cell r="D153">
            <v>160</v>
          </cell>
          <cell r="E153">
            <v>74</v>
          </cell>
          <cell r="F153">
            <v>6.3</v>
          </cell>
          <cell r="G153">
            <v>9.5</v>
          </cell>
          <cell r="H153">
            <v>2280</v>
          </cell>
          <cell r="I153">
            <v>9350000</v>
          </cell>
          <cell r="J153">
            <v>117000</v>
          </cell>
          <cell r="K153">
            <v>136000</v>
          </cell>
          <cell r="L153">
            <v>16.399999999999999</v>
          </cell>
          <cell r="M153">
            <v>1083</v>
          </cell>
          <cell r="N153">
            <v>547000</v>
          </cell>
          <cell r="O153">
            <v>14800</v>
          </cell>
          <cell r="P153">
            <v>24900</v>
          </cell>
          <cell r="Q153">
            <v>15.5</v>
          </cell>
          <cell r="R153">
            <v>35.200000000000003</v>
          </cell>
          <cell r="S153">
            <v>65700</v>
          </cell>
          <cell r="T153">
            <v>3633126525.2916665</v>
          </cell>
          <cell r="W153">
            <v>1</v>
          </cell>
          <cell r="X153">
            <v>1</v>
          </cell>
          <cell r="Y153">
            <v>1</v>
          </cell>
          <cell r="Z153">
            <v>1</v>
          </cell>
          <cell r="AA153">
            <v>1</v>
          </cell>
          <cell r="AB153">
            <v>1</v>
          </cell>
        </row>
        <row r="154">
          <cell r="A154" t="str">
            <v>IPN180</v>
          </cell>
          <cell r="B154">
            <v>180</v>
          </cell>
          <cell r="C154">
            <v>21.9</v>
          </cell>
          <cell r="D154">
            <v>180</v>
          </cell>
          <cell r="E154">
            <v>82</v>
          </cell>
          <cell r="F154">
            <v>6.9</v>
          </cell>
          <cell r="G154">
            <v>10.4</v>
          </cell>
          <cell r="H154">
            <v>2790</v>
          </cell>
          <cell r="I154">
            <v>14500000</v>
          </cell>
          <cell r="J154">
            <v>161000</v>
          </cell>
          <cell r="K154">
            <v>187000</v>
          </cell>
          <cell r="L154">
            <v>17.2</v>
          </cell>
          <cell r="M154">
            <v>1335</v>
          </cell>
          <cell r="N154">
            <v>813000</v>
          </cell>
          <cell r="O154">
            <v>19800</v>
          </cell>
          <cell r="P154">
            <v>33200</v>
          </cell>
          <cell r="Q154">
            <v>17.100000000000001</v>
          </cell>
          <cell r="R154">
            <v>38.6</v>
          </cell>
          <cell r="S154">
            <v>95800</v>
          </cell>
          <cell r="T154">
            <v>6872509527.3813334</v>
          </cell>
          <cell r="W154">
            <v>1</v>
          </cell>
          <cell r="X154">
            <v>1</v>
          </cell>
          <cell r="Y154">
            <v>1</v>
          </cell>
          <cell r="Z154">
            <v>1</v>
          </cell>
          <cell r="AA154">
            <v>1</v>
          </cell>
          <cell r="AB154">
            <v>1</v>
          </cell>
        </row>
        <row r="155">
          <cell r="A155" t="str">
            <v>IPN200</v>
          </cell>
          <cell r="B155">
            <v>200</v>
          </cell>
          <cell r="C155">
            <v>26.2</v>
          </cell>
          <cell r="D155">
            <v>200</v>
          </cell>
          <cell r="E155">
            <v>90</v>
          </cell>
          <cell r="F155">
            <v>7.5</v>
          </cell>
          <cell r="G155">
            <v>11.3</v>
          </cell>
          <cell r="H155">
            <v>3340</v>
          </cell>
          <cell r="I155">
            <v>21400000</v>
          </cell>
          <cell r="J155">
            <v>214000</v>
          </cell>
          <cell r="K155">
            <v>250000</v>
          </cell>
          <cell r="L155">
            <v>18</v>
          </cell>
          <cell r="M155">
            <v>1603</v>
          </cell>
          <cell r="N155">
            <v>1170000</v>
          </cell>
          <cell r="O155">
            <v>26000</v>
          </cell>
          <cell r="P155">
            <v>43500</v>
          </cell>
          <cell r="Q155">
            <v>18.7</v>
          </cell>
          <cell r="R155">
            <v>42</v>
          </cell>
          <cell r="S155">
            <v>135000</v>
          </cell>
          <cell r="T155">
            <v>12221894496.375</v>
          </cell>
          <cell r="W155">
            <v>1</v>
          </cell>
          <cell r="X155">
            <v>1</v>
          </cell>
          <cell r="Y155">
            <v>1</v>
          </cell>
          <cell r="Z155">
            <v>1</v>
          </cell>
          <cell r="AA155">
            <v>1</v>
          </cell>
          <cell r="AB155">
            <v>1</v>
          </cell>
        </row>
        <row r="156">
          <cell r="A156" t="str">
            <v>IPN220</v>
          </cell>
          <cell r="B156">
            <v>220</v>
          </cell>
          <cell r="C156">
            <v>31.1</v>
          </cell>
          <cell r="D156">
            <v>220</v>
          </cell>
          <cell r="E156">
            <v>98</v>
          </cell>
          <cell r="F156">
            <v>8.1</v>
          </cell>
          <cell r="G156">
            <v>12.2</v>
          </cell>
          <cell r="H156">
            <v>3950</v>
          </cell>
          <cell r="I156">
            <v>30600000</v>
          </cell>
          <cell r="J156">
            <v>278000</v>
          </cell>
          <cell r="K156">
            <v>324000</v>
          </cell>
          <cell r="L156">
            <v>18.8</v>
          </cell>
          <cell r="M156">
            <v>1906</v>
          </cell>
          <cell r="N156">
            <v>1620000</v>
          </cell>
          <cell r="O156">
            <v>33100</v>
          </cell>
          <cell r="P156">
            <v>55700</v>
          </cell>
          <cell r="Q156">
            <v>20.2</v>
          </cell>
          <cell r="R156">
            <v>45.4</v>
          </cell>
          <cell r="S156">
            <v>186000</v>
          </cell>
          <cell r="T156">
            <v>20659409423.650665</v>
          </cell>
          <cell r="W156">
            <v>1</v>
          </cell>
          <cell r="X156">
            <v>1</v>
          </cell>
          <cell r="Y156">
            <v>1</v>
          </cell>
          <cell r="Z156">
            <v>1</v>
          </cell>
          <cell r="AA156">
            <v>1</v>
          </cell>
          <cell r="AB156">
            <v>1</v>
          </cell>
        </row>
        <row r="157">
          <cell r="A157" t="str">
            <v>IPN240</v>
          </cell>
          <cell r="B157">
            <v>240</v>
          </cell>
          <cell r="C157">
            <v>36.200000000000003</v>
          </cell>
          <cell r="D157">
            <v>240</v>
          </cell>
          <cell r="E157">
            <v>106</v>
          </cell>
          <cell r="F157">
            <v>8.6999999999999993</v>
          </cell>
          <cell r="G157">
            <v>13.1</v>
          </cell>
          <cell r="H157">
            <v>4610</v>
          </cell>
          <cell r="I157">
            <v>42500000</v>
          </cell>
          <cell r="J157">
            <v>354000</v>
          </cell>
          <cell r="K157">
            <v>412000</v>
          </cell>
          <cell r="L157">
            <v>19.59</v>
          </cell>
          <cell r="M157">
            <v>2233</v>
          </cell>
          <cell r="N157">
            <v>2210000</v>
          </cell>
          <cell r="O157">
            <v>41700</v>
          </cell>
          <cell r="P157">
            <v>70000</v>
          </cell>
          <cell r="Q157">
            <v>22</v>
          </cell>
          <cell r="R157">
            <v>48.9</v>
          </cell>
          <cell r="S157">
            <v>250000</v>
          </cell>
          <cell r="T157">
            <v>33469300939.402332</v>
          </cell>
          <cell r="W157">
            <v>1</v>
          </cell>
          <cell r="X157">
            <v>1</v>
          </cell>
          <cell r="Y157">
            <v>1</v>
          </cell>
          <cell r="Z157">
            <v>1</v>
          </cell>
          <cell r="AA157">
            <v>1</v>
          </cell>
          <cell r="AB157">
            <v>1</v>
          </cell>
        </row>
        <row r="158">
          <cell r="A158" t="str">
            <v>IPN260</v>
          </cell>
          <cell r="B158">
            <v>260</v>
          </cell>
          <cell r="C158">
            <v>41.9</v>
          </cell>
          <cell r="D158">
            <v>260</v>
          </cell>
          <cell r="E158">
            <v>113</v>
          </cell>
          <cell r="F158">
            <v>9.4</v>
          </cell>
          <cell r="G158">
            <v>14.1</v>
          </cell>
          <cell r="H158">
            <v>5330</v>
          </cell>
          <cell r="I158">
            <v>57400000</v>
          </cell>
          <cell r="J158">
            <v>442000</v>
          </cell>
          <cell r="K158">
            <v>514000</v>
          </cell>
          <cell r="L158">
            <v>20.399999999999999</v>
          </cell>
          <cell r="M158">
            <v>2608</v>
          </cell>
          <cell r="N158">
            <v>2880000</v>
          </cell>
          <cell r="O158">
            <v>51000</v>
          </cell>
          <cell r="P158">
            <v>85900</v>
          </cell>
          <cell r="Q158">
            <v>23.2</v>
          </cell>
          <cell r="R158">
            <v>52.6</v>
          </cell>
          <cell r="S158">
            <v>335000</v>
          </cell>
          <cell r="T158">
            <v>51257835014.784882</v>
          </cell>
          <cell r="W158">
            <v>1</v>
          </cell>
          <cell r="X158">
            <v>1</v>
          </cell>
          <cell r="Y158">
            <v>1</v>
          </cell>
          <cell r="Z158">
            <v>1</v>
          </cell>
          <cell r="AA158">
            <v>1</v>
          </cell>
          <cell r="AB158">
            <v>1</v>
          </cell>
        </row>
        <row r="159">
          <cell r="A159" t="str">
            <v>IPN280</v>
          </cell>
          <cell r="B159">
            <v>280</v>
          </cell>
          <cell r="C159">
            <v>47.9</v>
          </cell>
          <cell r="D159">
            <v>280</v>
          </cell>
          <cell r="E159">
            <v>119</v>
          </cell>
          <cell r="F159">
            <v>10.1</v>
          </cell>
          <cell r="G159">
            <v>15.2</v>
          </cell>
          <cell r="H159">
            <v>6100</v>
          </cell>
          <cell r="I159">
            <v>75900000</v>
          </cell>
          <cell r="J159">
            <v>542000</v>
          </cell>
          <cell r="K159">
            <v>632000</v>
          </cell>
          <cell r="L159">
            <v>21.1</v>
          </cell>
          <cell r="M159">
            <v>3018</v>
          </cell>
          <cell r="N159">
            <v>3640000</v>
          </cell>
          <cell r="O159">
            <v>61200</v>
          </cell>
          <cell r="P159">
            <v>103000</v>
          </cell>
          <cell r="Q159">
            <v>24.5</v>
          </cell>
          <cell r="R159">
            <v>56.4</v>
          </cell>
          <cell r="S159">
            <v>442000</v>
          </cell>
          <cell r="T159">
            <v>74835763173.994675</v>
          </cell>
          <cell r="W159">
            <v>1</v>
          </cell>
          <cell r="X159">
            <v>1</v>
          </cell>
          <cell r="Y159">
            <v>1</v>
          </cell>
          <cell r="Z159">
            <v>1</v>
          </cell>
          <cell r="AA159">
            <v>1</v>
          </cell>
          <cell r="AB159">
            <v>1</v>
          </cell>
        </row>
        <row r="160">
          <cell r="A160" t="str">
            <v>IPN300</v>
          </cell>
          <cell r="B160">
            <v>300</v>
          </cell>
          <cell r="C160">
            <v>54.2</v>
          </cell>
          <cell r="D160">
            <v>300</v>
          </cell>
          <cell r="E160">
            <v>125</v>
          </cell>
          <cell r="F160">
            <v>10.8</v>
          </cell>
          <cell r="G160">
            <v>16.2</v>
          </cell>
          <cell r="H160">
            <v>6900</v>
          </cell>
          <cell r="I160">
            <v>98000000</v>
          </cell>
          <cell r="J160">
            <v>653000</v>
          </cell>
          <cell r="K160">
            <v>762000</v>
          </cell>
          <cell r="L160">
            <v>21.9</v>
          </cell>
          <cell r="M160">
            <v>3458</v>
          </cell>
          <cell r="N160">
            <v>4510000</v>
          </cell>
          <cell r="O160">
            <v>72200</v>
          </cell>
          <cell r="P160">
            <v>121000</v>
          </cell>
          <cell r="Q160">
            <v>25.6</v>
          </cell>
          <cell r="R160">
            <v>60.1</v>
          </cell>
          <cell r="S160">
            <v>568000</v>
          </cell>
          <cell r="T160">
            <v>106183880859.375</v>
          </cell>
          <cell r="W160">
            <v>1</v>
          </cell>
          <cell r="X160">
            <v>1</v>
          </cell>
          <cell r="Y160">
            <v>1</v>
          </cell>
          <cell r="Z160">
            <v>1</v>
          </cell>
          <cell r="AA160">
            <v>1</v>
          </cell>
          <cell r="AB160">
            <v>1</v>
          </cell>
        </row>
        <row r="161">
          <cell r="A161" t="str">
            <v>IPN320</v>
          </cell>
          <cell r="B161">
            <v>320</v>
          </cell>
          <cell r="C161">
            <v>61</v>
          </cell>
          <cell r="D161">
            <v>320</v>
          </cell>
          <cell r="E161">
            <v>131</v>
          </cell>
          <cell r="F161">
            <v>11.5</v>
          </cell>
          <cell r="G161">
            <v>17.3</v>
          </cell>
          <cell r="H161">
            <v>7770</v>
          </cell>
          <cell r="I161">
            <v>125100000</v>
          </cell>
          <cell r="J161">
            <v>782000</v>
          </cell>
          <cell r="K161">
            <v>914000</v>
          </cell>
          <cell r="L161">
            <v>22.7</v>
          </cell>
          <cell r="M161">
            <v>3926</v>
          </cell>
          <cell r="N161">
            <v>5550000</v>
          </cell>
          <cell r="O161">
            <v>84700</v>
          </cell>
          <cell r="P161">
            <v>143000</v>
          </cell>
          <cell r="Q161">
            <v>26.7</v>
          </cell>
          <cell r="R161">
            <v>63.9</v>
          </cell>
          <cell r="S161">
            <v>725000</v>
          </cell>
          <cell r="T161">
            <v>148481925327.44363</v>
          </cell>
          <cell r="W161">
            <v>1</v>
          </cell>
          <cell r="X161">
            <v>1</v>
          </cell>
          <cell r="Y161">
            <v>1</v>
          </cell>
          <cell r="Z161">
            <v>1</v>
          </cell>
          <cell r="AA161">
            <v>1</v>
          </cell>
          <cell r="AB161">
            <v>1</v>
          </cell>
        </row>
        <row r="162">
          <cell r="A162" t="str">
            <v>IPN340</v>
          </cell>
          <cell r="B162">
            <v>340</v>
          </cell>
          <cell r="C162">
            <v>68</v>
          </cell>
          <cell r="D162">
            <v>340</v>
          </cell>
          <cell r="E162">
            <v>137</v>
          </cell>
          <cell r="F162">
            <v>12.2</v>
          </cell>
          <cell r="G162">
            <v>18.3</v>
          </cell>
          <cell r="H162">
            <v>8670</v>
          </cell>
          <cell r="I162">
            <v>157000000</v>
          </cell>
          <cell r="J162">
            <v>923000</v>
          </cell>
          <cell r="K162">
            <v>1080000</v>
          </cell>
          <cell r="L162">
            <v>23.5</v>
          </cell>
          <cell r="M162">
            <v>4427</v>
          </cell>
          <cell r="N162">
            <v>6740000</v>
          </cell>
          <cell r="O162">
            <v>98400</v>
          </cell>
          <cell r="P162">
            <v>166000</v>
          </cell>
          <cell r="Q162">
            <v>28</v>
          </cell>
          <cell r="R162">
            <v>67.599999999999994</v>
          </cell>
          <cell r="S162">
            <v>904000</v>
          </cell>
          <cell r="T162">
            <v>202910102986.5546</v>
          </cell>
          <cell r="W162">
            <v>1</v>
          </cell>
          <cell r="X162">
            <v>1</v>
          </cell>
          <cell r="Y162">
            <v>1</v>
          </cell>
          <cell r="Z162">
            <v>1</v>
          </cell>
          <cell r="AA162">
            <v>1</v>
          </cell>
          <cell r="AB162">
            <v>1</v>
          </cell>
        </row>
        <row r="163">
          <cell r="A163" t="str">
            <v>IPN360</v>
          </cell>
          <cell r="B163">
            <v>360</v>
          </cell>
          <cell r="C163">
            <v>76.099999999999994</v>
          </cell>
          <cell r="D163">
            <v>360</v>
          </cell>
          <cell r="E163">
            <v>143</v>
          </cell>
          <cell r="F163">
            <v>13</v>
          </cell>
          <cell r="G163">
            <v>19.5</v>
          </cell>
          <cell r="H163">
            <v>9700</v>
          </cell>
          <cell r="I163">
            <v>196100000</v>
          </cell>
          <cell r="J163">
            <v>1090000</v>
          </cell>
          <cell r="K163">
            <v>1276000</v>
          </cell>
          <cell r="L163">
            <v>24.2</v>
          </cell>
          <cell r="M163">
            <v>4995</v>
          </cell>
          <cell r="N163">
            <v>8180000</v>
          </cell>
          <cell r="O163">
            <v>114000</v>
          </cell>
          <cell r="P163">
            <v>194000</v>
          </cell>
          <cell r="Q163">
            <v>29</v>
          </cell>
          <cell r="R163">
            <v>71.8</v>
          </cell>
          <cell r="S163">
            <v>1150000</v>
          </cell>
          <cell r="T163">
            <v>275464548638.29688</v>
          </cell>
          <cell r="W163">
            <v>1</v>
          </cell>
          <cell r="X163">
            <v>1</v>
          </cell>
          <cell r="Y163">
            <v>1</v>
          </cell>
          <cell r="Z163">
            <v>1</v>
          </cell>
          <cell r="AA163">
            <v>1</v>
          </cell>
          <cell r="AB163">
            <v>1</v>
          </cell>
        </row>
        <row r="164">
          <cell r="A164" t="str">
            <v>IPN380</v>
          </cell>
          <cell r="B164">
            <v>380</v>
          </cell>
          <cell r="C164">
            <v>84</v>
          </cell>
          <cell r="D164">
            <v>380</v>
          </cell>
          <cell r="E164">
            <v>149</v>
          </cell>
          <cell r="F164">
            <v>13.7</v>
          </cell>
          <cell r="G164">
            <v>20.5</v>
          </cell>
          <cell r="H164">
            <v>10700</v>
          </cell>
          <cell r="I164">
            <v>240100000</v>
          </cell>
          <cell r="J164">
            <v>1260000</v>
          </cell>
          <cell r="K164">
            <v>1482000</v>
          </cell>
          <cell r="L164">
            <v>25</v>
          </cell>
          <cell r="M164">
            <v>5555</v>
          </cell>
          <cell r="N164">
            <v>9750000</v>
          </cell>
          <cell r="O164">
            <v>131000</v>
          </cell>
          <cell r="P164">
            <v>221000</v>
          </cell>
          <cell r="Q164">
            <v>30.2</v>
          </cell>
          <cell r="R164">
            <v>75.400000000000006</v>
          </cell>
          <cell r="S164">
            <v>1410000</v>
          </cell>
          <cell r="T164">
            <v>365173466367.44269</v>
          </cell>
          <cell r="W164">
            <v>1</v>
          </cell>
          <cell r="X164">
            <v>1</v>
          </cell>
          <cell r="Y164">
            <v>1</v>
          </cell>
          <cell r="Z164">
            <v>1</v>
          </cell>
          <cell r="AA164">
            <v>1</v>
          </cell>
          <cell r="AB164">
            <v>1</v>
          </cell>
        </row>
        <row r="165">
          <cell r="A165" t="str">
            <v>IPN400</v>
          </cell>
          <cell r="B165">
            <v>400</v>
          </cell>
          <cell r="C165">
            <v>92.4</v>
          </cell>
          <cell r="D165">
            <v>400</v>
          </cell>
          <cell r="E165">
            <v>155</v>
          </cell>
          <cell r="F165">
            <v>14.4</v>
          </cell>
          <cell r="G165">
            <v>21.6</v>
          </cell>
          <cell r="H165">
            <v>11800</v>
          </cell>
          <cell r="I165">
            <v>292100000</v>
          </cell>
          <cell r="J165">
            <v>1460000</v>
          </cell>
          <cell r="K165">
            <v>1714000</v>
          </cell>
          <cell r="L165">
            <v>25.7</v>
          </cell>
          <cell r="M165">
            <v>6169</v>
          </cell>
          <cell r="N165">
            <v>11600000</v>
          </cell>
          <cell r="O165">
            <v>149000</v>
          </cell>
          <cell r="P165">
            <v>253000</v>
          </cell>
          <cell r="Q165">
            <v>31.3</v>
          </cell>
          <cell r="R165">
            <v>79.3</v>
          </cell>
          <cell r="S165">
            <v>1700000</v>
          </cell>
          <cell r="T165">
            <v>479887966007.99994</v>
          </cell>
          <cell r="W165">
            <v>1</v>
          </cell>
          <cell r="X165">
            <v>1</v>
          </cell>
          <cell r="Y165">
            <v>1</v>
          </cell>
          <cell r="Z165">
            <v>1</v>
          </cell>
          <cell r="AA165">
            <v>1</v>
          </cell>
          <cell r="AB165">
            <v>1</v>
          </cell>
        </row>
        <row r="166">
          <cell r="A166" t="str">
            <v>IPN450</v>
          </cell>
          <cell r="B166">
            <v>450</v>
          </cell>
          <cell r="C166">
            <v>115</v>
          </cell>
          <cell r="D166">
            <v>450</v>
          </cell>
          <cell r="E166">
            <v>170</v>
          </cell>
          <cell r="F166">
            <v>16.2</v>
          </cell>
          <cell r="G166">
            <v>24.3</v>
          </cell>
          <cell r="H166">
            <v>14700</v>
          </cell>
          <cell r="I166">
            <v>458500000</v>
          </cell>
          <cell r="J166">
            <v>2040000</v>
          </cell>
          <cell r="K166">
            <v>2400000</v>
          </cell>
          <cell r="L166">
            <v>27.7</v>
          </cell>
          <cell r="M166">
            <v>7779</v>
          </cell>
          <cell r="N166">
            <v>17300000</v>
          </cell>
          <cell r="O166">
            <v>203000</v>
          </cell>
          <cell r="P166">
            <v>345000</v>
          </cell>
          <cell r="Q166">
            <v>34.299999999999997</v>
          </cell>
          <cell r="R166">
            <v>88.9</v>
          </cell>
          <cell r="S166">
            <v>2670000</v>
          </cell>
          <cell r="T166">
            <v>901465470712.125</v>
          </cell>
          <cell r="W166">
            <v>1</v>
          </cell>
          <cell r="X166">
            <v>1</v>
          </cell>
          <cell r="Y166">
            <v>1</v>
          </cell>
          <cell r="Z166">
            <v>1</v>
          </cell>
          <cell r="AA166">
            <v>1</v>
          </cell>
          <cell r="AB166">
            <v>1</v>
          </cell>
        </row>
        <row r="167">
          <cell r="A167" t="str">
            <v>IPN500</v>
          </cell>
          <cell r="B167">
            <v>500</v>
          </cell>
          <cell r="C167">
            <v>141</v>
          </cell>
          <cell r="D167">
            <v>500</v>
          </cell>
          <cell r="E167">
            <v>185</v>
          </cell>
          <cell r="F167">
            <v>18</v>
          </cell>
          <cell r="G167">
            <v>27</v>
          </cell>
          <cell r="H167">
            <v>17900</v>
          </cell>
          <cell r="I167">
            <v>687400000</v>
          </cell>
          <cell r="J167">
            <v>2750000</v>
          </cell>
          <cell r="K167">
            <v>3240000</v>
          </cell>
          <cell r="L167">
            <v>29.6</v>
          </cell>
          <cell r="M167">
            <v>9560</v>
          </cell>
          <cell r="N167">
            <v>24800000</v>
          </cell>
          <cell r="O167">
            <v>268000</v>
          </cell>
          <cell r="P167">
            <v>456000</v>
          </cell>
          <cell r="Q167">
            <v>37.200000000000003</v>
          </cell>
          <cell r="R167">
            <v>98.5</v>
          </cell>
          <cell r="S167">
            <v>4020000</v>
          </cell>
          <cell r="T167">
            <v>1593639145828.125</v>
          </cell>
          <cell r="W167">
            <v>1</v>
          </cell>
          <cell r="X167">
            <v>1</v>
          </cell>
          <cell r="Y167">
            <v>1</v>
          </cell>
          <cell r="Z167">
            <v>1</v>
          </cell>
          <cell r="AA167">
            <v>1</v>
          </cell>
          <cell r="AB167">
            <v>1</v>
          </cell>
        </row>
        <row r="168">
          <cell r="A168" t="str">
            <v>IPN550</v>
          </cell>
          <cell r="B168">
            <v>550</v>
          </cell>
          <cell r="C168">
            <v>166</v>
          </cell>
          <cell r="D168">
            <v>550</v>
          </cell>
          <cell r="E168">
            <v>200</v>
          </cell>
          <cell r="F168">
            <v>19</v>
          </cell>
          <cell r="G168">
            <v>30</v>
          </cell>
          <cell r="H168">
            <v>21200</v>
          </cell>
          <cell r="I168">
            <v>991800000</v>
          </cell>
          <cell r="J168">
            <v>3610000</v>
          </cell>
          <cell r="K168">
            <v>4240000</v>
          </cell>
          <cell r="L168">
            <v>31.6</v>
          </cell>
          <cell r="M168">
            <v>11130</v>
          </cell>
          <cell r="N168">
            <v>34900000</v>
          </cell>
          <cell r="O168">
            <v>349000</v>
          </cell>
          <cell r="P168">
            <v>592000</v>
          </cell>
          <cell r="Q168">
            <v>40.200000000000003</v>
          </cell>
          <cell r="R168">
            <v>107.3</v>
          </cell>
          <cell r="S168">
            <v>5440000</v>
          </cell>
          <cell r="T168">
            <v>2704000000000</v>
          </cell>
          <cell r="W168">
            <v>1</v>
          </cell>
          <cell r="X168">
            <v>1</v>
          </cell>
          <cell r="Y168">
            <v>1</v>
          </cell>
          <cell r="Z168">
            <v>1</v>
          </cell>
          <cell r="AA168">
            <v>1</v>
          </cell>
          <cell r="AB168">
            <v>1</v>
          </cell>
        </row>
        <row r="170">
          <cell r="A170" t="str">
            <v>BUIS</v>
          </cell>
          <cell r="B170" t="str">
            <v>profiel</v>
          </cell>
          <cell r="C170" t="str">
            <v>g</v>
          </cell>
          <cell r="D170" t="str">
            <v>h</v>
          </cell>
          <cell r="E170" t="str">
            <v>b</v>
          </cell>
          <cell r="F170" t="str">
            <v>tw</v>
          </cell>
          <cell r="G170" t="str">
            <v>tf</v>
          </cell>
          <cell r="H170" t="str">
            <v>A</v>
          </cell>
          <cell r="I170" t="str">
            <v>Iy</v>
          </cell>
          <cell r="J170" t="str">
            <v>Wy</v>
          </cell>
          <cell r="K170" t="str">
            <v>Wply</v>
          </cell>
          <cell r="L170" t="str">
            <v>iy</v>
          </cell>
          <cell r="M170" t="str">
            <v>Avz</v>
          </cell>
          <cell r="N170" t="str">
            <v>Iz</v>
          </cell>
          <cell r="O170" t="str">
            <v>Wz</v>
          </cell>
          <cell r="P170" t="str">
            <v>Wplz</v>
          </cell>
          <cell r="Q170" t="str">
            <v>iz</v>
          </cell>
          <cell r="R170" t="str">
            <v>Ss</v>
          </cell>
          <cell r="S170" t="str">
            <v>It</v>
          </cell>
          <cell r="T170" t="str">
            <v>Iw</v>
          </cell>
          <cell r="W170">
            <v>235</v>
          </cell>
          <cell r="X170">
            <v>355</v>
          </cell>
          <cell r="Y170">
            <v>460</v>
          </cell>
          <cell r="Z170">
            <v>235</v>
          </cell>
          <cell r="AA170">
            <v>355</v>
          </cell>
          <cell r="AB170">
            <v>460</v>
          </cell>
        </row>
        <row r="171">
          <cell r="C171" t="str">
            <v>kg/m</v>
          </cell>
          <cell r="D171" t="str">
            <v>mm</v>
          </cell>
          <cell r="E171" t="str">
            <v>mm</v>
          </cell>
          <cell r="F171" t="str">
            <v>mm</v>
          </cell>
          <cell r="G171" t="str">
            <v>mm</v>
          </cell>
          <cell r="H171" t="str">
            <v>mm2</v>
          </cell>
          <cell r="I171" t="str">
            <v>mm4</v>
          </cell>
          <cell r="J171" t="str">
            <v>mm3</v>
          </cell>
          <cell r="K171" t="str">
            <v>mm3</v>
          </cell>
          <cell r="L171" t="str">
            <v>mm</v>
          </cell>
          <cell r="M171" t="str">
            <v>mm2</v>
          </cell>
          <cell r="N171" t="str">
            <v>mm4</v>
          </cell>
          <cell r="O171" t="str">
            <v>mm3</v>
          </cell>
          <cell r="P171" t="str">
            <v>mm3</v>
          </cell>
          <cell r="Q171" t="str">
            <v>mm</v>
          </cell>
          <cell r="R171" t="str">
            <v>mm</v>
          </cell>
          <cell r="S171" t="str">
            <v>mm4</v>
          </cell>
          <cell r="T171" t="str">
            <v>mm6</v>
          </cell>
        </row>
        <row r="172">
          <cell r="A172" t="str">
            <v>BUIS17,2x1,0</v>
          </cell>
          <cell r="B172" t="str">
            <v>17,2x1,0</v>
          </cell>
          <cell r="C172">
            <v>0.3995163377570139</v>
          </cell>
          <cell r="D172">
            <v>17.2</v>
          </cell>
          <cell r="E172">
            <v>17.2</v>
          </cell>
          <cell r="F172">
            <v>1</v>
          </cell>
          <cell r="G172">
            <v>1</v>
          </cell>
          <cell r="H172">
            <v>50.893800988154638</v>
          </cell>
          <cell r="I172">
            <v>1675.9328665399323</v>
          </cell>
          <cell r="J172">
            <v>194.87591471394563</v>
          </cell>
          <cell r="K172">
            <v>262.77333333333331</v>
          </cell>
          <cell r="L172">
            <v>5.7384666941614286</v>
          </cell>
          <cell r="M172">
            <v>25.446900494077319</v>
          </cell>
          <cell r="N172">
            <v>1675.9328665399323</v>
          </cell>
          <cell r="O172">
            <v>194.87591471394563</v>
          </cell>
          <cell r="P172">
            <v>262.77333333333331</v>
          </cell>
          <cell r="Q172">
            <v>5.7384666941614286</v>
          </cell>
          <cell r="T172">
            <v>412.23978800405263</v>
          </cell>
          <cell r="W172">
            <v>1</v>
          </cell>
          <cell r="X172">
            <v>1</v>
          </cell>
          <cell r="Y172">
            <v>1</v>
          </cell>
          <cell r="Z172">
            <v>1</v>
          </cell>
          <cell r="AA172">
            <v>1</v>
          </cell>
          <cell r="AB172">
            <v>1</v>
          </cell>
        </row>
        <row r="173">
          <cell r="A173" t="str">
            <v>BUIS24,9x2,6</v>
          </cell>
          <cell r="B173" t="str">
            <v>24,9x2,6</v>
          </cell>
          <cell r="C173">
            <v>1.4298739051328186</v>
          </cell>
          <cell r="D173">
            <v>24.9</v>
          </cell>
          <cell r="E173">
            <v>24.9</v>
          </cell>
          <cell r="F173">
            <v>2.6</v>
          </cell>
          <cell r="G173">
            <v>2.6</v>
          </cell>
          <cell r="H173">
            <v>182.14954205513612</v>
          </cell>
          <cell r="I173">
            <v>11476.559584111419</v>
          </cell>
          <cell r="J173">
            <v>921.81201478806588</v>
          </cell>
          <cell r="K173">
            <v>1298.812666666666</v>
          </cell>
          <cell r="L173">
            <v>7.9376476364222661</v>
          </cell>
          <cell r="M173">
            <v>91.074771027568062</v>
          </cell>
          <cell r="N173">
            <v>11476.559584111419</v>
          </cell>
          <cell r="O173">
            <v>921.81201478806588</v>
          </cell>
          <cell r="P173">
            <v>1298.812666666666</v>
          </cell>
          <cell r="Q173">
            <v>7.9376476364222661</v>
          </cell>
          <cell r="T173">
            <v>2030.9673939147683</v>
          </cell>
          <cell r="W173">
            <v>1</v>
          </cell>
          <cell r="X173">
            <v>1</v>
          </cell>
          <cell r="Y173">
            <v>1</v>
          </cell>
          <cell r="Z173">
            <v>1</v>
          </cell>
          <cell r="AA173">
            <v>1</v>
          </cell>
          <cell r="AB173">
            <v>1</v>
          </cell>
        </row>
        <row r="174">
          <cell r="A174" t="str">
            <v>BUIS26,9x2,6</v>
          </cell>
          <cell r="B174" t="str">
            <v>26,9x2,6</v>
          </cell>
          <cell r="C174">
            <v>1.558113717252354</v>
          </cell>
          <cell r="D174">
            <v>26.9</v>
          </cell>
          <cell r="E174">
            <v>26.9</v>
          </cell>
          <cell r="F174">
            <v>2.6</v>
          </cell>
          <cell r="G174">
            <v>2.6</v>
          </cell>
          <cell r="H174">
            <v>198.48582385380305</v>
          </cell>
          <cell r="I174">
            <v>14818.207287085483</v>
          </cell>
          <cell r="J174">
            <v>1101.7254488539393</v>
          </cell>
          <cell r="K174">
            <v>1541.1326666666662</v>
          </cell>
          <cell r="L174">
            <v>8.6403848293927279</v>
          </cell>
          <cell r="M174">
            <v>99.242911926901527</v>
          </cell>
          <cell r="N174">
            <v>14818.207287085483</v>
          </cell>
          <cell r="O174">
            <v>1101.7254488539393</v>
          </cell>
          <cell r="P174">
            <v>1541.1326666666662</v>
          </cell>
          <cell r="Q174">
            <v>8.6403848293927279</v>
          </cell>
          <cell r="T174">
            <v>2411.6027598237074</v>
          </cell>
          <cell r="W174">
            <v>1</v>
          </cell>
          <cell r="X174">
            <v>1</v>
          </cell>
          <cell r="Y174">
            <v>1</v>
          </cell>
          <cell r="Z174">
            <v>1</v>
          </cell>
          <cell r="AA174">
            <v>1</v>
          </cell>
          <cell r="AB174">
            <v>1</v>
          </cell>
        </row>
        <row r="175">
          <cell r="A175" t="str">
            <v>BUIS33,3x2,9</v>
          </cell>
          <cell r="B175" t="str">
            <v>33,3x2,9</v>
          </cell>
          <cell r="C175">
            <v>2.1741580454727383</v>
          </cell>
          <cell r="D175">
            <v>33.299999999999997</v>
          </cell>
          <cell r="E175">
            <v>33.299999999999997</v>
          </cell>
          <cell r="F175">
            <v>2.9</v>
          </cell>
          <cell r="G175">
            <v>2.9</v>
          </cell>
          <cell r="H175">
            <v>276.96280834047622</v>
          </cell>
          <cell r="I175">
            <v>32285.900771759734</v>
          </cell>
          <cell r="J175">
            <v>1939.0931394450292</v>
          </cell>
          <cell r="K175">
            <v>2688.1936666666661</v>
          </cell>
          <cell r="L175">
            <v>10.796816660479143</v>
          </cell>
          <cell r="M175">
            <v>138.48140417023811</v>
          </cell>
          <cell r="N175">
            <v>32285.900771759734</v>
          </cell>
          <cell r="O175">
            <v>1939.0931394450292</v>
          </cell>
          <cell r="P175">
            <v>2688.1936666666661</v>
          </cell>
          <cell r="Q175">
            <v>10.796816660479143</v>
          </cell>
          <cell r="T175">
            <v>4209.8346867752371</v>
          </cell>
          <cell r="W175">
            <v>1</v>
          </cell>
          <cell r="X175">
            <v>1</v>
          </cell>
          <cell r="Y175">
            <v>1</v>
          </cell>
          <cell r="Z175">
            <v>1</v>
          </cell>
          <cell r="AA175">
            <v>1</v>
          </cell>
          <cell r="AB175">
            <v>1</v>
          </cell>
        </row>
        <row r="176">
          <cell r="A176" t="str">
            <v>BUIS42,4x2,6</v>
          </cell>
          <cell r="B176" t="str">
            <v>42,4x2,6</v>
          </cell>
          <cell r="C176">
            <v>2.5519722611787552</v>
          </cell>
          <cell r="D176">
            <v>42.4</v>
          </cell>
          <cell r="E176">
            <v>42.4</v>
          </cell>
          <cell r="F176">
            <v>2.6</v>
          </cell>
          <cell r="G176">
            <v>2.6</v>
          </cell>
          <cell r="H176">
            <v>325.09200779347202</v>
          </cell>
          <cell r="I176">
            <v>64644.5457497319</v>
          </cell>
          <cell r="J176">
            <v>3049.2710259307501</v>
          </cell>
          <cell r="K176">
            <v>4124.3626666666678</v>
          </cell>
          <cell r="L176">
            <v>14.10141836837699</v>
          </cell>
          <cell r="M176">
            <v>162.54600389673601</v>
          </cell>
          <cell r="N176">
            <v>64644.5457497319</v>
          </cell>
          <cell r="O176">
            <v>3049.2710259307501</v>
          </cell>
          <cell r="P176">
            <v>4124.3626666666678</v>
          </cell>
          <cell r="Q176">
            <v>14.10141836837699</v>
          </cell>
          <cell r="T176">
            <v>6469.3309550900876</v>
          </cell>
          <cell r="W176">
            <v>1</v>
          </cell>
          <cell r="X176">
            <v>1</v>
          </cell>
          <cell r="Y176">
            <v>1</v>
          </cell>
          <cell r="Z176">
            <v>1</v>
          </cell>
          <cell r="AA176">
            <v>1</v>
          </cell>
          <cell r="AB176">
            <v>1</v>
          </cell>
        </row>
        <row r="177">
          <cell r="A177" t="str">
            <v>BUIS48,3x3,0</v>
          </cell>
          <cell r="B177" t="str">
            <v>48,3x3,0</v>
          </cell>
          <cell r="C177">
            <v>3.3514981667393959</v>
          </cell>
          <cell r="D177">
            <v>48.3</v>
          </cell>
          <cell r="E177">
            <v>48.3</v>
          </cell>
          <cell r="F177">
            <v>3</v>
          </cell>
          <cell r="G177">
            <v>3</v>
          </cell>
          <cell r="H177">
            <v>426.94244162285298</v>
          </cell>
          <cell r="I177">
            <v>109995.84962555573</v>
          </cell>
          <cell r="J177">
            <v>4554.6935662755996</v>
          </cell>
          <cell r="K177">
            <v>6165.2699999999995</v>
          </cell>
          <cell r="L177">
            <v>16.051051367433846</v>
          </cell>
          <cell r="M177">
            <v>213.47122081142649</v>
          </cell>
          <cell r="N177">
            <v>109995.84962555573</v>
          </cell>
          <cell r="O177">
            <v>4554.6935662755996</v>
          </cell>
          <cell r="P177">
            <v>6165.2699999999995</v>
          </cell>
          <cell r="Q177">
            <v>16.051051367433846</v>
          </cell>
          <cell r="T177">
            <v>9670.2463027576159</v>
          </cell>
          <cell r="W177">
            <v>1</v>
          </cell>
          <cell r="X177">
            <v>1</v>
          </cell>
          <cell r="Y177">
            <v>1</v>
          </cell>
          <cell r="Z177">
            <v>1</v>
          </cell>
          <cell r="AA177">
            <v>1</v>
          </cell>
          <cell r="AB177">
            <v>1</v>
          </cell>
        </row>
        <row r="178">
          <cell r="A178" t="str">
            <v>BUIS60,3x4,0</v>
          </cell>
          <cell r="B178" t="str">
            <v>60,3x4,0</v>
          </cell>
          <cell r="C178">
            <v>5.5537703248691095</v>
          </cell>
          <cell r="D178">
            <v>60.3</v>
          </cell>
          <cell r="E178">
            <v>60.3</v>
          </cell>
          <cell r="F178">
            <v>4</v>
          </cell>
          <cell r="G178">
            <v>4</v>
          </cell>
          <cell r="H178">
            <v>707.4866655884216</v>
          </cell>
          <cell r="I178">
            <v>281729.14946229727</v>
          </cell>
          <cell r="J178">
            <v>9344.2503967594457</v>
          </cell>
          <cell r="K178">
            <v>12700.093333333338</v>
          </cell>
          <cell r="L178">
            <v>19.95523114373772</v>
          </cell>
          <cell r="M178">
            <v>353.7433327942108</v>
          </cell>
          <cell r="N178">
            <v>281729.14946229727</v>
          </cell>
          <cell r="O178">
            <v>9344.2503967594457</v>
          </cell>
          <cell r="P178">
            <v>12700.093333333338</v>
          </cell>
          <cell r="Q178">
            <v>19.95523114373772</v>
          </cell>
          <cell r="T178">
            <v>19915.74963631406</v>
          </cell>
          <cell r="W178">
            <v>1</v>
          </cell>
          <cell r="X178">
            <v>1</v>
          </cell>
          <cell r="Y178">
            <v>1</v>
          </cell>
          <cell r="Z178">
            <v>1</v>
          </cell>
          <cell r="AA178">
            <v>1</v>
          </cell>
          <cell r="AB178">
            <v>1</v>
          </cell>
        </row>
        <row r="179">
          <cell r="A179" t="str">
            <v>BUIS76,1x4</v>
          </cell>
          <cell r="B179" t="str">
            <v>76,1x4</v>
          </cell>
          <cell r="C179">
            <v>7.1123772721680734</v>
          </cell>
          <cell r="D179">
            <v>76.099999999999994</v>
          </cell>
          <cell r="E179">
            <v>76.099999999999994</v>
          </cell>
          <cell r="F179">
            <v>4</v>
          </cell>
          <cell r="G179">
            <v>4</v>
          </cell>
          <cell r="H179">
            <v>906.03532129529594</v>
          </cell>
          <cell r="I179">
            <v>590554.95496442541</v>
          </cell>
          <cell r="J179">
            <v>15520.498159380433</v>
          </cell>
          <cell r="K179">
            <v>20814.973333333317</v>
          </cell>
          <cell r="L179">
            <v>25.530398547613782</v>
          </cell>
          <cell r="M179">
            <v>453.01766064764797</v>
          </cell>
          <cell r="N179">
            <v>590554.95496442541</v>
          </cell>
          <cell r="O179">
            <v>15520.498159380433</v>
          </cell>
          <cell r="P179">
            <v>20814.973333333317</v>
          </cell>
          <cell r="Q179">
            <v>25.530398547613782</v>
          </cell>
          <cell r="T179">
            <v>32662.573332695425</v>
          </cell>
          <cell r="W179">
            <v>1</v>
          </cell>
          <cell r="X179">
            <v>1</v>
          </cell>
          <cell r="Y179">
            <v>1</v>
          </cell>
          <cell r="Z179">
            <v>1</v>
          </cell>
          <cell r="AA179">
            <v>1</v>
          </cell>
          <cell r="AB179">
            <v>1</v>
          </cell>
        </row>
        <row r="180">
          <cell r="A180" t="str">
            <v>BUIS76,1x5</v>
          </cell>
          <cell r="B180" t="str">
            <v>76,1x5</v>
          </cell>
          <cell r="C180">
            <v>8.7671640785566964</v>
          </cell>
          <cell r="D180">
            <v>76.099999999999994</v>
          </cell>
          <cell r="E180">
            <v>76.099999999999994</v>
          </cell>
          <cell r="F180">
            <v>5</v>
          </cell>
          <cell r="G180">
            <v>5</v>
          </cell>
          <cell r="H180">
            <v>1116.8361883511714</v>
          </cell>
          <cell r="I180">
            <v>709220.29655293806</v>
          </cell>
          <cell r="J180">
            <v>18639.166795083787</v>
          </cell>
          <cell r="K180">
            <v>25317.716666666664</v>
          </cell>
          <cell r="L180">
            <v>25.199727181062894</v>
          </cell>
          <cell r="M180">
            <v>558.41809417558568</v>
          </cell>
          <cell r="N180">
            <v>709220.29655293806</v>
          </cell>
          <cell r="O180">
            <v>18639.166795083787</v>
          </cell>
          <cell r="P180">
            <v>25317.716666666664</v>
          </cell>
          <cell r="Q180">
            <v>25.199727181062894</v>
          </cell>
          <cell r="T180">
            <v>39703.526495884136</v>
          </cell>
          <cell r="W180">
            <v>1</v>
          </cell>
          <cell r="X180">
            <v>1</v>
          </cell>
          <cell r="Y180">
            <v>1</v>
          </cell>
          <cell r="Z180">
            <v>1</v>
          </cell>
          <cell r="AA180">
            <v>1</v>
          </cell>
          <cell r="AB180">
            <v>1</v>
          </cell>
        </row>
        <row r="181">
          <cell r="A181" t="str">
            <v>BUIS80x5</v>
          </cell>
          <cell r="B181" t="str">
            <v>80x5</v>
          </cell>
          <cell r="C181">
            <v>9.2480633740049534</v>
          </cell>
          <cell r="D181">
            <v>80</v>
          </cell>
          <cell r="E181">
            <v>80</v>
          </cell>
          <cell r="F181">
            <v>5</v>
          </cell>
          <cell r="G181">
            <v>5</v>
          </cell>
          <cell r="H181">
            <v>1178.0972450961724</v>
          </cell>
          <cell r="I181">
            <v>832031.17934917181</v>
          </cell>
          <cell r="J181">
            <v>20800.779483729297</v>
          </cell>
          <cell r="K181">
            <v>28166.666666666668</v>
          </cell>
          <cell r="L181">
            <v>26.575364531836623</v>
          </cell>
          <cell r="M181">
            <v>589.0486225480862</v>
          </cell>
          <cell r="N181">
            <v>832031.17934917181</v>
          </cell>
          <cell r="O181">
            <v>20800.779483729297</v>
          </cell>
          <cell r="P181">
            <v>28166.666666666668</v>
          </cell>
          <cell r="Q181">
            <v>26.575364531836623</v>
          </cell>
          <cell r="T181">
            <v>44178.646691106471</v>
          </cell>
          <cell r="W181">
            <v>1</v>
          </cell>
          <cell r="X181">
            <v>1</v>
          </cell>
          <cell r="Y181">
            <v>1</v>
          </cell>
          <cell r="Z181">
            <v>1</v>
          </cell>
          <cell r="AA181">
            <v>1</v>
          </cell>
          <cell r="AB181">
            <v>1</v>
          </cell>
        </row>
        <row r="182">
          <cell r="A182" t="str">
            <v>BUIS80x6</v>
          </cell>
          <cell r="B182" t="str">
            <v>80x6</v>
          </cell>
          <cell r="C182">
            <v>10.949707034821865</v>
          </cell>
          <cell r="D182">
            <v>80</v>
          </cell>
          <cell r="E182">
            <v>80</v>
          </cell>
          <cell r="F182">
            <v>6</v>
          </cell>
          <cell r="G182">
            <v>6</v>
          </cell>
          <cell r="H182">
            <v>1394.8671381938682</v>
          </cell>
          <cell r="I182">
            <v>961063.4582155752</v>
          </cell>
          <cell r="J182">
            <v>24026.586455389381</v>
          </cell>
          <cell r="K182">
            <v>32928</v>
          </cell>
          <cell r="L182">
            <v>26.248809496813376</v>
          </cell>
          <cell r="M182">
            <v>697.43356909693409</v>
          </cell>
          <cell r="N182">
            <v>961063.4582155752</v>
          </cell>
          <cell r="O182">
            <v>24026.586455389381</v>
          </cell>
          <cell r="P182">
            <v>32928</v>
          </cell>
          <cell r="Q182">
            <v>26.248809496813376</v>
          </cell>
          <cell r="T182">
            <v>51610.084113173129</v>
          </cell>
          <cell r="W182">
            <v>1</v>
          </cell>
          <cell r="X182">
            <v>1</v>
          </cell>
          <cell r="Y182">
            <v>1</v>
          </cell>
          <cell r="Z182">
            <v>1</v>
          </cell>
          <cell r="AA182">
            <v>1</v>
          </cell>
          <cell r="AB182">
            <v>1</v>
          </cell>
        </row>
        <row r="183">
          <cell r="A183" t="str">
            <v>BUIS108x6</v>
          </cell>
          <cell r="B183" t="str">
            <v>108x6</v>
          </cell>
          <cell r="C183">
            <v>15.092839426376084</v>
          </cell>
          <cell r="D183">
            <v>108</v>
          </cell>
          <cell r="E183">
            <v>108</v>
          </cell>
          <cell r="F183">
            <v>6</v>
          </cell>
          <cell r="G183">
            <v>6</v>
          </cell>
          <cell r="H183">
            <v>1922.6547039969535</v>
          </cell>
          <cell r="I183">
            <v>2509064.3887160243</v>
          </cell>
          <cell r="J183">
            <v>46464.155346593041</v>
          </cell>
          <cell r="K183">
            <v>62496</v>
          </cell>
          <cell r="L183">
            <v>36.124783736376884</v>
          </cell>
          <cell r="M183">
            <v>961.32735199847673</v>
          </cell>
          <cell r="N183">
            <v>2509064.3887160243</v>
          </cell>
          <cell r="O183">
            <v>46464.155346593041</v>
          </cell>
          <cell r="P183">
            <v>62496</v>
          </cell>
          <cell r="Q183">
            <v>36.124783736376884</v>
          </cell>
          <cell r="T183">
            <v>98055.389903844625</v>
          </cell>
          <cell r="W183">
            <v>1</v>
          </cell>
          <cell r="X183">
            <v>1</v>
          </cell>
          <cell r="Y183">
            <v>1</v>
          </cell>
          <cell r="Z183">
            <v>1</v>
          </cell>
          <cell r="AA183">
            <v>1</v>
          </cell>
          <cell r="AB183">
            <v>1</v>
          </cell>
        </row>
        <row r="184">
          <cell r="A184" t="str">
            <v>BUIS110x10</v>
          </cell>
          <cell r="B184" t="str">
            <v>110x10</v>
          </cell>
          <cell r="C184">
            <v>24.661502330679873</v>
          </cell>
          <cell r="D184">
            <v>110</v>
          </cell>
          <cell r="E184">
            <v>110</v>
          </cell>
          <cell r="F184">
            <v>10</v>
          </cell>
          <cell r="G184">
            <v>10</v>
          </cell>
          <cell r="H184">
            <v>3141.5926535897929</v>
          </cell>
          <cell r="I184">
            <v>3966260.7251571137</v>
          </cell>
          <cell r="J184">
            <v>72113.831366492974</v>
          </cell>
          <cell r="K184">
            <v>100333.33333333333</v>
          </cell>
          <cell r="L184">
            <v>35.531676008879735</v>
          </cell>
          <cell r="M184">
            <v>1570.7963267948965</v>
          </cell>
          <cell r="N184">
            <v>3966260.7251571137</v>
          </cell>
          <cell r="O184">
            <v>72113.831366492974</v>
          </cell>
          <cell r="P184">
            <v>100333.33333333333</v>
          </cell>
          <cell r="Q184">
            <v>35.531676008879735</v>
          </cell>
          <cell r="T184">
            <v>157079.63267948967</v>
          </cell>
          <cell r="W184">
            <v>1</v>
          </cell>
          <cell r="X184">
            <v>1</v>
          </cell>
          <cell r="Y184">
            <v>1</v>
          </cell>
          <cell r="Z184">
            <v>1</v>
          </cell>
          <cell r="AA184">
            <v>1</v>
          </cell>
          <cell r="AB184">
            <v>1</v>
          </cell>
        </row>
        <row r="185">
          <cell r="A185" t="str">
            <v>BUIS114,3x4</v>
          </cell>
          <cell r="B185" t="str">
            <v>114,3x4</v>
          </cell>
          <cell r="C185">
            <v>10.880654828295969</v>
          </cell>
          <cell r="D185">
            <v>114.3</v>
          </cell>
          <cell r="E185">
            <v>114.3</v>
          </cell>
          <cell r="F185">
            <v>4</v>
          </cell>
          <cell r="G185">
            <v>4</v>
          </cell>
          <cell r="H185">
            <v>1386.0706787638176</v>
          </cell>
          <cell r="I185">
            <v>2110654.7193827392</v>
          </cell>
          <cell r="J185">
            <v>36931.841109059307</v>
          </cell>
          <cell r="K185">
            <v>48685.693333333358</v>
          </cell>
          <cell r="L185">
            <v>39.022573595292251</v>
          </cell>
          <cell r="M185">
            <v>693.03533938190878</v>
          </cell>
          <cell r="N185">
            <v>2110654.7193827392</v>
          </cell>
          <cell r="O185">
            <v>36931.841109059307</v>
          </cell>
          <cell r="P185">
            <v>48685.693333333358</v>
          </cell>
          <cell r="Q185">
            <v>39.022573595292251</v>
          </cell>
          <cell r="T185">
            <v>76441.797933824491</v>
          </cell>
          <cell r="W185">
            <v>1</v>
          </cell>
          <cell r="X185">
            <v>1</v>
          </cell>
          <cell r="Y185">
            <v>2</v>
          </cell>
          <cell r="Z185">
            <v>1</v>
          </cell>
          <cell r="AA185">
            <v>1</v>
          </cell>
          <cell r="AB185">
            <v>2</v>
          </cell>
        </row>
        <row r="186">
          <cell r="A186" t="str">
            <v>BUIS114,3x5</v>
          </cell>
          <cell r="B186" t="str">
            <v>114,3x5</v>
          </cell>
          <cell r="C186">
            <v>13.477511023716552</v>
          </cell>
          <cell r="D186">
            <v>114.3</v>
          </cell>
          <cell r="E186">
            <v>114.3</v>
          </cell>
          <cell r="F186">
            <v>5</v>
          </cell>
          <cell r="G186">
            <v>5</v>
          </cell>
          <cell r="H186">
            <v>1716.880385186822</v>
          </cell>
          <cell r="I186">
            <v>2569202.0453075236</v>
          </cell>
          <cell r="J186">
            <v>44955.416365835932</v>
          </cell>
          <cell r="K186">
            <v>59774.116666666661</v>
          </cell>
          <cell r="L186">
            <v>38.683798288172277</v>
          </cell>
          <cell r="M186">
            <v>858.44019259341098</v>
          </cell>
          <cell r="N186">
            <v>2569202.0453075236</v>
          </cell>
          <cell r="O186">
            <v>44955.416365835932</v>
          </cell>
          <cell r="P186">
            <v>59774.116666666661</v>
          </cell>
          <cell r="Q186">
            <v>38.683798288172277</v>
          </cell>
          <cell r="T186">
            <v>93827.51305045982</v>
          </cell>
          <cell r="W186">
            <v>1</v>
          </cell>
          <cell r="X186">
            <v>1</v>
          </cell>
          <cell r="Y186">
            <v>1</v>
          </cell>
          <cell r="Z186">
            <v>1</v>
          </cell>
          <cell r="AA186">
            <v>1</v>
          </cell>
          <cell r="AB186">
            <v>1</v>
          </cell>
        </row>
        <row r="187">
          <cell r="A187" t="str">
            <v>BUIS114,3x6,3</v>
          </cell>
          <cell r="B187" t="str">
            <v>114,3x6,3</v>
          </cell>
          <cell r="C187">
            <v>16.779686185794581</v>
          </cell>
          <cell r="D187">
            <v>114.3</v>
          </cell>
          <cell r="E187">
            <v>114.3</v>
          </cell>
          <cell r="F187">
            <v>6.3</v>
          </cell>
          <cell r="G187">
            <v>6.3</v>
          </cell>
          <cell r="H187">
            <v>2137.5396415024943</v>
          </cell>
          <cell r="I187">
            <v>3127137.6658570403</v>
          </cell>
          <cell r="J187">
            <v>54718.069393823978</v>
          </cell>
          <cell r="K187">
            <v>73566.548999999955</v>
          </cell>
          <cell r="L187">
            <v>38.248676447689007</v>
          </cell>
          <cell r="M187">
            <v>1068.7698207512472</v>
          </cell>
          <cell r="N187">
            <v>3127137.6658570403</v>
          </cell>
          <cell r="O187">
            <v>54718.069393823978</v>
          </cell>
          <cell r="P187">
            <v>73566.548999999955</v>
          </cell>
          <cell r="Q187">
            <v>38.248676447689007</v>
          </cell>
          <cell r="T187">
            <v>115427.14064113473</v>
          </cell>
          <cell r="W187">
            <v>1</v>
          </cell>
          <cell r="X187">
            <v>1</v>
          </cell>
          <cell r="Y187">
            <v>1</v>
          </cell>
          <cell r="Z187">
            <v>1</v>
          </cell>
          <cell r="AA187">
            <v>1</v>
          </cell>
          <cell r="AB187">
            <v>1</v>
          </cell>
        </row>
        <row r="188">
          <cell r="A188" t="str">
            <v>BUIS139,7x3,2</v>
          </cell>
          <cell r="B188" t="str">
            <v>139,7x3,2</v>
          </cell>
          <cell r="C188">
            <v>10.772144218040973</v>
          </cell>
          <cell r="D188">
            <v>139.69999999999999</v>
          </cell>
          <cell r="E188">
            <v>139.69999999999999</v>
          </cell>
          <cell r="F188">
            <v>3.2</v>
          </cell>
          <cell r="G188">
            <v>3.2</v>
          </cell>
          <cell r="H188">
            <v>1372.2476710880221</v>
          </cell>
          <cell r="I188">
            <v>3197764.1857227162</v>
          </cell>
          <cell r="J188">
            <v>45780.446467039605</v>
          </cell>
          <cell r="K188">
            <v>59634.12266666667</v>
          </cell>
          <cell r="L188">
            <v>48.273297484219981</v>
          </cell>
          <cell r="M188">
            <v>686.12383554401106</v>
          </cell>
          <cell r="N188">
            <v>3197764.1857227162</v>
          </cell>
          <cell r="O188">
            <v>45780.446467039605</v>
          </cell>
          <cell r="P188">
            <v>59634.12266666667</v>
          </cell>
          <cell r="Q188">
            <v>48.273297484219981</v>
          </cell>
          <cell r="T188">
            <v>93655.903551757481</v>
          </cell>
          <cell r="W188">
            <v>1</v>
          </cell>
          <cell r="X188">
            <v>2</v>
          </cell>
          <cell r="Y188">
            <v>3</v>
          </cell>
          <cell r="Z188">
            <v>1</v>
          </cell>
          <cell r="AA188">
            <v>2</v>
          </cell>
          <cell r="AB188">
            <v>3</v>
          </cell>
        </row>
        <row r="189">
          <cell r="A189" t="str">
            <v>BUIS139,7x4,0</v>
          </cell>
          <cell r="B189" t="str">
            <v>139,7x4,0</v>
          </cell>
          <cell r="C189">
            <v>13.386263465093041</v>
          </cell>
          <cell r="D189">
            <v>139.69999999999999</v>
          </cell>
          <cell r="E189">
            <v>139.69999999999999</v>
          </cell>
          <cell r="F189">
            <v>4</v>
          </cell>
          <cell r="G189">
            <v>4</v>
          </cell>
          <cell r="H189">
            <v>1705.2564923685402</v>
          </cell>
          <cell r="I189">
            <v>3928589.0912541822</v>
          </cell>
          <cell r="J189">
            <v>56243.222494691232</v>
          </cell>
          <cell r="K189">
            <v>73679.293333333291</v>
          </cell>
          <cell r="L189">
            <v>47.998033813897003</v>
          </cell>
          <cell r="M189">
            <v>852.6282461842701</v>
          </cell>
          <cell r="N189">
            <v>3928589.0912541822</v>
          </cell>
          <cell r="O189">
            <v>56243.222494691232</v>
          </cell>
          <cell r="P189">
            <v>73679.293333333291</v>
          </cell>
          <cell r="Q189">
            <v>47.998033813897003</v>
          </cell>
          <cell r="T189">
            <v>115701.6530072054</v>
          </cell>
          <cell r="W189">
            <v>1</v>
          </cell>
          <cell r="X189">
            <v>2</v>
          </cell>
          <cell r="Y189">
            <v>2</v>
          </cell>
          <cell r="Z189">
            <v>1</v>
          </cell>
          <cell r="AA189">
            <v>2</v>
          </cell>
          <cell r="AB189">
            <v>2</v>
          </cell>
        </row>
        <row r="190">
          <cell r="A190" t="str">
            <v>BUIS139,7x5,6</v>
          </cell>
          <cell r="B190" t="str">
            <v>139,7x5,6</v>
          </cell>
          <cell r="C190">
            <v>18.519801790247339</v>
          </cell>
          <cell r="D190">
            <v>139.69999999999999</v>
          </cell>
          <cell r="E190">
            <v>139.69999999999999</v>
          </cell>
          <cell r="F190">
            <v>5.6</v>
          </cell>
          <cell r="G190">
            <v>5.6</v>
          </cell>
          <cell r="H190">
            <v>2359.2104191397884</v>
          </cell>
          <cell r="I190">
            <v>5312402.1945194239</v>
          </cell>
          <cell r="J190">
            <v>76054.433708223689</v>
          </cell>
          <cell r="K190">
            <v>100762.27466666652</v>
          </cell>
          <cell r="L190">
            <v>47.452831843842567</v>
          </cell>
          <cell r="M190">
            <v>1179.6052095698942</v>
          </cell>
          <cell r="N190">
            <v>5312402.1945194239</v>
          </cell>
          <cell r="O190">
            <v>76054.433708223689</v>
          </cell>
          <cell r="P190">
            <v>100762.27466666652</v>
          </cell>
          <cell r="Q190">
            <v>47.452831843842567</v>
          </cell>
          <cell r="T190">
            <v>158185.05860332295</v>
          </cell>
          <cell r="W190">
            <v>1</v>
          </cell>
          <cell r="X190">
            <v>1</v>
          </cell>
          <cell r="Y190">
            <v>1</v>
          </cell>
          <cell r="Z190">
            <v>1</v>
          </cell>
          <cell r="AA190">
            <v>1</v>
          </cell>
          <cell r="AB190">
            <v>1</v>
          </cell>
        </row>
        <row r="191">
          <cell r="A191" t="str">
            <v>BUIS139,7x6,3</v>
          </cell>
          <cell r="B191" t="str">
            <v>139,7x6,3</v>
          </cell>
          <cell r="C191">
            <v>20.726019788749969</v>
          </cell>
          <cell r="D191">
            <v>139.69999999999999</v>
          </cell>
          <cell r="E191">
            <v>139.69999999999999</v>
          </cell>
          <cell r="F191">
            <v>6.3</v>
          </cell>
          <cell r="G191">
            <v>6.3</v>
          </cell>
          <cell r="H191">
            <v>2640.2572979299325</v>
          </cell>
          <cell r="I191">
            <v>5886206.121613102</v>
          </cell>
          <cell r="J191">
            <v>84269.235814074476</v>
          </cell>
          <cell r="K191">
            <v>112195.37699999991</v>
          </cell>
          <cell r="L191">
            <v>47.216588716255217</v>
          </cell>
          <cell r="M191">
            <v>1320.1286489649663</v>
          </cell>
          <cell r="N191">
            <v>5886206.121613102</v>
          </cell>
          <cell r="O191">
            <v>84269.235814074476</v>
          </cell>
          <cell r="P191">
            <v>112195.37699999991</v>
          </cell>
          <cell r="Q191">
            <v>47.216588716255217</v>
          </cell>
          <cell r="T191">
            <v>176105.16177192653</v>
          </cell>
          <cell r="W191">
            <v>1</v>
          </cell>
          <cell r="X191">
            <v>1</v>
          </cell>
          <cell r="Y191">
            <v>1</v>
          </cell>
          <cell r="Z191">
            <v>1</v>
          </cell>
          <cell r="AA191">
            <v>1</v>
          </cell>
          <cell r="AB191">
            <v>1</v>
          </cell>
        </row>
        <row r="192">
          <cell r="A192" t="str">
            <v>BUIS139,7x7,1</v>
          </cell>
          <cell r="B192" t="str">
            <v>139,7x7,1</v>
          </cell>
          <cell r="C192">
            <v>23.217817984241879</v>
          </cell>
          <cell r="D192">
            <v>139.69999999999999</v>
          </cell>
          <cell r="E192">
            <v>139.69999999999999</v>
          </cell>
          <cell r="F192">
            <v>7.1</v>
          </cell>
          <cell r="G192">
            <v>7.1</v>
          </cell>
          <cell r="H192">
            <v>2957.6838196486469</v>
          </cell>
          <cell r="I192">
            <v>6519167.6997642396</v>
          </cell>
          <cell r="J192">
            <v>93330.96205818525</v>
          </cell>
          <cell r="K192">
            <v>124956.89966666664</v>
          </cell>
          <cell r="L192">
            <v>46.948335966251236</v>
          </cell>
          <cell r="M192">
            <v>1478.8419098243235</v>
          </cell>
          <cell r="N192">
            <v>6519167.6997642396</v>
          </cell>
          <cell r="O192">
            <v>93330.96205818525</v>
          </cell>
          <cell r="P192">
            <v>124956.89966666664</v>
          </cell>
          <cell r="Q192">
            <v>46.948335966251236</v>
          </cell>
          <cell r="T192">
            <v>196094.43724270523</v>
          </cell>
          <cell r="W192">
            <v>1</v>
          </cell>
          <cell r="X192">
            <v>1</v>
          </cell>
          <cell r="Y192">
            <v>1</v>
          </cell>
          <cell r="Z192">
            <v>1</v>
          </cell>
          <cell r="AA192">
            <v>1</v>
          </cell>
          <cell r="AB192">
            <v>1</v>
          </cell>
        </row>
        <row r="193">
          <cell r="A193" t="str">
            <v>BUIS139,7x8,0</v>
          </cell>
          <cell r="B193" t="str">
            <v>139,7x8,0</v>
          </cell>
          <cell r="C193">
            <v>25.983358855604312</v>
          </cell>
          <cell r="D193">
            <v>139.69999999999999</v>
          </cell>
          <cell r="E193">
            <v>139.69999999999999</v>
          </cell>
          <cell r="F193">
            <v>8</v>
          </cell>
          <cell r="G193">
            <v>8</v>
          </cell>
          <cell r="H193">
            <v>3309.9820198222055</v>
          </cell>
          <cell r="I193">
            <v>7202889.1106328228</v>
          </cell>
          <cell r="J193">
            <v>103119.38597899533</v>
          </cell>
          <cell r="K193">
            <v>138929.78666666662</v>
          </cell>
          <cell r="L193">
            <v>46.648807594621317</v>
          </cell>
          <cell r="M193">
            <v>1654.9910099111028</v>
          </cell>
          <cell r="N193">
            <v>7202889.1106328228</v>
          </cell>
          <cell r="O193">
            <v>103119.38597899533</v>
          </cell>
          <cell r="P193">
            <v>138929.78666666662</v>
          </cell>
          <cell r="Q193">
            <v>46.648807594621317</v>
          </cell>
          <cell r="T193">
            <v>217962.3160052922</v>
          </cell>
          <cell r="W193">
            <v>1</v>
          </cell>
          <cell r="X193">
            <v>1</v>
          </cell>
          <cell r="Y193">
            <v>1</v>
          </cell>
          <cell r="Z193">
            <v>1</v>
          </cell>
          <cell r="AA193">
            <v>1</v>
          </cell>
          <cell r="AB193">
            <v>1</v>
          </cell>
        </row>
        <row r="194">
          <cell r="A194" t="str">
            <v>BUIS139,7x10,0</v>
          </cell>
          <cell r="B194" t="str">
            <v>139,7x10,0</v>
          </cell>
          <cell r="C194">
            <v>31.985968522891799</v>
          </cell>
          <cell r="D194">
            <v>139.69999999999999</v>
          </cell>
          <cell r="E194">
            <v>139.69999999999999</v>
          </cell>
          <cell r="F194">
            <v>10</v>
          </cell>
          <cell r="G194">
            <v>10</v>
          </cell>
          <cell r="H194">
            <v>4074.6456717059618</v>
          </cell>
          <cell r="I194">
            <v>8618940.0968398396</v>
          </cell>
          <cell r="J194">
            <v>123392.1273706491</v>
          </cell>
          <cell r="K194">
            <v>168554.23333333328</v>
          </cell>
          <cell r="L194">
            <v>45.991969407712901</v>
          </cell>
          <cell r="M194">
            <v>2037.3228358529809</v>
          </cell>
          <cell r="N194">
            <v>8618940.0968398396</v>
          </cell>
          <cell r="O194">
            <v>123392.1273706491</v>
          </cell>
          <cell r="P194">
            <v>168554.23333333328</v>
          </cell>
          <cell r="Q194">
            <v>45.991969407712901</v>
          </cell>
          <cell r="T194">
            <v>264240.77181013155</v>
          </cell>
          <cell r="W194">
            <v>1</v>
          </cell>
          <cell r="X194">
            <v>1</v>
          </cell>
          <cell r="Y194">
            <v>1</v>
          </cell>
          <cell r="Z194">
            <v>1</v>
          </cell>
          <cell r="AA194">
            <v>1</v>
          </cell>
          <cell r="AB194">
            <v>1</v>
          </cell>
        </row>
        <row r="195">
          <cell r="A195" t="str">
            <v>BUIS139,7x12,5</v>
          </cell>
          <cell r="B195" t="str">
            <v>139,7x12,5</v>
          </cell>
          <cell r="C195">
            <v>39.211788705780997</v>
          </cell>
          <cell r="D195">
            <v>139.69999999999999</v>
          </cell>
          <cell r="E195">
            <v>139.69999999999999</v>
          </cell>
          <cell r="F195">
            <v>12.5</v>
          </cell>
          <cell r="G195">
            <v>12.5</v>
          </cell>
          <cell r="H195">
            <v>4995.1323192077707</v>
          </cell>
          <cell r="I195">
            <v>10200116.391060857</v>
          </cell>
          <cell r="J195">
            <v>146028.86744539524</v>
          </cell>
          <cell r="K195">
            <v>202899.04166666663</v>
          </cell>
          <cell r="L195">
            <v>45.188618589197873</v>
          </cell>
          <cell r="M195">
            <v>2497.5661596038854</v>
          </cell>
          <cell r="N195">
            <v>10200116.391060857</v>
          </cell>
          <cell r="O195">
            <v>146028.86744539524</v>
          </cell>
          <cell r="P195">
            <v>202899.04166666663</v>
          </cell>
          <cell r="Q195">
            <v>45.188618589197873</v>
          </cell>
          <cell r="T195">
            <v>317690.41550161422</v>
          </cell>
          <cell r="W195">
            <v>1</v>
          </cell>
          <cell r="X195">
            <v>1</v>
          </cell>
          <cell r="Y195">
            <v>1</v>
          </cell>
          <cell r="Z195">
            <v>1</v>
          </cell>
          <cell r="AA195">
            <v>1</v>
          </cell>
          <cell r="AB195">
            <v>1</v>
          </cell>
        </row>
        <row r="196">
          <cell r="A196" t="str">
            <v>BUIS139,7x14,2</v>
          </cell>
          <cell r="B196" t="str">
            <v>139,7x14,2</v>
          </cell>
          <cell r="C196">
            <v>43.949263303504608</v>
          </cell>
          <cell r="D196">
            <v>139.69999999999999</v>
          </cell>
          <cell r="E196">
            <v>139.69999999999999</v>
          </cell>
          <cell r="F196">
            <v>14.2</v>
          </cell>
          <cell r="G196">
            <v>14.2</v>
          </cell>
          <cell r="H196">
            <v>5598.63226796237</v>
          </cell>
          <cell r="I196">
            <v>11163595.761123279</v>
          </cell>
          <cell r="J196">
            <v>159822.41605044066</v>
          </cell>
          <cell r="K196">
            <v>224607.97933333329</v>
          </cell>
          <cell r="L196">
            <v>44.654073162478689</v>
          </cell>
          <cell r="M196">
            <v>2799.316133981185</v>
          </cell>
          <cell r="N196">
            <v>11163595.761123279</v>
          </cell>
          <cell r="O196">
            <v>159822.41605044066</v>
          </cell>
          <cell r="P196">
            <v>224607.97933333329</v>
          </cell>
          <cell r="Q196">
            <v>44.654073162478689</v>
          </cell>
          <cell r="T196">
            <v>351314.17481463862</v>
          </cell>
          <cell r="W196">
            <v>1</v>
          </cell>
          <cell r="X196">
            <v>1</v>
          </cell>
          <cell r="Y196">
            <v>1</v>
          </cell>
          <cell r="Z196">
            <v>1</v>
          </cell>
          <cell r="AA196">
            <v>1</v>
          </cell>
          <cell r="AB196">
            <v>1</v>
          </cell>
        </row>
        <row r="197">
          <cell r="A197" t="str">
            <v>BUIS139,7x16,0</v>
          </cell>
          <cell r="B197" t="str">
            <v>139,7x16,0</v>
          </cell>
          <cell r="C197">
            <v>48.810045412881607</v>
          </cell>
          <cell r="D197">
            <v>139.69999999999999</v>
          </cell>
          <cell r="E197">
            <v>139.69999999999999</v>
          </cell>
          <cell r="F197">
            <v>16</v>
          </cell>
          <cell r="G197">
            <v>16</v>
          </cell>
          <cell r="H197">
            <v>6217.840179984918</v>
          </cell>
          <cell r="I197">
            <v>12091903.748718692</v>
          </cell>
          <cell r="J197">
            <v>173112.43734744014</v>
          </cell>
          <cell r="K197">
            <v>246192.37333333326</v>
          </cell>
          <cell r="L197">
            <v>44.098880371274731</v>
          </cell>
          <cell r="M197">
            <v>3108.920089992459</v>
          </cell>
          <cell r="N197">
            <v>12091903.748718692</v>
          </cell>
          <cell r="O197">
            <v>173112.43734744014</v>
          </cell>
          <cell r="P197">
            <v>246192.37333333326</v>
          </cell>
          <cell r="Q197">
            <v>44.098880371274731</v>
          </cell>
          <cell r="T197">
            <v>384573.41513206711</v>
          </cell>
          <cell r="W197">
            <v>1</v>
          </cell>
          <cell r="X197">
            <v>1</v>
          </cell>
          <cell r="Y197">
            <v>1</v>
          </cell>
          <cell r="Z197">
            <v>1</v>
          </cell>
          <cell r="AA197">
            <v>1</v>
          </cell>
          <cell r="AB197">
            <v>1</v>
          </cell>
        </row>
        <row r="198">
          <cell r="A198" t="str">
            <v>BUIS139,7x17,5</v>
          </cell>
          <cell r="B198" t="str">
            <v>139,7x17,5</v>
          </cell>
          <cell r="C198">
            <v>52.738622734158909</v>
          </cell>
          <cell r="D198">
            <v>139.69999999999999</v>
          </cell>
          <cell r="E198">
            <v>139.69999999999999</v>
          </cell>
          <cell r="F198">
            <v>17.5</v>
          </cell>
          <cell r="G198">
            <v>17.5</v>
          </cell>
          <cell r="H198">
            <v>6718.2958897017716</v>
          </cell>
          <cell r="I198">
            <v>12797589.463724418</v>
          </cell>
          <cell r="J198">
            <v>183215.31086219641</v>
          </cell>
          <cell r="K198">
            <v>263111.15833333327</v>
          </cell>
          <cell r="L198">
            <v>43.645002577614768</v>
          </cell>
          <cell r="M198">
            <v>3359.1479448508858</v>
          </cell>
          <cell r="N198">
            <v>12797589.463724418</v>
          </cell>
          <cell r="O198">
            <v>183215.31086219641</v>
          </cell>
          <cell r="P198">
            <v>263111.15833333327</v>
          </cell>
          <cell r="Q198">
            <v>43.645002577614768</v>
          </cell>
          <cell r="T198">
            <v>410487.87886077823</v>
          </cell>
          <cell r="W198">
            <v>1</v>
          </cell>
          <cell r="X198">
            <v>1</v>
          </cell>
          <cell r="Y198">
            <v>1</v>
          </cell>
          <cell r="Z198">
            <v>1</v>
          </cell>
          <cell r="AA198">
            <v>1</v>
          </cell>
          <cell r="AB198">
            <v>1</v>
          </cell>
        </row>
        <row r="199">
          <cell r="A199" t="str">
            <v>BUIS139,7x20,0</v>
          </cell>
          <cell r="B199" t="str">
            <v>139,7x20,0</v>
          </cell>
          <cell r="C199">
            <v>59.039636579647613</v>
          </cell>
          <cell r="D199">
            <v>139.69999999999999</v>
          </cell>
          <cell r="E199">
            <v>139.69999999999999</v>
          </cell>
          <cell r="F199">
            <v>20</v>
          </cell>
          <cell r="G199">
            <v>20</v>
          </cell>
          <cell r="H199">
            <v>7520.9728126939635</v>
          </cell>
          <cell r="I199">
            <v>13846195.559113726</v>
          </cell>
          <cell r="J199">
            <v>198227.56705960954</v>
          </cell>
          <cell r="K199">
            <v>289228.46666666656</v>
          </cell>
          <cell r="L199">
            <v>42.907007003518665</v>
          </cell>
          <cell r="M199">
            <v>3760.4864063469818</v>
          </cell>
          <cell r="N199">
            <v>13846195.559113726</v>
          </cell>
          <cell r="O199">
            <v>198227.56705960954</v>
          </cell>
          <cell r="P199">
            <v>289228.46666666656</v>
          </cell>
          <cell r="Q199">
            <v>42.907007003518665</v>
          </cell>
          <cell r="T199">
            <v>450130.2228397337</v>
          </cell>
          <cell r="W199">
            <v>1</v>
          </cell>
          <cell r="X199">
            <v>1</v>
          </cell>
          <cell r="Y199">
            <v>1</v>
          </cell>
          <cell r="Z199">
            <v>1</v>
          </cell>
          <cell r="AA199">
            <v>1</v>
          </cell>
          <cell r="AB199">
            <v>1</v>
          </cell>
        </row>
        <row r="200">
          <cell r="A200" t="str">
            <v>BUIS139,7x25,0</v>
          </cell>
          <cell r="B200" t="str">
            <v>139,7x25,0</v>
          </cell>
          <cell r="C200">
            <v>70.716857933224546</v>
          </cell>
          <cell r="D200">
            <v>139.69999999999999</v>
          </cell>
          <cell r="E200">
            <v>139.69999999999999</v>
          </cell>
          <cell r="F200">
            <v>25</v>
          </cell>
          <cell r="G200">
            <v>25</v>
          </cell>
          <cell r="H200">
            <v>9008.5169341687306</v>
          </cell>
          <cell r="I200">
            <v>15518397.829537917</v>
          </cell>
          <cell r="J200">
            <v>222167.47071636247</v>
          </cell>
          <cell r="K200">
            <v>334110.5833333332</v>
          </cell>
          <cell r="L200">
            <v>41.504653353569886</v>
          </cell>
          <cell r="M200">
            <v>4504.2584670843653</v>
          </cell>
          <cell r="N200">
            <v>15518397.829537917</v>
          </cell>
          <cell r="O200">
            <v>222167.47071636247</v>
          </cell>
          <cell r="P200">
            <v>334110.5833333332</v>
          </cell>
          <cell r="Q200">
            <v>41.504653353569886</v>
          </cell>
          <cell r="T200">
            <v>516638.44617457665</v>
          </cell>
          <cell r="W200">
            <v>1</v>
          </cell>
          <cell r="X200">
            <v>1</v>
          </cell>
          <cell r="Y200">
            <v>1</v>
          </cell>
          <cell r="Z200">
            <v>1</v>
          </cell>
          <cell r="AA200">
            <v>1</v>
          </cell>
          <cell r="AB200">
            <v>1</v>
          </cell>
        </row>
        <row r="201">
          <cell r="A201" t="str">
            <v>BUIS139,7x30,0</v>
          </cell>
          <cell r="B201" t="str">
            <v>139,7x30,0</v>
          </cell>
          <cell r="C201">
            <v>81.161004170267447</v>
          </cell>
          <cell r="D201">
            <v>139.69999999999999</v>
          </cell>
          <cell r="E201">
            <v>139.69999999999999</v>
          </cell>
          <cell r="F201">
            <v>30</v>
          </cell>
          <cell r="G201">
            <v>30</v>
          </cell>
          <cell r="H201">
            <v>10338.981422964007</v>
          </cell>
          <cell r="I201">
            <v>16715664.529118063</v>
          </cell>
          <cell r="J201">
            <v>239308.01043834022</v>
          </cell>
          <cell r="K201">
            <v>370022.6999999999</v>
          </cell>
          <cell r="L201">
            <v>40.208969770438031</v>
          </cell>
          <cell r="M201">
            <v>5169.4907114820035</v>
          </cell>
          <cell r="N201">
            <v>16715664.529118063</v>
          </cell>
          <cell r="O201">
            <v>239308.01043834022</v>
          </cell>
          <cell r="P201">
            <v>370022.6999999999</v>
          </cell>
          <cell r="Q201">
            <v>40.208969770438031</v>
          </cell>
          <cell r="T201">
            <v>567093.13104957575</v>
          </cell>
          <cell r="W201">
            <v>1</v>
          </cell>
          <cell r="X201">
            <v>1</v>
          </cell>
          <cell r="Y201">
            <v>1</v>
          </cell>
          <cell r="Z201">
            <v>1</v>
          </cell>
          <cell r="AA201">
            <v>1</v>
          </cell>
          <cell r="AB201">
            <v>1</v>
          </cell>
        </row>
        <row r="202">
          <cell r="A202" t="str">
            <v>BUIS139,7x36,0</v>
          </cell>
          <cell r="B202" t="str">
            <v>139,7x36,0</v>
          </cell>
          <cell r="C202">
            <v>92.066320500894108</v>
          </cell>
          <cell r="D202">
            <v>139.69999999999999</v>
          </cell>
          <cell r="E202">
            <v>139.69999999999999</v>
          </cell>
          <cell r="F202">
            <v>36</v>
          </cell>
          <cell r="G202">
            <v>36</v>
          </cell>
          <cell r="H202">
            <v>11728.193694381414</v>
          </cell>
          <cell r="I202">
            <v>17665137.284656342</v>
          </cell>
          <cell r="J202">
            <v>252901.03485549527</v>
          </cell>
          <cell r="K202">
            <v>402684.83999999985</v>
          </cell>
          <cell r="L202">
            <v>38.809937516053786</v>
          </cell>
          <cell r="M202">
            <v>5864.0968471907072</v>
          </cell>
          <cell r="N202">
            <v>17665137.284656342</v>
          </cell>
          <cell r="O202">
            <v>252901.03485549527</v>
          </cell>
          <cell r="P202">
            <v>402684.83999999985</v>
          </cell>
          <cell r="Q202">
            <v>38.809937516053786</v>
          </cell>
          <cell r="T202">
            <v>608106.84305367619</v>
          </cell>
          <cell r="W202">
            <v>1</v>
          </cell>
          <cell r="X202">
            <v>1</v>
          </cell>
          <cell r="Y202">
            <v>1</v>
          </cell>
          <cell r="Z202">
            <v>1</v>
          </cell>
          <cell r="AA202">
            <v>1</v>
          </cell>
          <cell r="AB202">
            <v>1</v>
          </cell>
        </row>
        <row r="203">
          <cell r="A203" t="str">
            <v>BUIS159x4,0</v>
          </cell>
          <cell r="B203" t="str">
            <v>159x4,0</v>
          </cell>
          <cell r="C203">
            <v>15.290131445021522</v>
          </cell>
          <cell r="D203">
            <v>159</v>
          </cell>
          <cell r="E203">
            <v>159</v>
          </cell>
          <cell r="F203">
            <v>4</v>
          </cell>
          <cell r="G203">
            <v>4</v>
          </cell>
          <cell r="H203">
            <v>1947.7874452256717</v>
          </cell>
          <cell r="I203">
            <v>5853344.7463337965</v>
          </cell>
          <cell r="J203">
            <v>73626.977941305624</v>
          </cell>
          <cell r="K203">
            <v>96121.333333333328</v>
          </cell>
          <cell r="L203">
            <v>54.81902042174778</v>
          </cell>
          <cell r="M203">
            <v>973.89372261283586</v>
          </cell>
          <cell r="N203">
            <v>5853344.7463337965</v>
          </cell>
          <cell r="O203">
            <v>73626.977941305624</v>
          </cell>
          <cell r="P203">
            <v>96121.333333333328</v>
          </cell>
          <cell r="Q203">
            <v>54.81902042174778</v>
          </cell>
          <cell r="T203">
            <v>150953.52700498956</v>
          </cell>
          <cell r="W203">
            <v>1</v>
          </cell>
          <cell r="X203">
            <v>2</v>
          </cell>
          <cell r="Y203">
            <v>3</v>
          </cell>
          <cell r="Z203">
            <v>1</v>
          </cell>
          <cell r="AA203">
            <v>2</v>
          </cell>
          <cell r="AB203">
            <v>3</v>
          </cell>
        </row>
        <row r="204">
          <cell r="A204" t="str">
            <v>BUIS159x4,5</v>
          </cell>
          <cell r="B204" t="str">
            <v>159x4,5</v>
          </cell>
          <cell r="C204">
            <v>17.145909495405185</v>
          </cell>
          <cell r="D204">
            <v>159</v>
          </cell>
          <cell r="E204">
            <v>159</v>
          </cell>
          <cell r="F204">
            <v>4.5</v>
          </cell>
          <cell r="G204">
            <v>4.5</v>
          </cell>
          <cell r="H204">
            <v>2184.1922924083037</v>
          </cell>
          <cell r="I204">
            <v>6522680.7452225722</v>
          </cell>
          <cell r="J204">
            <v>82046.29868204493</v>
          </cell>
          <cell r="K204">
            <v>107446.5</v>
          </cell>
          <cell r="L204">
            <v>54.647163695840611</v>
          </cell>
          <cell r="M204">
            <v>1092.0961462041519</v>
          </cell>
          <cell r="N204">
            <v>6522680.7452225722</v>
          </cell>
          <cell r="O204">
            <v>82046.29868204493</v>
          </cell>
          <cell r="P204">
            <v>107446.5</v>
          </cell>
          <cell r="Q204">
            <v>54.647163695840611</v>
          </cell>
          <cell r="T204">
            <v>168728.85458854144</v>
          </cell>
          <cell r="W204">
            <v>1</v>
          </cell>
          <cell r="X204">
            <v>2</v>
          </cell>
          <cell r="Y204">
            <v>2</v>
          </cell>
          <cell r="Z204">
            <v>1</v>
          </cell>
          <cell r="AA204">
            <v>2</v>
          </cell>
          <cell r="AB204">
            <v>2</v>
          </cell>
        </row>
        <row r="205">
          <cell r="A205" t="str">
            <v>BUIS159x5,6</v>
          </cell>
          <cell r="B205" t="str">
            <v>159x5,6</v>
          </cell>
          <cell r="C205">
            <v>21.185216962147219</v>
          </cell>
          <cell r="D205">
            <v>159</v>
          </cell>
          <cell r="E205">
            <v>159</v>
          </cell>
          <cell r="F205">
            <v>5.6</v>
          </cell>
          <cell r="G205">
            <v>5.6</v>
          </cell>
          <cell r="H205">
            <v>2698.7537531397729</v>
          </cell>
          <cell r="I205">
            <v>7948814.8481165282</v>
          </cell>
          <cell r="J205">
            <v>99985.09242913872</v>
          </cell>
          <cell r="K205">
            <v>131835.27466666652</v>
          </cell>
          <cell r="L205">
            <v>54.271217049187321</v>
          </cell>
          <cell r="M205">
            <v>1349.3768765698865</v>
          </cell>
          <cell r="N205">
            <v>7948814.8481165282</v>
          </cell>
          <cell r="O205">
            <v>99985.09242913872</v>
          </cell>
          <cell r="P205">
            <v>131835.27466666652</v>
          </cell>
          <cell r="Q205">
            <v>54.271217049187321</v>
          </cell>
          <cell r="T205">
            <v>206994.41286582084</v>
          </cell>
          <cell r="W205">
            <v>1</v>
          </cell>
          <cell r="X205">
            <v>1</v>
          </cell>
          <cell r="Y205">
            <v>2</v>
          </cell>
          <cell r="Z205">
            <v>1</v>
          </cell>
          <cell r="AA205">
            <v>1</v>
          </cell>
          <cell r="AB205">
            <v>2</v>
          </cell>
        </row>
        <row r="206">
          <cell r="A206" t="str">
            <v>BUIS159x6,3</v>
          </cell>
          <cell r="B206" t="str">
            <v>159x6,3</v>
          </cell>
          <cell r="C206">
            <v>23.724611857137329</v>
          </cell>
          <cell r="D206">
            <v>159</v>
          </cell>
          <cell r="E206">
            <v>159</v>
          </cell>
          <cell r="F206">
            <v>6.3</v>
          </cell>
          <cell r="G206">
            <v>6.3</v>
          </cell>
          <cell r="H206">
            <v>3022.2435486799145</v>
          </cell>
          <cell r="I206">
            <v>8823810.265205726</v>
          </cell>
          <cell r="J206">
            <v>110991.32409063807</v>
          </cell>
          <cell r="K206">
            <v>146982.27599999993</v>
          </cell>
          <cell r="L206">
            <v>54.03353125606359</v>
          </cell>
          <cell r="M206">
            <v>1511.1217743399573</v>
          </cell>
          <cell r="N206">
            <v>8823810.265205726</v>
          </cell>
          <cell r="O206">
            <v>110991.32409063807</v>
          </cell>
          <cell r="P206">
            <v>146982.27599999993</v>
          </cell>
          <cell r="Q206">
            <v>54.03353125606359</v>
          </cell>
          <cell r="T206">
            <v>230748.29494171162</v>
          </cell>
          <cell r="W206">
            <v>1</v>
          </cell>
          <cell r="X206">
            <v>1</v>
          </cell>
          <cell r="Y206">
            <v>1</v>
          </cell>
          <cell r="Z206">
            <v>1</v>
          </cell>
          <cell r="AA206">
            <v>1</v>
          </cell>
          <cell r="AB206">
            <v>1</v>
          </cell>
        </row>
        <row r="207">
          <cell r="A207" t="str">
            <v>BUIS159x7,1</v>
          </cell>
          <cell r="B207" t="str">
            <v>159x7,1</v>
          </cell>
          <cell r="C207">
            <v>26.597183648614909</v>
          </cell>
          <cell r="D207">
            <v>159</v>
          </cell>
          <cell r="E207">
            <v>159</v>
          </cell>
          <cell r="F207">
            <v>7.1</v>
          </cell>
          <cell r="G207">
            <v>7.1</v>
          </cell>
          <cell r="H207">
            <v>3388.1762609700522</v>
          </cell>
          <cell r="I207">
            <v>9793531.9527745917</v>
          </cell>
          <cell r="J207">
            <v>123189.081166976</v>
          </cell>
          <cell r="K207">
            <v>163941.93466666652</v>
          </cell>
          <cell r="L207">
            <v>53.763393680086836</v>
          </cell>
          <cell r="M207">
            <v>1694.0881304850261</v>
          </cell>
          <cell r="N207">
            <v>9793531.9527745917</v>
          </cell>
          <cell r="O207">
            <v>123189.081166976</v>
          </cell>
          <cell r="P207">
            <v>163941.93466666652</v>
          </cell>
          <cell r="Q207">
            <v>53.763393680086836</v>
          </cell>
          <cell r="T207">
            <v>257331.98702067576</v>
          </cell>
          <cell r="W207">
            <v>1</v>
          </cell>
          <cell r="X207">
            <v>1</v>
          </cell>
          <cell r="Y207">
            <v>1</v>
          </cell>
          <cell r="Z207">
            <v>1</v>
          </cell>
          <cell r="AA207">
            <v>1</v>
          </cell>
          <cell r="AB207">
            <v>1</v>
          </cell>
        </row>
        <row r="208">
          <cell r="A208" t="str">
            <v>BUIS159x8,0</v>
          </cell>
          <cell r="B208" t="str">
            <v>159x8,0</v>
          </cell>
          <cell r="C208">
            <v>29.791094815461289</v>
          </cell>
          <cell r="D208">
            <v>159</v>
          </cell>
          <cell r="E208">
            <v>159</v>
          </cell>
          <cell r="F208">
            <v>8</v>
          </cell>
          <cell r="G208">
            <v>8</v>
          </cell>
          <cell r="H208">
            <v>3795.0439255364699</v>
          </cell>
          <cell r="I208">
            <v>10846709.919673923</v>
          </cell>
          <cell r="J208">
            <v>136436.60276319401</v>
          </cell>
          <cell r="K208">
            <v>182578.66666666666</v>
          </cell>
          <cell r="L208">
            <v>53.461434698294433</v>
          </cell>
          <cell r="M208">
            <v>1897.521962768235</v>
          </cell>
          <cell r="N208">
            <v>10846709.919673923</v>
          </cell>
          <cell r="O208">
            <v>136436.60276319401</v>
          </cell>
          <cell r="P208">
            <v>182578.66666666666</v>
          </cell>
          <cell r="Q208">
            <v>53.461434698294433</v>
          </cell>
          <cell r="T208">
            <v>286525.81637800351</v>
          </cell>
          <cell r="W208">
            <v>1</v>
          </cell>
          <cell r="X208">
            <v>1</v>
          </cell>
          <cell r="Y208">
            <v>1</v>
          </cell>
          <cell r="Z208">
            <v>1</v>
          </cell>
          <cell r="AA208">
            <v>1</v>
          </cell>
          <cell r="AB208">
            <v>1</v>
          </cell>
        </row>
        <row r="209">
          <cell r="A209" t="str">
            <v>BUIS159x10,0</v>
          </cell>
          <cell r="B209" t="str">
            <v>159x10,0</v>
          </cell>
          <cell r="C209">
            <v>36.745638472713019</v>
          </cell>
          <cell r="D209">
            <v>159</v>
          </cell>
          <cell r="E209">
            <v>159</v>
          </cell>
          <cell r="F209">
            <v>10</v>
          </cell>
          <cell r="G209">
            <v>10</v>
          </cell>
          <cell r="H209">
            <v>4680.973053848792</v>
          </cell>
          <cell r="I209">
            <v>13048797.509235239</v>
          </cell>
          <cell r="J209">
            <v>164135.8177262294</v>
          </cell>
          <cell r="K209">
            <v>222343.33333333334</v>
          </cell>
          <cell r="L209">
            <v>52.79796397589589</v>
          </cell>
          <cell r="M209">
            <v>2340.486526924396</v>
          </cell>
          <cell r="N209">
            <v>13048797.509235239</v>
          </cell>
          <cell r="O209">
            <v>164135.8177262294</v>
          </cell>
          <cell r="P209">
            <v>222343.33333333334</v>
          </cell>
          <cell r="Q209">
            <v>52.79796397589589</v>
          </cell>
          <cell r="T209">
            <v>348732.49251173495</v>
          </cell>
          <cell r="W209">
            <v>1</v>
          </cell>
          <cell r="X209">
            <v>1</v>
          </cell>
          <cell r="Y209">
            <v>1</v>
          </cell>
          <cell r="Z209">
            <v>1</v>
          </cell>
          <cell r="AA209">
            <v>1</v>
          </cell>
          <cell r="AB209">
            <v>1</v>
          </cell>
        </row>
        <row r="210">
          <cell r="A210" t="str">
            <v>BUIS159x12,5</v>
          </cell>
          <cell r="B210" t="str">
            <v>159x12,5</v>
          </cell>
          <cell r="C210">
            <v>45.161376143057524</v>
          </cell>
          <cell r="D210">
            <v>159</v>
          </cell>
          <cell r="E210">
            <v>159</v>
          </cell>
          <cell r="F210">
            <v>12.5</v>
          </cell>
          <cell r="G210">
            <v>12.5</v>
          </cell>
          <cell r="H210">
            <v>5753.0415468863084</v>
          </cell>
          <cell r="I210">
            <v>15546516.085170208</v>
          </cell>
          <cell r="J210">
            <v>195553.66144868184</v>
          </cell>
          <cell r="K210">
            <v>268929.16666666669</v>
          </cell>
          <cell r="L210">
            <v>51.983771506115254</v>
          </cell>
          <cell r="M210">
            <v>2876.5207734431542</v>
          </cell>
          <cell r="N210">
            <v>15546516.085170208</v>
          </cell>
          <cell r="O210">
            <v>195553.66144868184</v>
          </cell>
          <cell r="P210">
            <v>268929.16666666669</v>
          </cell>
          <cell r="Q210">
            <v>51.983771506115254</v>
          </cell>
          <cell r="T210">
            <v>421410.29330942209</v>
          </cell>
          <cell r="W210">
            <v>1</v>
          </cell>
          <cell r="X210">
            <v>1</v>
          </cell>
          <cell r="Y210">
            <v>1</v>
          </cell>
          <cell r="Z210">
            <v>1</v>
          </cell>
          <cell r="AA210">
            <v>1</v>
          </cell>
          <cell r="AB210">
            <v>1</v>
          </cell>
        </row>
        <row r="211">
          <cell r="A211" t="str">
            <v>BUIS159x14,2</v>
          </cell>
          <cell r="B211" t="str">
            <v>159x14,2</v>
          </cell>
          <cell r="C211">
            <v>50.707994632250752</v>
          </cell>
          <cell r="D211">
            <v>159</v>
          </cell>
          <cell r="E211">
            <v>159</v>
          </cell>
          <cell r="F211">
            <v>14.2</v>
          </cell>
          <cell r="G211">
            <v>14.2</v>
          </cell>
          <cell r="H211">
            <v>6459.6171506051915</v>
          </cell>
          <cell r="I211">
            <v>17092696.047959134</v>
          </cell>
          <cell r="J211">
            <v>215002.46601206457</v>
          </cell>
          <cell r="K211">
            <v>298686.39733333344</v>
          </cell>
          <cell r="L211">
            <v>51.440110808589822</v>
          </cell>
          <cell r="M211">
            <v>3229.8085753025957</v>
          </cell>
          <cell r="N211">
            <v>17092696.047959134</v>
          </cell>
          <cell r="O211">
            <v>215002.46601206457</v>
          </cell>
          <cell r="P211">
            <v>298686.39733333344</v>
          </cell>
          <cell r="Q211">
            <v>51.440110808589822</v>
          </cell>
          <cell r="T211">
            <v>467676.28170381574</v>
          </cell>
          <cell r="W211">
            <v>1</v>
          </cell>
          <cell r="X211">
            <v>1</v>
          </cell>
          <cell r="Y211">
            <v>1</v>
          </cell>
          <cell r="Z211">
            <v>1</v>
          </cell>
          <cell r="AA211">
            <v>1</v>
          </cell>
          <cell r="AB211">
            <v>1</v>
          </cell>
        </row>
        <row r="212">
          <cell r="A212" t="str">
            <v>BUIS159x16,0</v>
          </cell>
          <cell r="B212" t="str">
            <v>159x16,0</v>
          </cell>
          <cell r="C212">
            <v>56.425517332595554</v>
          </cell>
          <cell r="D212">
            <v>159</v>
          </cell>
          <cell r="E212">
            <v>159</v>
          </cell>
          <cell r="F212">
            <v>16</v>
          </cell>
          <cell r="G212">
            <v>16</v>
          </cell>
          <cell r="H212">
            <v>7187.9639914134468</v>
          </cell>
          <cell r="I212">
            <v>18603349.305276927</v>
          </cell>
          <cell r="J212">
            <v>234004.39377706827</v>
          </cell>
          <cell r="K212">
            <v>328549.33333333331</v>
          </cell>
          <cell r="L212">
            <v>50.873617917344937</v>
          </cell>
          <cell r="M212">
            <v>3593.9819957067234</v>
          </cell>
          <cell r="N212">
            <v>18603349.305276927</v>
          </cell>
          <cell r="O212">
            <v>234004.39377706827</v>
          </cell>
          <cell r="P212">
            <v>328549.33333333331</v>
          </cell>
          <cell r="Q212">
            <v>50.873617917344937</v>
          </cell>
          <cell r="T212">
            <v>513939.42538606143</v>
          </cell>
          <cell r="W212">
            <v>1</v>
          </cell>
          <cell r="X212">
            <v>1</v>
          </cell>
          <cell r="Y212">
            <v>1</v>
          </cell>
          <cell r="Z212">
            <v>1</v>
          </cell>
          <cell r="AA212">
            <v>1</v>
          </cell>
          <cell r="AB212">
            <v>1</v>
          </cell>
        </row>
        <row r="213">
          <cell r="A213" t="str">
            <v>BUIS159x17,5</v>
          </cell>
          <cell r="B213" t="str">
            <v>159x17,5</v>
          </cell>
          <cell r="C213">
            <v>61.068045146346037</v>
          </cell>
          <cell r="D213">
            <v>159</v>
          </cell>
          <cell r="E213">
            <v>159</v>
          </cell>
          <cell r="F213">
            <v>17.5</v>
          </cell>
          <cell r="G213">
            <v>17.5</v>
          </cell>
          <cell r="H213">
            <v>7779.3688084517253</v>
          </cell>
          <cell r="I213">
            <v>19767862.352826361</v>
          </cell>
          <cell r="J213">
            <v>248652.3566393253</v>
          </cell>
          <cell r="K213">
            <v>352175.83333333331</v>
          </cell>
          <cell r="L213">
            <v>50.408952577890368</v>
          </cell>
          <cell r="M213">
            <v>3889.6844042258626</v>
          </cell>
          <cell r="N213">
            <v>19767862.352826361</v>
          </cell>
          <cell r="O213">
            <v>248652.3566393253</v>
          </cell>
          <cell r="P213">
            <v>352175.83333333331</v>
          </cell>
          <cell r="Q213">
            <v>50.408952577890368</v>
          </cell>
          <cell r="T213">
            <v>550390.34319795948</v>
          </cell>
          <cell r="W213">
            <v>1</v>
          </cell>
          <cell r="X213">
            <v>1</v>
          </cell>
          <cell r="Y213">
            <v>1</v>
          </cell>
          <cell r="Z213">
            <v>1</v>
          </cell>
          <cell r="AA213">
            <v>1</v>
          </cell>
          <cell r="AB213">
            <v>1</v>
          </cell>
        </row>
        <row r="214">
          <cell r="A214" t="str">
            <v>BUIS159x20,0</v>
          </cell>
          <cell r="B214" t="str">
            <v>159x20,0</v>
          </cell>
          <cell r="C214">
            <v>68.558976479290052</v>
          </cell>
          <cell r="D214">
            <v>159</v>
          </cell>
          <cell r="E214">
            <v>159</v>
          </cell>
          <cell r="F214">
            <v>20</v>
          </cell>
          <cell r="G214">
            <v>20</v>
          </cell>
          <cell r="H214">
            <v>8733.6275769796248</v>
          </cell>
          <cell r="I214">
            <v>21529483.680701897</v>
          </cell>
          <cell r="J214">
            <v>270811.11548052699</v>
          </cell>
          <cell r="K214">
            <v>389086.66666666669</v>
          </cell>
          <cell r="L214">
            <v>49.650025176227253</v>
          </cell>
          <cell r="M214">
            <v>4366.8137884898124</v>
          </cell>
          <cell r="N214">
            <v>21529483.680701897</v>
          </cell>
          <cell r="O214">
            <v>270811.11548052699</v>
          </cell>
          <cell r="P214">
            <v>389086.66666666669</v>
          </cell>
          <cell r="Q214">
            <v>49.650025176227253</v>
          </cell>
          <cell r="T214">
            <v>606987.11660008389</v>
          </cell>
          <cell r="W214">
            <v>1</v>
          </cell>
          <cell r="X214">
            <v>1</v>
          </cell>
          <cell r="Y214">
            <v>1</v>
          </cell>
          <cell r="Z214">
            <v>1</v>
          </cell>
          <cell r="AA214">
            <v>1</v>
          </cell>
          <cell r="AB214">
            <v>1</v>
          </cell>
        </row>
        <row r="215">
          <cell r="A215" t="str">
            <v>BUIS159x22,2</v>
          </cell>
          <cell r="B215" t="str">
            <v>159x22,2</v>
          </cell>
          <cell r="C215">
            <v>74.895996118181557</v>
          </cell>
          <cell r="D215">
            <v>159</v>
          </cell>
          <cell r="E215">
            <v>159</v>
          </cell>
          <cell r="F215">
            <v>22.2</v>
          </cell>
          <cell r="G215">
            <v>22.2</v>
          </cell>
          <cell r="H215">
            <v>9540.8912252460595</v>
          </cell>
          <cell r="I215">
            <v>22906582.629324883</v>
          </cell>
          <cell r="J215">
            <v>288133.11483427527</v>
          </cell>
          <cell r="K215">
            <v>419103.14400000003</v>
          </cell>
          <cell r="L215">
            <v>48.998826516560577</v>
          </cell>
          <cell r="M215">
            <v>4770.4456126230298</v>
          </cell>
          <cell r="N215">
            <v>22906582.629324883</v>
          </cell>
          <cell r="O215">
            <v>288133.11483427527</v>
          </cell>
          <cell r="P215">
            <v>419103.14400000003</v>
          </cell>
          <cell r="Q215">
            <v>48.998826516560577</v>
          </cell>
          <cell r="T215">
            <v>652596.95980683039</v>
          </cell>
          <cell r="W215">
            <v>1</v>
          </cell>
          <cell r="X215">
            <v>1</v>
          </cell>
          <cell r="Y215">
            <v>1</v>
          </cell>
          <cell r="Z215">
            <v>1</v>
          </cell>
          <cell r="AA215">
            <v>1</v>
          </cell>
          <cell r="AB215">
            <v>1</v>
          </cell>
        </row>
        <row r="216">
          <cell r="A216" t="str">
            <v>BUIS159x25,0</v>
          </cell>
          <cell r="B216" t="str">
            <v>159x25,0</v>
          </cell>
          <cell r="C216">
            <v>82.6160328077776</v>
          </cell>
          <cell r="D216">
            <v>159</v>
          </cell>
          <cell r="E216">
            <v>159</v>
          </cell>
          <cell r="F216">
            <v>25</v>
          </cell>
          <cell r="G216">
            <v>25</v>
          </cell>
          <cell r="H216">
            <v>10524.335389525808</v>
          </cell>
          <cell r="I216">
            <v>24444084.484097376</v>
          </cell>
          <cell r="J216">
            <v>307472.76080625632</v>
          </cell>
          <cell r="K216">
            <v>454108.33333333331</v>
          </cell>
          <cell r="L216">
            <v>48.193619909693439</v>
          </cell>
          <cell r="M216">
            <v>5262.1676947629039</v>
          </cell>
          <cell r="N216">
            <v>24444084.484097376</v>
          </cell>
          <cell r="O216">
            <v>307472.76080625632</v>
          </cell>
          <cell r="P216">
            <v>454108.33333333331</v>
          </cell>
          <cell r="Q216">
            <v>48.193619909693439</v>
          </cell>
          <cell r="T216">
            <v>705130.47109822906</v>
          </cell>
          <cell r="W216">
            <v>1</v>
          </cell>
          <cell r="X216">
            <v>1</v>
          </cell>
          <cell r="Y216">
            <v>1</v>
          </cell>
          <cell r="Z216">
            <v>1</v>
          </cell>
          <cell r="AA216">
            <v>1</v>
          </cell>
          <cell r="AB216">
            <v>1</v>
          </cell>
        </row>
        <row r="217">
          <cell r="A217" t="str">
            <v>BUIS159x30,0</v>
          </cell>
          <cell r="B217" t="str">
            <v>159x30,0</v>
          </cell>
          <cell r="C217">
            <v>95.440014019731123</v>
          </cell>
          <cell r="D217">
            <v>159</v>
          </cell>
          <cell r="E217">
            <v>159</v>
          </cell>
          <cell r="F217">
            <v>30</v>
          </cell>
          <cell r="G217">
            <v>30</v>
          </cell>
          <cell r="H217">
            <v>12157.963569392499</v>
          </cell>
          <cell r="I217">
            <v>26657854.871339228</v>
          </cell>
          <cell r="J217">
            <v>335318.92919923557</v>
          </cell>
          <cell r="K217">
            <v>508230</v>
          </cell>
          <cell r="L217">
            <v>46.825473836363898</v>
          </cell>
          <cell r="M217">
            <v>6078.9817846962496</v>
          </cell>
          <cell r="N217">
            <v>26657854.871339228</v>
          </cell>
          <cell r="O217">
            <v>335318.92919923557</v>
          </cell>
          <cell r="P217">
            <v>508230</v>
          </cell>
          <cell r="Q217">
            <v>46.825473836363898</v>
          </cell>
          <cell r="T217">
            <v>784188.65022581618</v>
          </cell>
          <cell r="W217">
            <v>1</v>
          </cell>
          <cell r="X217">
            <v>1</v>
          </cell>
          <cell r="Y217">
            <v>1</v>
          </cell>
          <cell r="Z217">
            <v>1</v>
          </cell>
          <cell r="AA217">
            <v>1</v>
          </cell>
          <cell r="AB217">
            <v>1</v>
          </cell>
        </row>
        <row r="218">
          <cell r="A218" t="str">
            <v>BUIS159x36,0</v>
          </cell>
          <cell r="B218" t="str">
            <v>159x36,0</v>
          </cell>
          <cell r="C218">
            <v>109.20113232025049</v>
          </cell>
          <cell r="D218">
            <v>159</v>
          </cell>
          <cell r="E218">
            <v>159</v>
          </cell>
          <cell r="F218">
            <v>36</v>
          </cell>
          <cell r="G218">
            <v>36</v>
          </cell>
          <cell r="H218">
            <v>13910.972270095604</v>
          </cell>
          <cell r="I218">
            <v>28560964.942040037</v>
          </cell>
          <cell r="J218">
            <v>359257.42065459164</v>
          </cell>
          <cell r="K218">
            <v>560196</v>
          </cell>
          <cell r="L218">
            <v>45.311422400979644</v>
          </cell>
          <cell r="M218">
            <v>6955.4861350478022</v>
          </cell>
          <cell r="N218">
            <v>28560964.942040037</v>
          </cell>
          <cell r="O218">
            <v>359257.42065459164</v>
          </cell>
          <cell r="P218">
            <v>560196</v>
          </cell>
          <cell r="Q218">
            <v>45.311422400979644</v>
          </cell>
          <cell r="T218">
            <v>855524.79461087962</v>
          </cell>
          <cell r="W218">
            <v>1</v>
          </cell>
          <cell r="X218">
            <v>1</v>
          </cell>
          <cell r="Y218">
            <v>1</v>
          </cell>
          <cell r="Z218">
            <v>1</v>
          </cell>
          <cell r="AA218">
            <v>1</v>
          </cell>
          <cell r="AB218">
            <v>1</v>
          </cell>
        </row>
        <row r="219">
          <cell r="A219" t="str">
            <v>BUIS168,3x3,2</v>
          </cell>
          <cell r="B219" t="str">
            <v>168,3x3,2</v>
          </cell>
          <cell r="C219">
            <v>13.029164911344807</v>
          </cell>
          <cell r="D219">
            <v>168.3</v>
          </cell>
          <cell r="E219">
            <v>168.3</v>
          </cell>
          <cell r="F219">
            <v>3.2</v>
          </cell>
          <cell r="G219">
            <v>3.2</v>
          </cell>
          <cell r="H219">
            <v>1659.7662307445614</v>
          </cell>
          <cell r="I219">
            <v>5657365.0651875492</v>
          </cell>
          <cell r="J219">
            <v>67229.531374777769</v>
          </cell>
          <cell r="K219">
            <v>87236.55466666678</v>
          </cell>
          <cell r="L219">
            <v>58.382627981275391</v>
          </cell>
          <cell r="M219">
            <v>829.88311537228071</v>
          </cell>
          <cell r="N219">
            <v>5657365.0651875492</v>
          </cell>
          <cell r="O219">
            <v>67229.531374777769</v>
          </cell>
          <cell r="P219">
            <v>87236.55466666678</v>
          </cell>
          <cell r="Q219">
            <v>58.382627981275391</v>
          </cell>
          <cell r="T219">
            <v>137013.70234796344</v>
          </cell>
          <cell r="W219">
            <v>2</v>
          </cell>
          <cell r="X219">
            <v>3</v>
          </cell>
          <cell r="Y219">
            <v>3</v>
          </cell>
          <cell r="Z219">
            <v>2</v>
          </cell>
          <cell r="AA219">
            <v>3</v>
          </cell>
          <cell r="AB219">
            <v>3</v>
          </cell>
        </row>
        <row r="220">
          <cell r="A220" t="str">
            <v>BUIS168,3x4,0</v>
          </cell>
          <cell r="B220" t="str">
            <v>168,3x4,0</v>
          </cell>
          <cell r="C220">
            <v>16.207539331722806</v>
          </cell>
          <cell r="D220">
            <v>168.3</v>
          </cell>
          <cell r="E220">
            <v>168.3</v>
          </cell>
          <cell r="F220">
            <v>4</v>
          </cell>
          <cell r="G220">
            <v>4</v>
          </cell>
          <cell r="H220">
            <v>2064.6546919392113</v>
          </cell>
          <cell r="I220">
            <v>6970916.8637596443</v>
          </cell>
          <cell r="J220">
            <v>82839.178416632727</v>
          </cell>
          <cell r="K220">
            <v>107999.29333333329</v>
          </cell>
          <cell r="L220">
            <v>58.106034540312599</v>
          </cell>
          <cell r="M220">
            <v>1032.3273459696056</v>
          </cell>
          <cell r="N220">
            <v>6970916.8637596443</v>
          </cell>
          <cell r="O220">
            <v>82839.178416632727</v>
          </cell>
          <cell r="P220">
            <v>107999.29333333329</v>
          </cell>
          <cell r="Q220">
            <v>58.106034540312599</v>
          </cell>
          <cell r="T220">
            <v>169611.38294280629</v>
          </cell>
          <cell r="W220">
            <v>1</v>
          </cell>
          <cell r="X220">
            <v>2</v>
          </cell>
          <cell r="Y220">
            <v>3</v>
          </cell>
          <cell r="Z220">
            <v>1</v>
          </cell>
          <cell r="AA220">
            <v>2</v>
          </cell>
          <cell r="AB220">
            <v>3</v>
          </cell>
        </row>
        <row r="221">
          <cell r="A221" t="str">
            <v>BUIS168,3x5,0</v>
          </cell>
          <cell r="B221" t="str">
            <v>168,3x5,0</v>
          </cell>
          <cell r="C221">
            <v>20.136116653000119</v>
          </cell>
          <cell r="D221">
            <v>168.3</v>
          </cell>
          <cell r="E221">
            <v>168.3</v>
          </cell>
          <cell r="F221">
            <v>5</v>
          </cell>
          <cell r="G221">
            <v>5</v>
          </cell>
          <cell r="H221">
            <v>2565.1104016560662</v>
          </cell>
          <cell r="I221">
            <v>8558455.5848574433</v>
          </cell>
          <cell r="J221">
            <v>101704.7603666957</v>
          </cell>
          <cell r="K221">
            <v>133376.11666666661</v>
          </cell>
          <cell r="L221">
            <v>57.762325524514679</v>
          </cell>
          <cell r="M221">
            <v>1282.5552008280331</v>
          </cell>
          <cell r="N221">
            <v>8558455.5848574433</v>
          </cell>
          <cell r="O221">
            <v>101704.7603666957</v>
          </cell>
          <cell r="P221">
            <v>133376.11666666661</v>
          </cell>
          <cell r="Q221">
            <v>57.762325524514679</v>
          </cell>
          <cell r="T221">
            <v>209441.26429521781</v>
          </cell>
          <cell r="W221">
            <v>1</v>
          </cell>
          <cell r="X221">
            <v>2</v>
          </cell>
          <cell r="Y221">
            <v>2</v>
          </cell>
          <cell r="Z221">
            <v>1</v>
          </cell>
          <cell r="AA221">
            <v>2</v>
          </cell>
          <cell r="AB221">
            <v>2</v>
          </cell>
        </row>
        <row r="222">
          <cell r="A222" t="str">
            <v>BUIS168,3x5,6</v>
          </cell>
          <cell r="B222" t="str">
            <v>168,3x5,6</v>
          </cell>
          <cell r="C222">
            <v>22.469588003529026</v>
          </cell>
          <cell r="D222">
            <v>168.3</v>
          </cell>
          <cell r="E222">
            <v>168.3</v>
          </cell>
          <cell r="F222">
            <v>5.6</v>
          </cell>
          <cell r="G222">
            <v>5.6</v>
          </cell>
          <cell r="H222">
            <v>2862.3678985387292</v>
          </cell>
          <cell r="I222">
            <v>9482541.823275933</v>
          </cell>
          <cell r="J222">
            <v>112686.17734136581</v>
          </cell>
          <cell r="K222">
            <v>148297.7626666665</v>
          </cell>
          <cell r="L222">
            <v>57.557199810275698</v>
          </cell>
          <cell r="M222">
            <v>1431.1839492693646</v>
          </cell>
          <cell r="N222">
            <v>9482541.823275933</v>
          </cell>
          <cell r="O222">
            <v>112686.17734136581</v>
          </cell>
          <cell r="P222">
            <v>148297.7626666665</v>
          </cell>
          <cell r="Q222">
            <v>57.557199810275698</v>
          </cell>
          <cell r="T222">
            <v>232853.62854612592</v>
          </cell>
          <cell r="W222">
            <v>1</v>
          </cell>
          <cell r="X222">
            <v>1</v>
          </cell>
          <cell r="Y222">
            <v>2</v>
          </cell>
          <cell r="Z222">
            <v>1</v>
          </cell>
          <cell r="AA222">
            <v>1</v>
          </cell>
          <cell r="AB222">
            <v>2</v>
          </cell>
        </row>
        <row r="223">
          <cell r="A223" t="str">
            <v>BUIS168,3x6,3</v>
          </cell>
          <cell r="B223" t="str">
            <v>168,3x6,3</v>
          </cell>
          <cell r="C223">
            <v>25.169529278691869</v>
          </cell>
          <cell r="D223">
            <v>168.3</v>
          </cell>
          <cell r="E223">
            <v>168.3</v>
          </cell>
          <cell r="F223">
            <v>6.3</v>
          </cell>
          <cell r="G223">
            <v>6.3</v>
          </cell>
          <cell r="H223">
            <v>3206.309462253741</v>
          </cell>
          <cell r="I223">
            <v>10534205.49374301</v>
          </cell>
          <cell r="J223">
            <v>125183.6659981344</v>
          </cell>
          <cell r="K223">
            <v>165420.54899999988</v>
          </cell>
          <cell r="L223">
            <v>57.318943203796088</v>
          </cell>
          <cell r="M223">
            <v>1603.1547311268705</v>
          </cell>
          <cell r="N223">
            <v>10534205.49374301</v>
          </cell>
          <cell r="O223">
            <v>125183.6659981344</v>
          </cell>
          <cell r="P223">
            <v>165420.54899999988</v>
          </cell>
          <cell r="Q223">
            <v>57.318943203796088</v>
          </cell>
          <cell r="T223">
            <v>259711.06644255319</v>
          </cell>
          <cell r="W223">
            <v>1</v>
          </cell>
          <cell r="X223">
            <v>1</v>
          </cell>
          <cell r="Y223">
            <v>2</v>
          </cell>
          <cell r="Z223">
            <v>1</v>
          </cell>
          <cell r="AA223">
            <v>1</v>
          </cell>
          <cell r="AB223">
            <v>2</v>
          </cell>
        </row>
        <row r="224">
          <cell r="A224" t="str">
            <v>BUIS168,3x7,1</v>
          </cell>
          <cell r="B224" t="str">
            <v>168,3x7,1</v>
          </cell>
          <cell r="C224">
            <v>28.225582647509697</v>
          </cell>
          <cell r="D224">
            <v>168.3</v>
          </cell>
          <cell r="E224">
            <v>168.3</v>
          </cell>
          <cell r="F224">
            <v>7.1</v>
          </cell>
          <cell r="G224">
            <v>7.1</v>
          </cell>
          <cell r="H224">
            <v>3595.6156238865856</v>
          </cell>
          <cell r="I224">
            <v>11701863.630145952</v>
          </cell>
          <cell r="J224">
            <v>139059.57968087881</v>
          </cell>
          <cell r="K224">
            <v>184615.92766666645</v>
          </cell>
          <cell r="L224">
            <v>57.048060878525945</v>
          </cell>
          <cell r="M224">
            <v>1797.8078119432928</v>
          </cell>
          <cell r="N224">
            <v>11701863.630145952</v>
          </cell>
          <cell r="O224">
            <v>139059.57968087881</v>
          </cell>
          <cell r="P224">
            <v>184615.92766666645</v>
          </cell>
          <cell r="Q224">
            <v>57.048060878525945</v>
          </cell>
          <cell r="T224">
            <v>289806.61928525922</v>
          </cell>
          <cell r="W224">
            <v>1</v>
          </cell>
          <cell r="X224">
            <v>1</v>
          </cell>
          <cell r="Y224">
            <v>1</v>
          </cell>
          <cell r="Z224">
            <v>1</v>
          </cell>
          <cell r="AA224">
            <v>1</v>
          </cell>
          <cell r="AB224">
            <v>1</v>
          </cell>
        </row>
        <row r="225">
          <cell r="A225" t="str">
            <v>BUIS168,3x8,0</v>
          </cell>
          <cell r="B225" t="str">
            <v>168,3x8,0</v>
          </cell>
          <cell r="C225">
            <v>31.625910588863867</v>
          </cell>
          <cell r="D225">
            <v>168.3</v>
          </cell>
          <cell r="E225">
            <v>168.3</v>
          </cell>
          <cell r="F225">
            <v>8</v>
          </cell>
          <cell r="G225">
            <v>8</v>
          </cell>
          <cell r="H225">
            <v>4028.7784189635495</v>
          </cell>
          <cell r="I225">
            <v>12972711.832819849</v>
          </cell>
          <cell r="J225">
            <v>154161.75677741948</v>
          </cell>
          <cell r="K225">
            <v>205739.38666666663</v>
          </cell>
          <cell r="L225">
            <v>56.745142963957733</v>
          </cell>
          <cell r="M225">
            <v>2014.3892094817747</v>
          </cell>
          <cell r="N225">
            <v>12972711.832819849</v>
          </cell>
          <cell r="O225">
            <v>154161.75677741948</v>
          </cell>
          <cell r="P225">
            <v>205739.38666666663</v>
          </cell>
          <cell r="Q225">
            <v>56.745142963957733</v>
          </cell>
          <cell r="T225">
            <v>322906.59027992864</v>
          </cell>
          <cell r="W225">
            <v>1</v>
          </cell>
          <cell r="X225">
            <v>1</v>
          </cell>
          <cell r="Y225">
            <v>1</v>
          </cell>
          <cell r="Z225">
            <v>1</v>
          </cell>
          <cell r="AA225">
            <v>1</v>
          </cell>
          <cell r="AB225">
            <v>1</v>
          </cell>
        </row>
        <row r="226">
          <cell r="A226" t="str">
            <v>BUIS168,3x10,0</v>
          </cell>
          <cell r="B226" t="str">
            <v>168,3x10,0</v>
          </cell>
          <cell r="C226">
            <v>39.039158189466249</v>
          </cell>
          <cell r="D226">
            <v>168.3</v>
          </cell>
          <cell r="E226">
            <v>168.3</v>
          </cell>
          <cell r="F226">
            <v>10</v>
          </cell>
          <cell r="G226">
            <v>10</v>
          </cell>
          <cell r="H226">
            <v>4973.1411706326426</v>
          </cell>
          <cell r="I226">
            <v>15639838.958302241</v>
          </cell>
          <cell r="J226">
            <v>185856.67211292026</v>
          </cell>
          <cell r="K226">
            <v>250922.23333333331</v>
          </cell>
          <cell r="L226">
            <v>56.079062492163693</v>
          </cell>
          <cell r="M226">
            <v>2486.5705853163213</v>
          </cell>
          <cell r="N226">
            <v>15639838.958302241</v>
          </cell>
          <cell r="O226">
            <v>185856.67211292026</v>
          </cell>
          <cell r="P226">
            <v>250922.23333333331</v>
          </cell>
          <cell r="Q226">
            <v>56.079062492163693</v>
          </cell>
          <cell r="T226">
            <v>393624.1236555737</v>
          </cell>
          <cell r="W226">
            <v>1</v>
          </cell>
          <cell r="X226">
            <v>1</v>
          </cell>
          <cell r="Y226">
            <v>1</v>
          </cell>
          <cell r="Z226">
            <v>1</v>
          </cell>
          <cell r="AA226">
            <v>1</v>
          </cell>
          <cell r="AB226">
            <v>1</v>
          </cell>
        </row>
        <row r="227">
          <cell r="A227" t="str">
            <v>BUIS168,3x12,5</v>
          </cell>
          <cell r="B227" t="str">
            <v>168,3x12,5</v>
          </cell>
          <cell r="C227">
            <v>48.028275788999068</v>
          </cell>
          <cell r="D227">
            <v>168.3</v>
          </cell>
          <cell r="E227">
            <v>168.3</v>
          </cell>
          <cell r="F227">
            <v>12.5</v>
          </cell>
          <cell r="G227">
            <v>12.5</v>
          </cell>
          <cell r="H227">
            <v>6118.2516928661225</v>
          </cell>
          <cell r="I227">
            <v>18683526.981129147</v>
          </cell>
          <cell r="J227">
            <v>222026.46442221207</v>
          </cell>
          <cell r="K227">
            <v>304071.54166666669</v>
          </cell>
          <cell r="L227">
            <v>55.26062115105114</v>
          </cell>
          <cell r="M227">
            <v>3059.1258464330613</v>
          </cell>
          <cell r="N227">
            <v>18683526.981129147</v>
          </cell>
          <cell r="O227">
            <v>222026.46442221207</v>
          </cell>
          <cell r="P227">
            <v>304071.54166666669</v>
          </cell>
          <cell r="Q227">
            <v>55.26062115105114</v>
          </cell>
          <cell r="T227">
            <v>476611.80687427096</v>
          </cell>
          <cell r="W227">
            <v>1</v>
          </cell>
          <cell r="X227">
            <v>1</v>
          </cell>
          <cell r="Y227">
            <v>1</v>
          </cell>
          <cell r="Z227">
            <v>1</v>
          </cell>
          <cell r="AA227">
            <v>1</v>
          </cell>
          <cell r="AB227">
            <v>1</v>
          </cell>
        </row>
        <row r="228">
          <cell r="A228" t="str">
            <v>BUIS168,3x14,2</v>
          </cell>
          <cell r="B228" t="str">
            <v>168,3x14,2</v>
          </cell>
          <cell r="C228">
            <v>53.964792630040328</v>
          </cell>
          <cell r="D228">
            <v>168.3</v>
          </cell>
          <cell r="E228">
            <v>168.3</v>
          </cell>
          <cell r="F228">
            <v>14.2</v>
          </cell>
          <cell r="G228">
            <v>14.2</v>
          </cell>
          <cell r="H228">
            <v>6874.4958764382582</v>
          </cell>
          <cell r="I228">
            <v>20579190.09651098</v>
          </cell>
          <cell r="J228">
            <v>244553.65533584051</v>
          </cell>
          <cell r="K228">
            <v>338159.13133333338</v>
          </cell>
          <cell r="L228">
            <v>54.713401009259151</v>
          </cell>
          <cell r="M228">
            <v>3437.2479382191291</v>
          </cell>
          <cell r="N228">
            <v>20579190.09651098</v>
          </cell>
          <cell r="O228">
            <v>244553.65533584051</v>
          </cell>
          <cell r="P228">
            <v>338159.13133333338</v>
          </cell>
          <cell r="Q228">
            <v>54.713401009259151</v>
          </cell>
          <cell r="T228">
            <v>529679.90727956791</v>
          </cell>
          <cell r="W228">
            <v>1</v>
          </cell>
          <cell r="X228">
            <v>1</v>
          </cell>
          <cell r="Y228">
            <v>1</v>
          </cell>
          <cell r="Z228">
            <v>1</v>
          </cell>
          <cell r="AA228">
            <v>1</v>
          </cell>
          <cell r="AB228">
            <v>1</v>
          </cell>
        </row>
        <row r="229">
          <cell r="A229" t="str">
            <v>BUIS168,3x16,0</v>
          </cell>
          <cell r="B229" t="str">
            <v>168,3x16,0</v>
          </cell>
          <cell r="C229">
            <v>60.095148879400725</v>
          </cell>
          <cell r="D229">
            <v>168.3</v>
          </cell>
          <cell r="E229">
            <v>168.3</v>
          </cell>
          <cell r="F229">
            <v>16</v>
          </cell>
          <cell r="G229">
            <v>16</v>
          </cell>
          <cell r="H229">
            <v>7655.4329782676086</v>
          </cell>
          <cell r="I229">
            <v>22441222.356114678</v>
          </cell>
          <cell r="J229">
            <v>266681.19258603302</v>
          </cell>
          <cell r="K229">
            <v>372489.97333333339</v>
          </cell>
          <cell r="L229">
            <v>54.142508715426189</v>
          </cell>
          <cell r="M229">
            <v>3827.7164891338043</v>
          </cell>
          <cell r="N229">
            <v>22441222.356114678</v>
          </cell>
          <cell r="O229">
            <v>266681.19258603302</v>
          </cell>
          <cell r="P229">
            <v>372489.97333333339</v>
          </cell>
          <cell r="Q229">
            <v>54.142508715426189</v>
          </cell>
          <cell r="T229">
            <v>582961.2212950784</v>
          </cell>
          <cell r="W229">
            <v>1</v>
          </cell>
          <cell r="X229">
            <v>1</v>
          </cell>
          <cell r="Y229">
            <v>1</v>
          </cell>
          <cell r="Z229">
            <v>1</v>
          </cell>
          <cell r="AA229">
            <v>1</v>
          </cell>
          <cell r="AB229">
            <v>1</v>
          </cell>
        </row>
        <row r="230">
          <cell r="A230" t="str">
            <v>BUIS168,3x20,0</v>
          </cell>
          <cell r="B230" t="str">
            <v>168,3x20,0</v>
          </cell>
          <cell r="C230">
            <v>73.1460159127965</v>
          </cell>
          <cell r="D230">
            <v>168.3</v>
          </cell>
          <cell r="E230">
            <v>168.3</v>
          </cell>
          <cell r="F230">
            <v>20</v>
          </cell>
          <cell r="G230">
            <v>20</v>
          </cell>
          <cell r="H230">
            <v>9317.9638105473259</v>
          </cell>
          <cell r="I230">
            <v>26082017.329195898</v>
          </cell>
          <cell r="J230">
            <v>309946.72999638616</v>
          </cell>
          <cell r="K230">
            <v>442524.46666666673</v>
          </cell>
          <cell r="L230">
            <v>52.906627656655651</v>
          </cell>
          <cell r="M230">
            <v>4658.981905273663</v>
          </cell>
          <cell r="N230">
            <v>26082017.329195898</v>
          </cell>
          <cell r="O230">
            <v>309946.72999638616</v>
          </cell>
          <cell r="P230">
            <v>442524.46666666673</v>
          </cell>
          <cell r="Q230">
            <v>52.906627656655651</v>
          </cell>
          <cell r="T230">
            <v>690927.01655208436</v>
          </cell>
          <cell r="W230">
            <v>1</v>
          </cell>
          <cell r="X230">
            <v>1</v>
          </cell>
          <cell r="Y230">
            <v>1</v>
          </cell>
          <cell r="Z230">
            <v>1</v>
          </cell>
          <cell r="AA230">
            <v>1</v>
          </cell>
          <cell r="AB230">
            <v>1</v>
          </cell>
        </row>
        <row r="231">
          <cell r="A231" t="str">
            <v>BUIS168,3x22,2</v>
          </cell>
          <cell r="B231" t="str">
            <v>168,3x22,2</v>
          </cell>
          <cell r="C231">
            <v>79.987609889373729</v>
          </cell>
          <cell r="D231">
            <v>168.3</v>
          </cell>
          <cell r="E231">
            <v>168.3</v>
          </cell>
          <cell r="F231">
            <v>22.2</v>
          </cell>
          <cell r="G231">
            <v>22.2</v>
          </cell>
          <cell r="H231">
            <v>10189.504444506209</v>
          </cell>
          <cell r="I231">
            <v>27814863.441793606</v>
          </cell>
          <cell r="J231">
            <v>330539.07833385147</v>
          </cell>
          <cell r="K231">
            <v>477510.67800000007</v>
          </cell>
          <cell r="L231">
            <v>52.247069295798788</v>
          </cell>
          <cell r="M231">
            <v>5094.7522222531043</v>
          </cell>
          <cell r="N231">
            <v>27814863.441793606</v>
          </cell>
          <cell r="O231">
            <v>330539.07833385147</v>
          </cell>
          <cell r="P231">
            <v>477510.67800000007</v>
          </cell>
          <cell r="Q231">
            <v>52.247069295798788</v>
          </cell>
          <cell r="T231">
            <v>744343.29967117857</v>
          </cell>
          <cell r="W231">
            <v>1</v>
          </cell>
          <cell r="X231">
            <v>1</v>
          </cell>
          <cell r="Y231">
            <v>1</v>
          </cell>
          <cell r="Z231">
            <v>1</v>
          </cell>
          <cell r="AA231">
            <v>1</v>
          </cell>
          <cell r="AB231">
            <v>1</v>
          </cell>
        </row>
        <row r="232">
          <cell r="A232" t="str">
            <v>BUIS168,3x25,0</v>
          </cell>
          <cell r="B232" t="str">
            <v>168,3x25,0</v>
          </cell>
          <cell r="C232">
            <v>88.349832099660659</v>
          </cell>
          <cell r="D232">
            <v>168.3</v>
          </cell>
          <cell r="E232">
            <v>168.3</v>
          </cell>
          <cell r="F232">
            <v>25</v>
          </cell>
          <cell r="G232">
            <v>25</v>
          </cell>
          <cell r="H232">
            <v>11254.755681485434</v>
          </cell>
          <cell r="I232">
            <v>29768674.024638359</v>
          </cell>
          <cell r="J232">
            <v>353757.26707829302</v>
          </cell>
          <cell r="K232">
            <v>518580.58333333331</v>
          </cell>
          <cell r="L232">
            <v>51.429429804344522</v>
          </cell>
          <cell r="M232">
            <v>5627.3778407427171</v>
          </cell>
          <cell r="N232">
            <v>29768674.024638359</v>
          </cell>
          <cell r="O232">
            <v>353757.26707829302</v>
          </cell>
          <cell r="P232">
            <v>518580.58333333331</v>
          </cell>
          <cell r="Q232">
            <v>51.429429804344522</v>
          </cell>
          <cell r="T232">
            <v>806403.24457843148</v>
          </cell>
          <cell r="W232">
            <v>1</v>
          </cell>
          <cell r="X232">
            <v>1</v>
          </cell>
          <cell r="Y232">
            <v>1</v>
          </cell>
          <cell r="Z232">
            <v>1</v>
          </cell>
          <cell r="AA232">
            <v>1</v>
          </cell>
          <cell r="AB232">
            <v>1</v>
          </cell>
        </row>
        <row r="233">
          <cell r="A233" t="str">
            <v>BUIS168,3x28,0</v>
          </cell>
          <cell r="B233" t="str">
            <v>168,3x28,0</v>
          </cell>
          <cell r="C233">
            <v>96.880245755842822</v>
          </cell>
          <cell r="D233">
            <v>168.3</v>
          </cell>
          <cell r="E233">
            <v>168.3</v>
          </cell>
          <cell r="F233">
            <v>28</v>
          </cell>
          <cell r="G233">
            <v>28</v>
          </cell>
          <cell r="H233">
            <v>12341.432580362143</v>
          </cell>
          <cell r="I233">
            <v>31575694.097973078</v>
          </cell>
          <cell r="J233">
            <v>375231.06474121305</v>
          </cell>
          <cell r="K233">
            <v>558471.85333333339</v>
          </cell>
          <cell r="L233">
            <v>50.581728420448428</v>
          </cell>
          <cell r="M233">
            <v>6170.7162901810716</v>
          </cell>
          <cell r="N233">
            <v>31575694.097973078</v>
          </cell>
          <cell r="O233">
            <v>375231.06474121305</v>
          </cell>
          <cell r="P233">
            <v>558471.85333333339</v>
          </cell>
          <cell r="Q233">
            <v>50.581728420448428</v>
          </cell>
          <cell r="T233">
            <v>865751.49551240448</v>
          </cell>
          <cell r="W233">
            <v>1</v>
          </cell>
          <cell r="X233">
            <v>1</v>
          </cell>
          <cell r="Y233">
            <v>1</v>
          </cell>
          <cell r="Z233">
            <v>1</v>
          </cell>
          <cell r="AA233">
            <v>1</v>
          </cell>
          <cell r="AB233">
            <v>1</v>
          </cell>
        </row>
        <row r="234">
          <cell r="A234" t="str">
            <v>BUIS168,3x30,0</v>
          </cell>
          <cell r="B234" t="str">
            <v>168,3x30,0</v>
          </cell>
          <cell r="C234">
            <v>102.32057316999079</v>
          </cell>
          <cell r="D234">
            <v>168.3</v>
          </cell>
          <cell r="E234">
            <v>168.3</v>
          </cell>
          <cell r="F234">
            <v>30</v>
          </cell>
          <cell r="G234">
            <v>30</v>
          </cell>
          <cell r="H234">
            <v>13034.467919744051</v>
          </cell>
          <cell r="I234">
            <v>32629981.904655375</v>
          </cell>
          <cell r="J234">
            <v>387759.73742905969</v>
          </cell>
          <cell r="K234">
            <v>582806.70000000007</v>
          </cell>
          <cell r="L234">
            <v>50.033601209587147</v>
          </cell>
          <cell r="M234">
            <v>6517.2339598720255</v>
          </cell>
          <cell r="N234">
            <v>32629981.904655375</v>
          </cell>
          <cell r="O234">
            <v>387759.73742905969</v>
          </cell>
          <cell r="P234">
            <v>582806.70000000007</v>
          </cell>
          <cell r="Q234">
            <v>50.033601209587147</v>
          </cell>
          <cell r="T234">
            <v>901333.45665030135</v>
          </cell>
          <cell r="W234">
            <v>1</v>
          </cell>
          <cell r="X234">
            <v>1</v>
          </cell>
          <cell r="Y234">
            <v>1</v>
          </cell>
          <cell r="Z234">
            <v>1</v>
          </cell>
          <cell r="AA234">
            <v>1</v>
          </cell>
          <cell r="AB234">
            <v>1</v>
          </cell>
        </row>
        <row r="235">
          <cell r="A235" t="str">
            <v>BUIS177,8x4,5</v>
          </cell>
          <cell r="B235" t="str">
            <v>177,8x4,5</v>
          </cell>
          <cell r="C235">
            <v>19.23227259258071</v>
          </cell>
          <cell r="D235">
            <v>177.8</v>
          </cell>
          <cell r="E235">
            <v>177.8</v>
          </cell>
          <cell r="F235">
            <v>4.5</v>
          </cell>
          <cell r="G235">
            <v>4.5</v>
          </cell>
          <cell r="H235">
            <v>2449.9710309020015</v>
          </cell>
          <cell r="I235">
            <v>9203665.2984552737</v>
          </cell>
          <cell r="J235">
            <v>103528.29357092545</v>
          </cell>
          <cell r="K235">
            <v>135178.38000000021</v>
          </cell>
          <cell r="L235">
            <v>61.291455358801855</v>
          </cell>
          <cell r="M235">
            <v>1224.9855154510008</v>
          </cell>
          <cell r="N235">
            <v>9203665.2984552737</v>
          </cell>
          <cell r="O235">
            <v>103528.29357092545</v>
          </cell>
          <cell r="P235">
            <v>135178.38000000021</v>
          </cell>
          <cell r="Q235">
            <v>61.291455358801855</v>
          </cell>
          <cell r="T235">
            <v>212289.98982765834</v>
          </cell>
          <cell r="W235">
            <v>1</v>
          </cell>
          <cell r="X235">
            <v>2</v>
          </cell>
          <cell r="Y235">
            <v>3</v>
          </cell>
          <cell r="Z235">
            <v>1</v>
          </cell>
          <cell r="AA235">
            <v>2</v>
          </cell>
          <cell r="AB235">
            <v>3</v>
          </cell>
        </row>
        <row r="236">
          <cell r="A236" t="str">
            <v>BUIS177,8x5,0</v>
          </cell>
          <cell r="B236" t="str">
            <v>177,8x5,0</v>
          </cell>
          <cell r="C236">
            <v>21.307538013707415</v>
          </cell>
          <cell r="D236">
            <v>177.8</v>
          </cell>
          <cell r="E236">
            <v>177.8</v>
          </cell>
          <cell r="F236">
            <v>5</v>
          </cell>
          <cell r="G236">
            <v>5</v>
          </cell>
          <cell r="H236">
            <v>2714.3360527015811</v>
          </cell>
          <cell r="I236">
            <v>10139687.330152292</v>
          </cell>
          <cell r="J236">
            <v>114057.22531104939</v>
          </cell>
          <cell r="K236">
            <v>149340.8666666667</v>
          </cell>
          <cell r="L236">
            <v>61.119595875627326</v>
          </cell>
          <cell r="M236">
            <v>1357.1680263507906</v>
          </cell>
          <cell r="N236">
            <v>10139687.330152292</v>
          </cell>
          <cell r="O236">
            <v>114057.22531104939</v>
          </cell>
          <cell r="P236">
            <v>149340.8666666667</v>
          </cell>
          <cell r="Q236">
            <v>61.119595875627326</v>
          </cell>
          <cell r="T236">
            <v>234518.63495341665</v>
          </cell>
          <cell r="W236">
            <v>1</v>
          </cell>
          <cell r="X236">
            <v>2</v>
          </cell>
          <cell r="Y236">
            <v>2</v>
          </cell>
          <cell r="Z236">
            <v>1</v>
          </cell>
          <cell r="AA236">
            <v>2</v>
          </cell>
          <cell r="AB236">
            <v>2</v>
          </cell>
        </row>
        <row r="237">
          <cell r="A237" t="str">
            <v>BUIS177,8x6,3</v>
          </cell>
          <cell r="B237" t="str">
            <v>177,8x6,3</v>
          </cell>
          <cell r="C237">
            <v>26.645520193183067</v>
          </cell>
          <cell r="D237">
            <v>177.8</v>
          </cell>
          <cell r="E237">
            <v>177.8</v>
          </cell>
          <cell r="F237">
            <v>6.3</v>
          </cell>
          <cell r="G237">
            <v>6.3</v>
          </cell>
          <cell r="H237">
            <v>3394.3337825710914</v>
          </cell>
          <cell r="I237">
            <v>12496214.363032106</v>
          </cell>
          <cell r="J237">
            <v>140564.84097898882</v>
          </cell>
          <cell r="K237">
            <v>185380.52400000006</v>
          </cell>
          <cell r="L237">
            <v>60.675303872333437</v>
          </cell>
          <cell r="M237">
            <v>1697.1668912855457</v>
          </cell>
          <cell r="N237">
            <v>12496214.363032106</v>
          </cell>
          <cell r="O237">
            <v>140564.84097898882</v>
          </cell>
          <cell r="P237">
            <v>185380.52400000006</v>
          </cell>
          <cell r="Q237">
            <v>60.675303872333437</v>
          </cell>
          <cell r="T237">
            <v>291064.12185547117</v>
          </cell>
          <cell r="W237">
            <v>1</v>
          </cell>
          <cell r="X237">
            <v>1</v>
          </cell>
          <cell r="Y237">
            <v>2</v>
          </cell>
          <cell r="Z237">
            <v>1</v>
          </cell>
          <cell r="AA237">
            <v>1</v>
          </cell>
          <cell r="AB237">
            <v>2</v>
          </cell>
        </row>
        <row r="238">
          <cell r="A238" t="str">
            <v>BUIS177,8x7,1</v>
          </cell>
          <cell r="B238" t="str">
            <v>177,8x7,1</v>
          </cell>
          <cell r="C238">
            <v>29.889000979714073</v>
          </cell>
          <cell r="D238">
            <v>177.8</v>
          </cell>
          <cell r="E238">
            <v>177.8</v>
          </cell>
          <cell r="F238">
            <v>7.1</v>
          </cell>
          <cell r="G238">
            <v>7.1</v>
          </cell>
          <cell r="H238">
            <v>3807.5160483712193</v>
          </cell>
          <cell r="I238">
            <v>13892150.648037838</v>
          </cell>
          <cell r="J238">
            <v>156267.16139525126</v>
          </cell>
          <cell r="K238">
            <v>207002.58266666657</v>
          </cell>
          <cell r="L238">
            <v>60.403745744779776</v>
          </cell>
          <cell r="M238">
            <v>1903.7580241856097</v>
          </cell>
          <cell r="N238">
            <v>13892150.648037838</v>
          </cell>
          <cell r="O238">
            <v>156267.16139525126</v>
          </cell>
          <cell r="P238">
            <v>207002.58266666657</v>
          </cell>
          <cell r="Q238">
            <v>60.403745744779776</v>
          </cell>
          <cell r="T238">
            <v>324971.49472848384</v>
          </cell>
          <cell r="W238">
            <v>1</v>
          </cell>
          <cell r="X238">
            <v>1</v>
          </cell>
          <cell r="Y238">
            <v>1</v>
          </cell>
          <cell r="Z238">
            <v>1</v>
          </cell>
          <cell r="AA238">
            <v>1</v>
          </cell>
          <cell r="AB238">
            <v>1</v>
          </cell>
        </row>
        <row r="239">
          <cell r="A239" t="str">
            <v>BUIS177,8x8,0</v>
          </cell>
          <cell r="B239" t="str">
            <v>177,8x8,0</v>
          </cell>
          <cell r="C239">
            <v>33.500184765995535</v>
          </cell>
          <cell r="D239">
            <v>177.8</v>
          </cell>
          <cell r="E239">
            <v>177.8</v>
          </cell>
          <cell r="F239">
            <v>8</v>
          </cell>
          <cell r="G239">
            <v>8</v>
          </cell>
          <cell r="H239">
            <v>4267.5394606363734</v>
          </cell>
          <cell r="I239">
            <v>15414373.86951589</v>
          </cell>
          <cell r="J239">
            <v>173390.032278019</v>
          </cell>
          <cell r="K239">
            <v>230826.98666666666</v>
          </cell>
          <cell r="L239">
            <v>60.099958402647843</v>
          </cell>
          <cell r="M239">
            <v>2133.7697303181867</v>
          </cell>
          <cell r="N239">
            <v>15414373.86951589</v>
          </cell>
          <cell r="O239">
            <v>173390.032278019</v>
          </cell>
          <cell r="P239">
            <v>230826.98666666666</v>
          </cell>
          <cell r="Q239">
            <v>60.099958402647843</v>
          </cell>
          <cell r="T239">
            <v>362314.10020802828</v>
          </cell>
          <cell r="W239">
            <v>1</v>
          </cell>
          <cell r="X239">
            <v>1</v>
          </cell>
          <cell r="Y239">
            <v>1</v>
          </cell>
          <cell r="Z239">
            <v>1</v>
          </cell>
          <cell r="AA239">
            <v>1</v>
          </cell>
          <cell r="AB239">
            <v>1</v>
          </cell>
        </row>
        <row r="240">
          <cell r="A240" t="str">
            <v>BUIS177,8x10,0</v>
          </cell>
          <cell r="B240" t="str">
            <v>177,8x10,0</v>
          </cell>
          <cell r="C240">
            <v>41.382000910880826</v>
          </cell>
          <cell r="D240">
            <v>177.8</v>
          </cell>
          <cell r="E240">
            <v>177.8</v>
          </cell>
          <cell r="F240">
            <v>10</v>
          </cell>
          <cell r="G240">
            <v>10</v>
          </cell>
          <cell r="H240">
            <v>5271.5924727236725</v>
          </cell>
          <cell r="I240">
            <v>18619818.130869653</v>
          </cell>
          <cell r="J240">
            <v>209446.77312564288</v>
          </cell>
          <cell r="K240">
            <v>281901.7333333334</v>
          </cell>
          <cell r="L240">
            <v>59.431515208683692</v>
          </cell>
          <cell r="M240">
            <v>2635.7962363618362</v>
          </cell>
          <cell r="N240">
            <v>18619818.130869653</v>
          </cell>
          <cell r="O240">
            <v>209446.77312564288</v>
          </cell>
          <cell r="P240">
            <v>281901.7333333334</v>
          </cell>
          <cell r="Q240">
            <v>59.431515208683692</v>
          </cell>
          <cell r="T240">
            <v>442286.60846151621</v>
          </cell>
          <cell r="W240">
            <v>1</v>
          </cell>
          <cell r="X240">
            <v>1</v>
          </cell>
          <cell r="Y240">
            <v>1</v>
          </cell>
          <cell r="Z240">
            <v>1</v>
          </cell>
          <cell r="AA240">
            <v>1</v>
          </cell>
          <cell r="AB240">
            <v>1</v>
          </cell>
        </row>
        <row r="241">
          <cell r="A241" t="str">
            <v>BUIS177,8x12,5</v>
          </cell>
          <cell r="B241" t="str">
            <v>177,8x12,5</v>
          </cell>
          <cell r="C241">
            <v>50.956829190767294</v>
          </cell>
          <cell r="D241">
            <v>177.8</v>
          </cell>
          <cell r="E241">
            <v>177.8</v>
          </cell>
          <cell r="F241">
            <v>12.5</v>
          </cell>
          <cell r="G241">
            <v>12.5</v>
          </cell>
          <cell r="H241">
            <v>6491.3158204799101</v>
          </cell>
          <cell r="I241">
            <v>22297945.724270865</v>
          </cell>
          <cell r="J241">
            <v>250820.53683094334</v>
          </cell>
          <cell r="K241">
            <v>342202.16666666674</v>
          </cell>
          <cell r="L241">
            <v>58.609235620335475</v>
          </cell>
          <cell r="M241">
            <v>3245.6579102399551</v>
          </cell>
          <cell r="N241">
            <v>22297945.724270865</v>
          </cell>
          <cell r="O241">
            <v>250820.53683094334</v>
          </cell>
          <cell r="P241">
            <v>342202.16666666674</v>
          </cell>
          <cell r="Q241">
            <v>58.609235620335475</v>
          </cell>
          <cell r="T241">
            <v>536507.25256266457</v>
          </cell>
          <cell r="W241">
            <v>1</v>
          </cell>
          <cell r="X241">
            <v>1</v>
          </cell>
          <cell r="Y241">
            <v>1</v>
          </cell>
          <cell r="Z241">
            <v>1</v>
          </cell>
          <cell r="AA241">
            <v>1</v>
          </cell>
          <cell r="AB241">
            <v>1</v>
          </cell>
        </row>
        <row r="242">
          <cell r="A242" t="str">
            <v>BUIS177,8x14,2</v>
          </cell>
          <cell r="B242" t="str">
            <v>177,8x14,2</v>
          </cell>
          <cell r="C242">
            <v>57.291629294449059</v>
          </cell>
          <cell r="D242">
            <v>177.8</v>
          </cell>
          <cell r="E242">
            <v>177.8</v>
          </cell>
          <cell r="F242">
            <v>14.2</v>
          </cell>
          <cell r="G242">
            <v>14.2</v>
          </cell>
          <cell r="H242">
            <v>7298.2967254075229</v>
          </cell>
          <cell r="I242">
            <v>24601281.059421815</v>
          </cell>
          <cell r="J242">
            <v>276729.82069090905</v>
          </cell>
          <cell r="K242">
            <v>381016.8613333336</v>
          </cell>
          <cell r="L242">
            <v>58.058806394895861</v>
          </cell>
          <cell r="M242">
            <v>3649.1483627037614</v>
          </cell>
          <cell r="N242">
            <v>24601281.059421815</v>
          </cell>
          <cell r="O242">
            <v>276729.82069090905</v>
          </cell>
          <cell r="P242">
            <v>381016.8613333336</v>
          </cell>
          <cell r="Q242">
            <v>58.058806394895861</v>
          </cell>
          <cell r="T242">
            <v>597000.6721383353</v>
          </cell>
          <cell r="W242">
            <v>1</v>
          </cell>
          <cell r="X242">
            <v>1</v>
          </cell>
          <cell r="Y242">
            <v>1</v>
          </cell>
          <cell r="Z242">
            <v>1</v>
          </cell>
          <cell r="AA242">
            <v>1</v>
          </cell>
          <cell r="AB242">
            <v>1</v>
          </cell>
        </row>
        <row r="243">
          <cell r="A243" t="str">
            <v>BUIS177,8x16,0</v>
          </cell>
          <cell r="B243" t="str">
            <v>177,8x16,0</v>
          </cell>
          <cell r="C243">
            <v>63.843697233664066</v>
          </cell>
          <cell r="D243">
            <v>177.8</v>
          </cell>
          <cell r="E243">
            <v>177.8</v>
          </cell>
          <cell r="F243">
            <v>16</v>
          </cell>
          <cell r="G243">
            <v>16</v>
          </cell>
          <cell r="H243">
            <v>8132.9550616132574</v>
          </cell>
          <cell r="I243">
            <v>26874577.370370153</v>
          </cell>
          <cell r="J243">
            <v>302301.20776569349</v>
          </cell>
          <cell r="K243">
            <v>420233.17333333351</v>
          </cell>
          <cell r="L243">
            <v>57.48395428291272</v>
          </cell>
          <cell r="M243">
            <v>4066.4775308066287</v>
          </cell>
          <cell r="N243">
            <v>26874577.370370153</v>
          </cell>
          <cell r="O243">
            <v>302301.20776569349</v>
          </cell>
          <cell r="P243">
            <v>420233.17333333351</v>
          </cell>
          <cell r="Q243">
            <v>57.48395428291272</v>
          </cell>
          <cell r="T243">
            <v>657956.06448451255</v>
          </cell>
          <cell r="W243">
            <v>1</v>
          </cell>
          <cell r="X243">
            <v>1</v>
          </cell>
          <cell r="Y243">
            <v>1</v>
          </cell>
          <cell r="Z243">
            <v>1</v>
          </cell>
          <cell r="AA243">
            <v>1</v>
          </cell>
          <cell r="AB243">
            <v>1</v>
          </cell>
        </row>
        <row r="244">
          <cell r="A244" t="str">
            <v>BUIS177,8x20,0</v>
          </cell>
          <cell r="B244" t="str">
            <v>177,8x20,0</v>
          </cell>
          <cell r="C244">
            <v>77.831701355625697</v>
          </cell>
          <cell r="D244">
            <v>177.8</v>
          </cell>
          <cell r="E244">
            <v>177.8</v>
          </cell>
          <cell r="F244">
            <v>20</v>
          </cell>
          <cell r="G244">
            <v>20</v>
          </cell>
          <cell r="H244">
            <v>9914.8664147293875</v>
          </cell>
          <cell r="I244">
            <v>31356806.097555242</v>
          </cell>
          <cell r="J244">
            <v>352719.97860017145</v>
          </cell>
          <cell r="K244">
            <v>500683.46666666679</v>
          </cell>
          <cell r="L244">
            <v>56.237042952132548</v>
          </cell>
          <cell r="M244">
            <v>4957.4332073646938</v>
          </cell>
          <cell r="N244">
            <v>31356806.097555242</v>
          </cell>
          <cell r="O244">
            <v>352719.97860017145</v>
          </cell>
          <cell r="P244">
            <v>500683.46666666679</v>
          </cell>
          <cell r="Q244">
            <v>56.237042952132548</v>
          </cell>
          <cell r="T244">
            <v>782282.96012214874</v>
          </cell>
          <cell r="W244">
            <v>1</v>
          </cell>
          <cell r="X244">
            <v>1</v>
          </cell>
          <cell r="Y244">
            <v>1</v>
          </cell>
          <cell r="Z244">
            <v>1</v>
          </cell>
          <cell r="AA244">
            <v>1</v>
          </cell>
          <cell r="AB244">
            <v>1</v>
          </cell>
        </row>
        <row r="245">
          <cell r="A245" t="str">
            <v>BUIS177,8x22,2</v>
          </cell>
          <cell r="B245" t="str">
            <v>177,8x22,2</v>
          </cell>
          <cell r="C245">
            <v>85.188720730914127</v>
          </cell>
          <cell r="D245">
            <v>177.8</v>
          </cell>
          <cell r="E245">
            <v>177.8</v>
          </cell>
          <cell r="F245">
            <v>22.2</v>
          </cell>
          <cell r="G245">
            <v>22.2</v>
          </cell>
          <cell r="H245">
            <v>10852.066335148296</v>
          </cell>
          <cell r="I245">
            <v>33511452.14459632</v>
          </cell>
          <cell r="J245">
            <v>376956.71703707892</v>
          </cell>
          <cell r="K245">
            <v>541139.20800000022</v>
          </cell>
          <cell r="L245">
            <v>55.570000899766058</v>
          </cell>
          <cell r="M245">
            <v>5426.0331675741481</v>
          </cell>
          <cell r="N245">
            <v>33511452.14459632</v>
          </cell>
          <cell r="O245">
            <v>376956.71703707892</v>
          </cell>
          <cell r="P245">
            <v>541139.20800000022</v>
          </cell>
          <cell r="Q245">
            <v>55.570000899766058</v>
          </cell>
          <cell r="T245">
            <v>844290.76087453752</v>
          </cell>
          <cell r="W245">
            <v>1</v>
          </cell>
          <cell r="X245">
            <v>1</v>
          </cell>
          <cell r="Y245">
            <v>1</v>
          </cell>
          <cell r="Z245">
            <v>1</v>
          </cell>
          <cell r="AA245">
            <v>1</v>
          </cell>
          <cell r="AB245">
            <v>1</v>
          </cell>
        </row>
        <row r="246">
          <cell r="A246" t="str">
            <v>BUIS177,8x25,0</v>
          </cell>
          <cell r="B246" t="str">
            <v>177,8x25,0</v>
          </cell>
          <cell r="C246">
            <v>94.206938903197127</v>
          </cell>
          <cell r="D246">
            <v>177.8</v>
          </cell>
          <cell r="E246">
            <v>177.8</v>
          </cell>
          <cell r="F246">
            <v>25</v>
          </cell>
          <cell r="G246">
            <v>25</v>
          </cell>
          <cell r="H246">
            <v>12000.883936713009</v>
          </cell>
          <cell r="I246">
            <v>35961908.809173889</v>
          </cell>
          <cell r="J246">
            <v>404520.90898958256</v>
          </cell>
          <cell r="K246">
            <v>588904.33333333349</v>
          </cell>
          <cell r="L246">
            <v>54.741255009362</v>
          </cell>
          <cell r="M246">
            <v>6000.4419683565047</v>
          </cell>
          <cell r="N246">
            <v>35961908.809173889</v>
          </cell>
          <cell r="O246">
            <v>404520.90898958256</v>
          </cell>
          <cell r="P246">
            <v>588904.33333333349</v>
          </cell>
          <cell r="Q246">
            <v>54.741255009362</v>
          </cell>
          <cell r="T246">
            <v>916867.53276487417</v>
          </cell>
          <cell r="W246">
            <v>1</v>
          </cell>
          <cell r="X246">
            <v>1</v>
          </cell>
          <cell r="Y246">
            <v>1</v>
          </cell>
          <cell r="Z246">
            <v>1</v>
          </cell>
          <cell r="AA246">
            <v>1</v>
          </cell>
          <cell r="AB246">
            <v>1</v>
          </cell>
        </row>
        <row r="247">
          <cell r="A247" t="str">
            <v>BUIS177,8x30,0</v>
          </cell>
          <cell r="B247" t="str">
            <v>177,8x30,0</v>
          </cell>
          <cell r="C247">
            <v>109.34910133423458</v>
          </cell>
          <cell r="D247">
            <v>177.8</v>
          </cell>
          <cell r="E247">
            <v>177.8</v>
          </cell>
          <cell r="F247">
            <v>30</v>
          </cell>
          <cell r="G247">
            <v>30</v>
          </cell>
          <cell r="H247">
            <v>13929.821826017143</v>
          </cell>
          <cell r="I247">
            <v>39603946.082658477</v>
          </cell>
          <cell r="J247">
            <v>445488.70734149014</v>
          </cell>
          <cell r="K247">
            <v>664345.20000000019</v>
          </cell>
          <cell r="L247">
            <v>53.320774563016251</v>
          </cell>
          <cell r="M247">
            <v>6964.9109130085717</v>
          </cell>
          <cell r="N247">
            <v>39603946.082658477</v>
          </cell>
          <cell r="O247">
            <v>445488.70734149014</v>
          </cell>
          <cell r="P247">
            <v>664345.20000000019</v>
          </cell>
          <cell r="Q247">
            <v>53.320774563016251</v>
          </cell>
          <cell r="T247">
            <v>1029413.832942667</v>
          </cell>
          <cell r="W247">
            <v>1</v>
          </cell>
          <cell r="X247">
            <v>1</v>
          </cell>
          <cell r="Y247">
            <v>1</v>
          </cell>
          <cell r="Z247">
            <v>1</v>
          </cell>
          <cell r="AA247">
            <v>1</v>
          </cell>
          <cell r="AB247">
            <v>1</v>
          </cell>
        </row>
        <row r="248">
          <cell r="A248" t="str">
            <v>BUIS193,7x4,0</v>
          </cell>
          <cell r="B248" t="str">
            <v>193,7x4,0</v>
          </cell>
          <cell r="C248">
            <v>18.71314796851987</v>
          </cell>
          <cell r="D248">
            <v>193.7</v>
          </cell>
          <cell r="E248">
            <v>193.7</v>
          </cell>
          <cell r="F248">
            <v>4</v>
          </cell>
          <cell r="G248">
            <v>4</v>
          </cell>
          <cell r="H248">
            <v>2383.8405055439325</v>
          </cell>
          <cell r="I248">
            <v>10727905.053279765</v>
          </cell>
          <cell r="J248">
            <v>110768.25042106108</v>
          </cell>
          <cell r="K248">
            <v>143965.69333333321</v>
          </cell>
          <cell r="L248">
            <v>67.083986539262838</v>
          </cell>
          <cell r="M248">
            <v>1191.9202527719663</v>
          </cell>
          <cell r="N248">
            <v>10727905.053279765</v>
          </cell>
          <cell r="O248">
            <v>110768.25042106108</v>
          </cell>
          <cell r="P248">
            <v>143965.69333333321</v>
          </cell>
          <cell r="Q248">
            <v>67.083986539262838</v>
          </cell>
          <cell r="T248">
            <v>226107.2719508422</v>
          </cell>
          <cell r="W248">
            <v>1</v>
          </cell>
          <cell r="X248">
            <v>3</v>
          </cell>
          <cell r="Y248">
            <v>3</v>
          </cell>
          <cell r="Z248">
            <v>1</v>
          </cell>
          <cell r="AA248">
            <v>3</v>
          </cell>
          <cell r="AB248">
            <v>3</v>
          </cell>
        </row>
        <row r="249">
          <cell r="A249" t="str">
            <v>BUIS193,7x6,3</v>
          </cell>
          <cell r="B249" t="str">
            <v>193,7x6,3</v>
          </cell>
          <cell r="C249">
            <v>29.115862881647249</v>
          </cell>
          <cell r="D249">
            <v>193.7</v>
          </cell>
          <cell r="E249">
            <v>193.7</v>
          </cell>
          <cell r="F249">
            <v>6.3</v>
          </cell>
          <cell r="G249">
            <v>6.3</v>
          </cell>
          <cell r="H249">
            <v>3709.0271186811783</v>
          </cell>
          <cell r="I249">
            <v>16300455.562599523</v>
          </cell>
          <cell r="J249">
            <v>168306.20095611279</v>
          </cell>
          <cell r="K249">
            <v>221331.53699999987</v>
          </cell>
          <cell r="L249">
            <v>66.293334883681908</v>
          </cell>
          <cell r="M249">
            <v>1854.5135593405892</v>
          </cell>
          <cell r="N249">
            <v>16300455.562599523</v>
          </cell>
          <cell r="O249">
            <v>168306.20095611279</v>
          </cell>
          <cell r="P249">
            <v>221331.53699999987</v>
          </cell>
          <cell r="Q249">
            <v>66.293334883681908</v>
          </cell>
          <cell r="T249">
            <v>347535.84102042665</v>
          </cell>
          <cell r="W249">
            <v>1</v>
          </cell>
          <cell r="X249">
            <v>1</v>
          </cell>
          <cell r="Y249">
            <v>2</v>
          </cell>
          <cell r="Z249">
            <v>1</v>
          </cell>
          <cell r="AA249">
            <v>1</v>
          </cell>
          <cell r="AB249">
            <v>2</v>
          </cell>
        </row>
        <row r="250">
          <cell r="A250" t="str">
            <v>BUIS193,7x7,1</v>
          </cell>
          <cell r="B250" t="str">
            <v>193,7x7,1</v>
          </cell>
          <cell r="C250">
            <v>32.673037977824507</v>
          </cell>
          <cell r="D250">
            <v>193.7</v>
          </cell>
          <cell r="E250">
            <v>193.7</v>
          </cell>
          <cell r="F250">
            <v>7.1</v>
          </cell>
          <cell r="G250">
            <v>7.1</v>
          </cell>
          <cell r="H250">
            <v>4162.1704430349691</v>
          </cell>
          <cell r="I250">
            <v>18141844.810439505</v>
          </cell>
          <cell r="J250">
            <v>187318.99649395462</v>
          </cell>
          <cell r="K250">
            <v>247338.17966666646</v>
          </cell>
          <cell r="L250">
            <v>66.020801646147845</v>
          </cell>
          <cell r="M250">
            <v>2081.0852215174846</v>
          </cell>
          <cell r="N250">
            <v>18141844.810439505</v>
          </cell>
          <cell r="O250">
            <v>187318.99649395462</v>
          </cell>
          <cell r="P250">
            <v>247338.17966666646</v>
          </cell>
          <cell r="Q250">
            <v>66.020801646147845</v>
          </cell>
          <cell r="T250">
            <v>388330.50233516301</v>
          </cell>
          <cell r="W250">
            <v>1</v>
          </cell>
          <cell r="X250">
            <v>1</v>
          </cell>
          <cell r="Y250">
            <v>2</v>
          </cell>
          <cell r="Z250">
            <v>1</v>
          </cell>
          <cell r="AA250">
            <v>1</v>
          </cell>
          <cell r="AB250">
            <v>2</v>
          </cell>
        </row>
        <row r="251">
          <cell r="A251" t="str">
            <v>BUIS193,7x8,0</v>
          </cell>
          <cell r="B251" t="str">
            <v>193,7x8,0</v>
          </cell>
          <cell r="C251">
            <v>36.637127862458009</v>
          </cell>
          <cell r="D251">
            <v>193.7</v>
          </cell>
          <cell r="E251">
            <v>193.7</v>
          </cell>
          <cell r="F251">
            <v>8</v>
          </cell>
          <cell r="G251">
            <v>8</v>
          </cell>
          <cell r="H251">
            <v>4667.1500461729947</v>
          </cell>
          <cell r="I251">
            <v>20155373.337338399</v>
          </cell>
          <cell r="J251">
            <v>208109.17230086113</v>
          </cell>
          <cell r="K251">
            <v>276046.58666666661</v>
          </cell>
          <cell r="L251">
            <v>65.715761047103442</v>
          </cell>
          <cell r="M251">
            <v>2333.5750230864974</v>
          </cell>
          <cell r="N251">
            <v>20155373.337338399</v>
          </cell>
          <cell r="O251">
            <v>208109.17230086113</v>
          </cell>
          <cell r="P251">
            <v>276046.58666666661</v>
          </cell>
          <cell r="Q251">
            <v>65.715761047103442</v>
          </cell>
          <cell r="T251">
            <v>433344.88178716274</v>
          </cell>
          <cell r="W251">
            <v>1</v>
          </cell>
          <cell r="X251">
            <v>1</v>
          </cell>
          <cell r="Y251">
            <v>1</v>
          </cell>
          <cell r="Z251">
            <v>1</v>
          </cell>
          <cell r="AA251">
            <v>1</v>
          </cell>
          <cell r="AB251">
            <v>1</v>
          </cell>
        </row>
        <row r="252">
          <cell r="A252" t="str">
            <v>BUIS193,7x10,0</v>
          </cell>
          <cell r="B252" t="str">
            <v>193,7x10,0</v>
          </cell>
          <cell r="C252">
            <v>45.30317978145893</v>
          </cell>
          <cell r="D252">
            <v>193.7</v>
          </cell>
          <cell r="E252">
            <v>193.7</v>
          </cell>
          <cell r="F252">
            <v>10</v>
          </cell>
          <cell r="G252">
            <v>10</v>
          </cell>
          <cell r="H252">
            <v>5771.1057046444503</v>
          </cell>
          <cell r="I252">
            <v>24415881.829578441</v>
          </cell>
          <cell r="J252">
            <v>252099.96726461995</v>
          </cell>
          <cell r="K252">
            <v>337790.2333333334</v>
          </cell>
          <cell r="L252">
            <v>65.043917855553545</v>
          </cell>
          <cell r="M252">
            <v>2885.5528523222251</v>
          </cell>
          <cell r="N252">
            <v>24415881.829578441</v>
          </cell>
          <cell r="O252">
            <v>252099.96726461995</v>
          </cell>
          <cell r="P252">
            <v>337790.2333333334</v>
          </cell>
          <cell r="Q252">
            <v>65.043917855553545</v>
          </cell>
          <cell r="T252">
            <v>530076.05897159269</v>
          </cell>
          <cell r="W252">
            <v>1</v>
          </cell>
          <cell r="X252">
            <v>1</v>
          </cell>
          <cell r="Y252">
            <v>1</v>
          </cell>
          <cell r="Z252">
            <v>1</v>
          </cell>
          <cell r="AA252">
            <v>1</v>
          </cell>
          <cell r="AB252">
            <v>1</v>
          </cell>
        </row>
        <row r="253">
          <cell r="A253" t="str">
            <v>BUIS193,7x12,5</v>
          </cell>
          <cell r="B253" t="str">
            <v>193,7x12,5</v>
          </cell>
          <cell r="C253">
            <v>55.858302778989916</v>
          </cell>
          <cell r="D253">
            <v>193.7</v>
          </cell>
          <cell r="E253">
            <v>193.7</v>
          </cell>
          <cell r="F253">
            <v>12.5</v>
          </cell>
          <cell r="G253">
            <v>12.5</v>
          </cell>
          <cell r="H253">
            <v>7115.7073603808813</v>
          </cell>
          <cell r="I253">
            <v>29343122.493710436</v>
          </cell>
          <cell r="J253">
            <v>302974.93540227605</v>
          </cell>
          <cell r="K253">
            <v>411069.04166666669</v>
          </cell>
          <cell r="L253">
            <v>64.21612920442962</v>
          </cell>
          <cell r="M253">
            <v>3557.8536801904406</v>
          </cell>
          <cell r="N253">
            <v>29343122.493710436</v>
          </cell>
          <cell r="O253">
            <v>302974.93540227605</v>
          </cell>
          <cell r="P253">
            <v>411069.04166666669</v>
          </cell>
          <cell r="Q253">
            <v>64.21612920442962</v>
          </cell>
          <cell r="T253">
            <v>644683.08685050777</v>
          </cell>
          <cell r="W253">
            <v>1</v>
          </cell>
          <cell r="X253">
            <v>1</v>
          </cell>
          <cell r="Y253">
            <v>1</v>
          </cell>
          <cell r="Z253">
            <v>1</v>
          </cell>
          <cell r="AA253">
            <v>1</v>
          </cell>
          <cell r="AB253">
            <v>1</v>
          </cell>
        </row>
        <row r="254">
          <cell r="A254" t="str">
            <v>BUIS193,7x14,2</v>
          </cell>
          <cell r="B254" t="str">
            <v>193,7x14,2</v>
          </cell>
          <cell r="C254">
            <v>62.859703290669941</v>
          </cell>
          <cell r="D254">
            <v>193.7</v>
          </cell>
          <cell r="E254">
            <v>193.7</v>
          </cell>
          <cell r="F254">
            <v>14.2</v>
          </cell>
          <cell r="G254">
            <v>14.2</v>
          </cell>
          <cell r="H254">
            <v>8007.6055147350253</v>
          </cell>
          <cell r="I254">
            <v>32452713.145266537</v>
          </cell>
          <cell r="J254">
            <v>335082.22142763593</v>
          </cell>
          <cell r="K254">
            <v>458481.97933333338</v>
          </cell>
          <cell r="L254">
            <v>63.661104687242108</v>
          </cell>
          <cell r="M254">
            <v>4003.8027573675126</v>
          </cell>
          <cell r="N254">
            <v>32452713.145266537</v>
          </cell>
          <cell r="O254">
            <v>335082.22142763593</v>
          </cell>
          <cell r="P254">
            <v>458481.97933333338</v>
          </cell>
          <cell r="Q254">
            <v>63.661104687242108</v>
          </cell>
          <cell r="T254">
            <v>718682.59494746837</v>
          </cell>
          <cell r="W254">
            <v>1</v>
          </cell>
          <cell r="X254">
            <v>1</v>
          </cell>
          <cell r="Y254">
            <v>1</v>
          </cell>
          <cell r="Z254">
            <v>1</v>
          </cell>
          <cell r="AA254">
            <v>1</v>
          </cell>
          <cell r="AB254">
            <v>1</v>
          </cell>
        </row>
        <row r="255">
          <cell r="A255" t="str">
            <v>BUIS193,7x16,0</v>
          </cell>
          <cell r="B255" t="str">
            <v>193,7x16,0</v>
          </cell>
          <cell r="C255">
            <v>70.117583426589007</v>
          </cell>
          <cell r="D255">
            <v>193.7</v>
          </cell>
          <cell r="E255">
            <v>193.7</v>
          </cell>
          <cell r="F255">
            <v>16</v>
          </cell>
          <cell r="G255">
            <v>16</v>
          </cell>
          <cell r="H255">
            <v>8932.1762326864991</v>
          </cell>
          <cell r="I255">
            <v>35542569.543277085</v>
          </cell>
          <cell r="J255">
            <v>366985.74644581403</v>
          </cell>
          <cell r="K255">
            <v>506601.97333333333</v>
          </cell>
          <cell r="L255">
            <v>63.08059329143947</v>
          </cell>
          <cell r="M255">
            <v>4466.0881163432496</v>
          </cell>
          <cell r="N255">
            <v>35542569.543277085</v>
          </cell>
          <cell r="O255">
            <v>366985.74644581403</v>
          </cell>
          <cell r="P255">
            <v>506601.97333333333</v>
          </cell>
          <cell r="Q255">
            <v>63.08059329143947</v>
          </cell>
          <cell r="T255">
            <v>793623.85827419546</v>
          </cell>
          <cell r="W255">
            <v>1</v>
          </cell>
          <cell r="X255">
            <v>1</v>
          </cell>
          <cell r="Y255">
            <v>1</v>
          </cell>
          <cell r="Z255">
            <v>1</v>
          </cell>
          <cell r="AA255">
            <v>1</v>
          </cell>
          <cell r="AB255">
            <v>1</v>
          </cell>
        </row>
        <row r="256">
          <cell r="A256" t="str">
            <v>BUIS193,7x20,0</v>
          </cell>
          <cell r="B256" t="str">
            <v>193,7x20,0</v>
          </cell>
          <cell r="C256">
            <v>85.674059096781889</v>
          </cell>
          <cell r="D256">
            <v>193.7</v>
          </cell>
          <cell r="E256">
            <v>193.7</v>
          </cell>
          <cell r="F256">
            <v>20</v>
          </cell>
          <cell r="G256">
            <v>20</v>
          </cell>
          <cell r="H256">
            <v>10913.892878570941</v>
          </cell>
          <cell r="I256">
            <v>41707018.722109795</v>
          </cell>
          <cell r="J256">
            <v>430635.19589168607</v>
          </cell>
          <cell r="K256">
            <v>606100.46666666667</v>
          </cell>
          <cell r="L256">
            <v>61.817968666076361</v>
          </cell>
          <cell r="M256">
            <v>5456.9464392854707</v>
          </cell>
          <cell r="N256">
            <v>41707018.722109795</v>
          </cell>
          <cell r="O256">
            <v>430635.19589168607</v>
          </cell>
          <cell r="P256">
            <v>606100.46666666667</v>
          </cell>
          <cell r="Q256">
            <v>61.817968666076361</v>
          </cell>
          <cell r="T256">
            <v>947871.59650388616</v>
          </cell>
          <cell r="W256">
            <v>1</v>
          </cell>
          <cell r="X256">
            <v>1</v>
          </cell>
          <cell r="Y256">
            <v>1</v>
          </cell>
          <cell r="Z256">
            <v>1</v>
          </cell>
          <cell r="AA256">
            <v>1</v>
          </cell>
          <cell r="AB256">
            <v>1</v>
          </cell>
        </row>
        <row r="257">
          <cell r="A257" t="str">
            <v>BUIS193,7x25,0</v>
          </cell>
          <cell r="B257" t="str">
            <v>193,7x25,0</v>
          </cell>
          <cell r="C257">
            <v>104.00988607964237</v>
          </cell>
          <cell r="D257">
            <v>193.7</v>
          </cell>
          <cell r="E257">
            <v>193.7</v>
          </cell>
          <cell r="F257">
            <v>25</v>
          </cell>
          <cell r="G257">
            <v>25</v>
          </cell>
          <cell r="H257">
            <v>13249.667016514952</v>
          </cell>
          <cell r="I257">
            <v>48170307.222320266</v>
          </cell>
          <cell r="J257">
            <v>497370.23461352882</v>
          </cell>
          <cell r="K257">
            <v>716700.58333333337</v>
          </cell>
          <cell r="L257">
            <v>60.295822823807612</v>
          </cell>
          <cell r="M257">
            <v>6624.8335082574758</v>
          </cell>
          <cell r="N257">
            <v>48170307.222320266</v>
          </cell>
          <cell r="O257">
            <v>497370.23461352882</v>
          </cell>
          <cell r="P257">
            <v>716700.58333333337</v>
          </cell>
          <cell r="Q257">
            <v>60.295822823807612</v>
          </cell>
          <cell r="T257">
            <v>1117609.412843036</v>
          </cell>
          <cell r="W257">
            <v>1</v>
          </cell>
          <cell r="X257">
            <v>1</v>
          </cell>
          <cell r="Y257">
            <v>1</v>
          </cell>
          <cell r="Z257">
            <v>1</v>
          </cell>
          <cell r="AA257">
            <v>1</v>
          </cell>
          <cell r="AB257">
            <v>1</v>
          </cell>
        </row>
        <row r="258">
          <cell r="A258" t="str">
            <v>BUIS193,7x30,0</v>
          </cell>
          <cell r="B258" t="str">
            <v>193,7x30,0</v>
          </cell>
          <cell r="C258">
            <v>121.11263794596884</v>
          </cell>
          <cell r="D258">
            <v>193.7</v>
          </cell>
          <cell r="E258">
            <v>193.7</v>
          </cell>
          <cell r="F258">
            <v>30</v>
          </cell>
          <cell r="G258">
            <v>30</v>
          </cell>
          <cell r="H258">
            <v>15428.36152177947</v>
          </cell>
          <cell r="I258">
            <v>53416246.829771996</v>
          </cell>
          <cell r="J258">
            <v>551535.84749377391</v>
          </cell>
          <cell r="K258">
            <v>812930.69999999984</v>
          </cell>
          <cell r="L258">
            <v>58.840557866152146</v>
          </cell>
          <cell r="M258">
            <v>7714.1807608897352</v>
          </cell>
          <cell r="N258">
            <v>53416246.829771996</v>
          </cell>
          <cell r="O258">
            <v>551535.84749377391</v>
          </cell>
          <cell r="P258">
            <v>812930.69999999984</v>
          </cell>
          <cell r="Q258">
            <v>58.840557866152146</v>
          </cell>
          <cell r="T258">
            <v>1262811.3905576495</v>
          </cell>
          <cell r="W258">
            <v>1</v>
          </cell>
          <cell r="X258">
            <v>1</v>
          </cell>
          <cell r="Y258">
            <v>1</v>
          </cell>
          <cell r="Z258">
            <v>1</v>
          </cell>
          <cell r="AA258">
            <v>1</v>
          </cell>
          <cell r="AB258">
            <v>1</v>
          </cell>
        </row>
        <row r="259">
          <cell r="A259" t="str">
            <v>BUIS219,1x4,0</v>
          </cell>
          <cell r="B259" t="str">
            <v>219,1x4,0</v>
          </cell>
          <cell r="C259">
            <v>21.218756605316958</v>
          </cell>
          <cell r="D259">
            <v>219.1</v>
          </cell>
          <cell r="E259">
            <v>219.1</v>
          </cell>
          <cell r="F259">
            <v>4</v>
          </cell>
          <cell r="G259">
            <v>4</v>
          </cell>
          <cell r="H259">
            <v>2703.026319148657</v>
          </cell>
          <cell r="I259">
            <v>15638362.148217458</v>
          </cell>
          <cell r="J259">
            <v>142750.90961403432</v>
          </cell>
          <cell r="K259">
            <v>185093.37333333338</v>
          </cell>
          <cell r="L259">
            <v>76.062482539028409</v>
          </cell>
          <cell r="M259">
            <v>1351.5131595743285</v>
          </cell>
          <cell r="N259">
            <v>15638362.148217458</v>
          </cell>
          <cell r="O259">
            <v>142750.90961403432</v>
          </cell>
          <cell r="P259">
            <v>185093.37333333338</v>
          </cell>
          <cell r="Q259">
            <v>76.062482539028409</v>
          </cell>
          <cell r="T259">
            <v>290710.48062443815</v>
          </cell>
          <cell r="W259">
            <v>2</v>
          </cell>
          <cell r="X259">
            <v>3</v>
          </cell>
          <cell r="Y259">
            <v>3</v>
          </cell>
          <cell r="Z259">
            <v>2</v>
          </cell>
          <cell r="AA259">
            <v>3</v>
          </cell>
          <cell r="AB259">
            <v>3</v>
          </cell>
        </row>
        <row r="260">
          <cell r="A260" t="str">
            <v>BUIS219,1x6,3</v>
          </cell>
          <cell r="B260" t="str">
            <v>219,1x6,3</v>
          </cell>
          <cell r="C260">
            <v>33.062196484602659</v>
          </cell>
          <cell r="D260">
            <v>219.1</v>
          </cell>
          <cell r="E260">
            <v>219.1</v>
          </cell>
          <cell r="F260">
            <v>6.3</v>
          </cell>
          <cell r="G260">
            <v>6.3</v>
          </cell>
          <cell r="H260">
            <v>4211.7447751086183</v>
          </cell>
          <cell r="I260">
            <v>23861392.58337234</v>
          </cell>
          <cell r="J260">
            <v>217812.80313438922</v>
          </cell>
          <cell r="K260">
            <v>285371.54099999991</v>
          </cell>
          <cell r="L260">
            <v>75.26912547651925</v>
          </cell>
          <cell r="M260">
            <v>2105.8723875543092</v>
          </cell>
          <cell r="N260">
            <v>23861392.58337234</v>
          </cell>
          <cell r="O260">
            <v>217812.80313438922</v>
          </cell>
          <cell r="P260">
            <v>285371.54099999991</v>
          </cell>
          <cell r="Q260">
            <v>75.26912547651925</v>
          </cell>
          <cell r="T260">
            <v>448129.64407155709</v>
          </cell>
          <cell r="W260">
            <v>1</v>
          </cell>
          <cell r="X260">
            <v>2</v>
          </cell>
          <cell r="Y260">
            <v>2</v>
          </cell>
          <cell r="Z260">
            <v>1</v>
          </cell>
          <cell r="AA260">
            <v>2</v>
          </cell>
          <cell r="AB260">
            <v>2</v>
          </cell>
        </row>
        <row r="261">
          <cell r="A261" t="str">
            <v>BUIS219,1x8,0</v>
          </cell>
          <cell r="B261" t="str">
            <v>219,1x8,0</v>
          </cell>
          <cell r="C261">
            <v>41.64834513605215</v>
          </cell>
          <cell r="D261">
            <v>219.1</v>
          </cell>
          <cell r="E261">
            <v>219.1</v>
          </cell>
          <cell r="F261">
            <v>8</v>
          </cell>
          <cell r="G261">
            <v>8</v>
          </cell>
          <cell r="H261">
            <v>5305.52167338244</v>
          </cell>
          <cell r="I261">
            <v>29596328.734698698</v>
          </cell>
          <cell r="J261">
            <v>270162.74518209673</v>
          </cell>
          <cell r="K261">
            <v>356676.3466666665</v>
          </cell>
          <cell r="L261">
            <v>74.688695597125005</v>
          </cell>
          <cell r="M261">
            <v>2652.76083669122</v>
          </cell>
          <cell r="N261">
            <v>29596328.734698698</v>
          </cell>
          <cell r="O261">
            <v>270162.74518209673</v>
          </cell>
          <cell r="P261">
            <v>356676.3466666665</v>
          </cell>
          <cell r="Q261">
            <v>74.688695597125005</v>
          </cell>
          <cell r="T261">
            <v>559997.81262551679</v>
          </cell>
          <cell r="W261">
            <v>1</v>
          </cell>
          <cell r="X261">
            <v>1</v>
          </cell>
          <cell r="Y261">
            <v>2</v>
          </cell>
          <cell r="Z261">
            <v>1</v>
          </cell>
          <cell r="AA261">
            <v>1</v>
          </cell>
          <cell r="AB261">
            <v>2</v>
          </cell>
        </row>
        <row r="262">
          <cell r="A262" t="str">
            <v>BUIS219,1x10,0</v>
          </cell>
          <cell r="B262" t="str">
            <v>219,1x10,0</v>
          </cell>
          <cell r="C262">
            <v>51.567201373451617</v>
          </cell>
          <cell r="D262">
            <v>219.1</v>
          </cell>
          <cell r="E262">
            <v>219.1</v>
          </cell>
          <cell r="F262">
            <v>10</v>
          </cell>
          <cell r="G262">
            <v>10</v>
          </cell>
          <cell r="H262">
            <v>6569.0702386562571</v>
          </cell>
          <cell r="I262">
            <v>35984389.618160978</v>
          </cell>
          <cell r="J262">
            <v>328474.57433282502</v>
          </cell>
          <cell r="K262">
            <v>437561.43333333329</v>
          </cell>
          <cell r="L262">
            <v>74.012507388954205</v>
          </cell>
          <cell r="M262">
            <v>3284.5351193281285</v>
          </cell>
          <cell r="N262">
            <v>35984389.618160978</v>
          </cell>
          <cell r="O262">
            <v>328474.57433282502</v>
          </cell>
          <cell r="P262">
            <v>437561.43333333329</v>
          </cell>
          <cell r="Q262">
            <v>74.012507388954205</v>
          </cell>
          <cell r="T262">
            <v>686796.29345151177</v>
          </cell>
          <cell r="W262">
            <v>1</v>
          </cell>
          <cell r="X262">
            <v>1</v>
          </cell>
          <cell r="Y262">
            <v>1</v>
          </cell>
          <cell r="Z262">
            <v>1</v>
          </cell>
          <cell r="AA262">
            <v>1</v>
          </cell>
          <cell r="AB262">
            <v>1</v>
          </cell>
        </row>
        <row r="263">
          <cell r="A263" t="str">
            <v>BUIS219,1x12,5</v>
          </cell>
          <cell r="B263" t="str">
            <v>219,1x12,5</v>
          </cell>
          <cell r="C263">
            <v>63.688329768980779</v>
          </cell>
          <cell r="D263">
            <v>219.1</v>
          </cell>
          <cell r="E263">
            <v>219.1</v>
          </cell>
          <cell r="F263">
            <v>12.5</v>
          </cell>
          <cell r="G263">
            <v>12.5</v>
          </cell>
          <cell r="H263">
            <v>8113.1630278956409</v>
          </cell>
          <cell r="I263">
            <v>43445795.326759242</v>
          </cell>
          <cell r="J263">
            <v>396584.16546562524</v>
          </cell>
          <cell r="K263">
            <v>534195.54166666663</v>
          </cell>
          <cell r="L263">
            <v>73.177703229877338</v>
          </cell>
          <cell r="M263">
            <v>4056.5815139478204</v>
          </cell>
          <cell r="N263">
            <v>43445795.326759242</v>
          </cell>
          <cell r="O263">
            <v>396584.16546562524</v>
          </cell>
          <cell r="P263">
            <v>534195.54166666663</v>
          </cell>
          <cell r="Q263">
            <v>73.177703229877338</v>
          </cell>
          <cell r="T263">
            <v>838089.74078161968</v>
          </cell>
          <cell r="W263">
            <v>1</v>
          </cell>
          <cell r="X263">
            <v>1</v>
          </cell>
          <cell r="Y263">
            <v>1</v>
          </cell>
          <cell r="Z263">
            <v>1</v>
          </cell>
          <cell r="AA263">
            <v>1</v>
          </cell>
          <cell r="AB263">
            <v>1</v>
          </cell>
        </row>
        <row r="264">
          <cell r="A264" t="str">
            <v>BUIS219,1x14,2</v>
          </cell>
          <cell r="B264" t="str">
            <v>219,1x14,2</v>
          </cell>
          <cell r="C264">
            <v>71.754613951299547</v>
          </cell>
          <cell r="D264">
            <v>219.1</v>
          </cell>
          <cell r="E264">
            <v>219.1</v>
          </cell>
          <cell r="F264">
            <v>14.2</v>
          </cell>
          <cell r="G264">
            <v>14.2</v>
          </cell>
          <cell r="H264">
            <v>9140.7151530317897</v>
          </cell>
          <cell r="I264">
            <v>48200876.274436943</v>
          </cell>
          <cell r="J264">
            <v>439989.74234994932</v>
          </cell>
          <cell r="K264">
            <v>597127.37133333331</v>
          </cell>
          <cell r="L264">
            <v>72.616845497446391</v>
          </cell>
          <cell r="M264">
            <v>4570.3575765158948</v>
          </cell>
          <cell r="N264">
            <v>48200876.274436943</v>
          </cell>
          <cell r="O264">
            <v>439989.74234994932</v>
          </cell>
          <cell r="P264">
            <v>597127.37133333331</v>
          </cell>
          <cell r="Q264">
            <v>72.616845497446391</v>
          </cell>
          <cell r="T264">
            <v>936466.26742810686</v>
          </cell>
          <cell r="W264">
            <v>1</v>
          </cell>
          <cell r="X264">
            <v>1</v>
          </cell>
          <cell r="Y264">
            <v>1</v>
          </cell>
          <cell r="Z264">
            <v>1</v>
          </cell>
          <cell r="AA264">
            <v>1</v>
          </cell>
          <cell r="AB264">
            <v>1</v>
          </cell>
        </row>
        <row r="265">
          <cell r="A265" t="str">
            <v>BUIS219,1x16,0</v>
          </cell>
          <cell r="B265" t="str">
            <v>219,1x16,0</v>
          </cell>
          <cell r="C265">
            <v>80.140017973777333</v>
          </cell>
          <cell r="D265">
            <v>219.1</v>
          </cell>
          <cell r="E265">
            <v>219.1</v>
          </cell>
          <cell r="F265">
            <v>16</v>
          </cell>
          <cell r="G265">
            <v>16</v>
          </cell>
          <cell r="H265">
            <v>10208.919487105393</v>
          </cell>
          <cell r="I265">
            <v>52965928.84414956</v>
          </cell>
          <cell r="J265">
            <v>483486.34271245607</v>
          </cell>
          <cell r="K265">
            <v>661359.09333333338</v>
          </cell>
          <cell r="L265">
            <v>72.029169438499011</v>
          </cell>
          <cell r="M265">
            <v>5104.4597435526966</v>
          </cell>
          <cell r="N265">
            <v>52965928.84414956</v>
          </cell>
          <cell r="O265">
            <v>483486.34271245607</v>
          </cell>
          <cell r="P265">
            <v>661359.09333333338</v>
          </cell>
          <cell r="Q265">
            <v>72.029169438499011</v>
          </cell>
          <cell r="T265">
            <v>1036715.7739155525</v>
          </cell>
          <cell r="W265">
            <v>1</v>
          </cell>
          <cell r="X265">
            <v>1</v>
          </cell>
          <cell r="Y265">
            <v>1</v>
          </cell>
          <cell r="Z265">
            <v>1</v>
          </cell>
          <cell r="AA265">
            <v>1</v>
          </cell>
          <cell r="AB265">
            <v>1</v>
          </cell>
        </row>
        <row r="266">
          <cell r="A266" t="str">
            <v>BUIS219,1x17,5</v>
          </cell>
          <cell r="B266" t="str">
            <v>219,1x17,5</v>
          </cell>
          <cell r="C266">
            <v>87.005780222638606</v>
          </cell>
          <cell r="D266">
            <v>219.1</v>
          </cell>
          <cell r="E266">
            <v>219.1</v>
          </cell>
          <cell r="F266">
            <v>17.5</v>
          </cell>
          <cell r="G266">
            <v>17.5</v>
          </cell>
          <cell r="H266">
            <v>11083.53888186479</v>
          </cell>
          <cell r="I266">
            <v>56732215.97513672</v>
          </cell>
          <cell r="J266">
            <v>517865.96052155836</v>
          </cell>
          <cell r="K266">
            <v>713031.2583333333</v>
          </cell>
          <cell r="L266">
            <v>71.544400549588786</v>
          </cell>
          <cell r="M266">
            <v>5541.7694409323949</v>
          </cell>
          <cell r="N266">
            <v>56732215.97513672</v>
          </cell>
          <cell r="O266">
            <v>517865.96052155836</v>
          </cell>
          <cell r="P266">
            <v>713031.2583333333</v>
          </cell>
          <cell r="Q266">
            <v>71.544400549588786</v>
          </cell>
          <cell r="T266">
            <v>1117220.7192919708</v>
          </cell>
          <cell r="W266">
            <v>1</v>
          </cell>
          <cell r="X266">
            <v>1</v>
          </cell>
          <cell r="Y266">
            <v>1</v>
          </cell>
          <cell r="Z266">
            <v>1</v>
          </cell>
          <cell r="AA266">
            <v>1</v>
          </cell>
          <cell r="AB266">
            <v>1</v>
          </cell>
        </row>
        <row r="267">
          <cell r="A267" t="str">
            <v>BUIS219,1x20,0</v>
          </cell>
          <cell r="B267" t="str">
            <v>219,1x20,0</v>
          </cell>
          <cell r="C267">
            <v>98.202102280767278</v>
          </cell>
          <cell r="D267">
            <v>219.1</v>
          </cell>
          <cell r="E267">
            <v>219.1</v>
          </cell>
          <cell r="F267">
            <v>20</v>
          </cell>
          <cell r="G267">
            <v>20</v>
          </cell>
          <cell r="H267">
            <v>12509.821946594557</v>
          </cell>
          <cell r="I267">
            <v>62612925.46217785</v>
          </cell>
          <cell r="J267">
            <v>571546.55830376863</v>
          </cell>
          <cell r="K267">
            <v>795482.8666666667</v>
          </cell>
          <cell r="L267">
            <v>70.74674020758836</v>
          </cell>
          <cell r="M267">
            <v>6254.9109732972784</v>
          </cell>
          <cell r="N267">
            <v>62612925.46217785</v>
          </cell>
          <cell r="O267">
            <v>571546.55830376863</v>
          </cell>
          <cell r="P267">
            <v>795482.8666666667</v>
          </cell>
          <cell r="Q267">
            <v>70.74674020758836</v>
          </cell>
          <cell r="T267">
            <v>1245352.7747834879</v>
          </cell>
          <cell r="W267">
            <v>1</v>
          </cell>
          <cell r="X267">
            <v>1</v>
          </cell>
          <cell r="Y267">
            <v>1</v>
          </cell>
          <cell r="Z267">
            <v>1</v>
          </cell>
          <cell r="AA267">
            <v>1</v>
          </cell>
          <cell r="AB267">
            <v>1</v>
          </cell>
        </row>
        <row r="268">
          <cell r="A268" t="str">
            <v>BUIS219,1x22,5</v>
          </cell>
          <cell r="B268" t="str">
            <v>219,1x22,5</v>
          </cell>
          <cell r="C268">
            <v>109.09015555976244</v>
          </cell>
          <cell r="D268">
            <v>219.1</v>
          </cell>
          <cell r="E268">
            <v>219.1</v>
          </cell>
          <cell r="F268">
            <v>22.5</v>
          </cell>
          <cell r="G268">
            <v>22.5</v>
          </cell>
          <cell r="H268">
            <v>13896.83510315445</v>
          </cell>
          <cell r="I268">
            <v>68021203.571331546</v>
          </cell>
          <cell r="J268">
            <v>620914.68344437738</v>
          </cell>
          <cell r="K268">
            <v>873456.97499999998</v>
          </cell>
          <cell r="L268">
            <v>69.962320215956254</v>
          </cell>
          <cell r="M268">
            <v>6948.4175515772249</v>
          </cell>
          <cell r="N268">
            <v>68021203.571331546</v>
          </cell>
          <cell r="O268">
            <v>620914.68344437738</v>
          </cell>
          <cell r="P268">
            <v>873456.97499999998</v>
          </cell>
          <cell r="Q268">
            <v>69.962320215956254</v>
          </cell>
          <cell r="T268">
            <v>1366058.8906400823</v>
          </cell>
          <cell r="W268">
            <v>1</v>
          </cell>
          <cell r="X268">
            <v>1</v>
          </cell>
          <cell r="Y268">
            <v>1</v>
          </cell>
          <cell r="Z268">
            <v>1</v>
          </cell>
          <cell r="AA268">
            <v>1</v>
          </cell>
          <cell r="AB268">
            <v>1</v>
          </cell>
        </row>
        <row r="269">
          <cell r="A269" t="str">
            <v>BUIS219,1x25,0</v>
          </cell>
          <cell r="B269" t="str">
            <v>219,1x25,0</v>
          </cell>
          <cell r="C269">
            <v>119.6699400596241</v>
          </cell>
          <cell r="D269">
            <v>219.1</v>
          </cell>
          <cell r="E269">
            <v>219.1</v>
          </cell>
          <cell r="F269">
            <v>25</v>
          </cell>
          <cell r="G269">
            <v>25</v>
          </cell>
          <cell r="H269">
            <v>15244.578351544471</v>
          </cell>
          <cell r="I269">
            <v>72983056.799283296</v>
          </cell>
          <cell r="J269">
            <v>666207.7297972003</v>
          </cell>
          <cell r="K269">
            <v>947078.58333333337</v>
          </cell>
          <cell r="L269">
            <v>69.191590890801166</v>
          </cell>
          <cell r="M269">
            <v>7622.2891757722355</v>
          </cell>
          <cell r="N269">
            <v>72983056.799283296</v>
          </cell>
          <cell r="O269">
            <v>666207.7297972003</v>
          </cell>
          <cell r="P269">
            <v>947078.58333333337</v>
          </cell>
          <cell r="Q269">
            <v>69.191590890801166</v>
          </cell>
          <cell r="T269">
            <v>1479486.3290173907</v>
          </cell>
          <cell r="W269">
            <v>1</v>
          </cell>
          <cell r="X269">
            <v>1</v>
          </cell>
          <cell r="Y269">
            <v>1</v>
          </cell>
          <cell r="Z269">
            <v>1</v>
          </cell>
          <cell r="AA269">
            <v>1</v>
          </cell>
          <cell r="AB269">
            <v>1</v>
          </cell>
        </row>
        <row r="270">
          <cell r="A270" t="str">
            <v>BUIS219,1x28,0</v>
          </cell>
          <cell r="B270" t="str">
            <v>219,1x28,0</v>
          </cell>
          <cell r="C270">
            <v>131.95876667100188</v>
          </cell>
          <cell r="D270">
            <v>219.1</v>
          </cell>
          <cell r="E270">
            <v>219.1</v>
          </cell>
          <cell r="F270">
            <v>28</v>
          </cell>
          <cell r="G270">
            <v>28</v>
          </cell>
          <cell r="H270">
            <v>16810.033970828266</v>
          </cell>
          <cell r="I270">
            <v>78383528.415117592</v>
          </cell>
          <cell r="J270">
            <v>715504.59530002368</v>
          </cell>
          <cell r="K270">
            <v>1029855.2133333334</v>
          </cell>
          <cell r="L270">
            <v>68.285439516781324</v>
          </cell>
          <cell r="M270">
            <v>8405.0169854141332</v>
          </cell>
          <cell r="N270">
            <v>78383528.415117592</v>
          </cell>
          <cell r="O270">
            <v>715504.59530002368</v>
          </cell>
          <cell r="P270">
            <v>1029855.2133333334</v>
          </cell>
          <cell r="Q270">
            <v>68.285439516781324</v>
          </cell>
          <cell r="T270">
            <v>1606198.7459126406</v>
          </cell>
          <cell r="W270">
            <v>1</v>
          </cell>
          <cell r="X270">
            <v>1</v>
          </cell>
          <cell r="Y270">
            <v>1</v>
          </cell>
          <cell r="Z270">
            <v>1</v>
          </cell>
          <cell r="AA270">
            <v>1</v>
          </cell>
          <cell r="AB270">
            <v>1</v>
          </cell>
        </row>
        <row r="271">
          <cell r="A271" t="str">
            <v>BUIS219,1x30,0</v>
          </cell>
          <cell r="B271" t="str">
            <v>219,1x30,0</v>
          </cell>
          <cell r="C271">
            <v>139.90470272194693</v>
          </cell>
          <cell r="D271">
            <v>219.1</v>
          </cell>
          <cell r="E271">
            <v>219.1</v>
          </cell>
          <cell r="F271">
            <v>30</v>
          </cell>
          <cell r="G271">
            <v>30</v>
          </cell>
          <cell r="H271">
            <v>17822.255123814895</v>
          </cell>
          <cell r="I271">
            <v>81667833.044432089</v>
          </cell>
          <cell r="J271">
            <v>745484.55540330522</v>
          </cell>
          <cell r="K271">
            <v>1081764.3</v>
          </cell>
          <cell r="L271">
            <v>67.693066483946495</v>
          </cell>
          <cell r="M271">
            <v>8911.1275619074477</v>
          </cell>
          <cell r="N271">
            <v>81667833.044432089</v>
          </cell>
          <cell r="O271">
            <v>745484.55540330522</v>
          </cell>
          <cell r="P271">
            <v>1081764.3</v>
          </cell>
          <cell r="Q271">
            <v>67.693066483946495</v>
          </cell>
          <cell r="T271">
            <v>1685094.2219566982</v>
          </cell>
          <cell r="W271">
            <v>1</v>
          </cell>
          <cell r="X271">
            <v>1</v>
          </cell>
          <cell r="Y271">
            <v>1</v>
          </cell>
          <cell r="Z271">
            <v>1</v>
          </cell>
          <cell r="AA271">
            <v>1</v>
          </cell>
          <cell r="AB271">
            <v>1</v>
          </cell>
        </row>
        <row r="272">
          <cell r="A272" t="str">
            <v>BUIS244,5x6,3</v>
          </cell>
          <cell r="B272" t="str">
            <v>244,5x6,3</v>
          </cell>
          <cell r="C272">
            <v>37.008530087558057</v>
          </cell>
          <cell r="D272">
            <v>244.5</v>
          </cell>
          <cell r="E272">
            <v>244.5</v>
          </cell>
          <cell r="F272">
            <v>6.3</v>
          </cell>
          <cell r="G272">
            <v>6.3</v>
          </cell>
          <cell r="H272">
            <v>4714.4624315360588</v>
          </cell>
          <cell r="I272">
            <v>33460266.548476964</v>
          </cell>
          <cell r="J272">
            <v>273703.61184848234</v>
          </cell>
          <cell r="K272">
            <v>357540.56100000005</v>
          </cell>
          <cell r="L272">
            <v>84.245867851189004</v>
          </cell>
          <cell r="M272">
            <v>2357.2312157680294</v>
          </cell>
          <cell r="N272">
            <v>33460266.548476964</v>
          </cell>
          <cell r="O272">
            <v>273703.61184848234</v>
          </cell>
          <cell r="P272">
            <v>357540.56100000005</v>
          </cell>
          <cell r="Q272">
            <v>84.245867851189004</v>
          </cell>
          <cell r="T272">
            <v>561492.47559594456</v>
          </cell>
          <cell r="W272">
            <v>1</v>
          </cell>
          <cell r="X272">
            <v>2</v>
          </cell>
          <cell r="Y272">
            <v>3</v>
          </cell>
          <cell r="Z272">
            <v>1</v>
          </cell>
          <cell r="AA272">
            <v>2</v>
          </cell>
          <cell r="AB272">
            <v>3</v>
          </cell>
        </row>
        <row r="273">
          <cell r="A273" t="str">
            <v>BUIS244,5x8,0</v>
          </cell>
          <cell r="B273" t="str">
            <v>244,5x8,0</v>
          </cell>
          <cell r="C273">
            <v>46.659562409646327</v>
          </cell>
          <cell r="D273">
            <v>244.5</v>
          </cell>
          <cell r="E273">
            <v>244.5</v>
          </cell>
          <cell r="F273">
            <v>8</v>
          </cell>
          <cell r="G273">
            <v>8</v>
          </cell>
          <cell r="H273">
            <v>5943.8933005918889</v>
          </cell>
          <cell r="I273">
            <v>41604466.90415857</v>
          </cell>
          <cell r="J273">
            <v>340322.83766182879</v>
          </cell>
          <cell r="K273">
            <v>447628.66666666669</v>
          </cell>
          <cell r="L273">
            <v>83.663201289455813</v>
          </cell>
          <cell r="M273">
            <v>2971.9466502959444</v>
          </cell>
          <cell r="N273">
            <v>41604466.90415857</v>
          </cell>
          <cell r="O273">
            <v>340322.83766182879</v>
          </cell>
          <cell r="P273">
            <v>447628.66666666669</v>
          </cell>
          <cell r="Q273">
            <v>83.663201289455813</v>
          </cell>
          <cell r="T273">
            <v>702865.38279499079</v>
          </cell>
          <cell r="W273">
            <v>1</v>
          </cell>
          <cell r="X273">
            <v>1</v>
          </cell>
          <cell r="Y273">
            <v>2</v>
          </cell>
          <cell r="Z273">
            <v>1</v>
          </cell>
          <cell r="AA273">
            <v>1</v>
          </cell>
          <cell r="AB273">
            <v>2</v>
          </cell>
        </row>
        <row r="274">
          <cell r="A274" t="str">
            <v>BUIS244,5x10,0</v>
          </cell>
          <cell r="B274" t="str">
            <v>244,5x10,0</v>
          </cell>
          <cell r="C274">
            <v>57.831222965444304</v>
          </cell>
          <cell r="D274">
            <v>244.5</v>
          </cell>
          <cell r="E274">
            <v>244.5</v>
          </cell>
          <cell r="F274">
            <v>10</v>
          </cell>
          <cell r="G274">
            <v>10</v>
          </cell>
          <cell r="H274">
            <v>7367.0347726680648</v>
          </cell>
          <cell r="I274">
            <v>50731473.423122108</v>
          </cell>
          <cell r="J274">
            <v>414981.37769425038</v>
          </cell>
          <cell r="K274">
            <v>550235.83333333337</v>
          </cell>
          <cell r="L274">
            <v>82.983620371733608</v>
          </cell>
          <cell r="M274">
            <v>3683.5173863340324</v>
          </cell>
          <cell r="N274">
            <v>50731473.423122108</v>
          </cell>
          <cell r="O274">
            <v>414981.37769425038</v>
          </cell>
          <cell r="P274">
            <v>550235.83333333337</v>
          </cell>
          <cell r="Q274">
            <v>82.983620371733608</v>
          </cell>
          <cell r="T274">
            <v>863784.82709533058</v>
          </cell>
          <cell r="W274">
            <v>1</v>
          </cell>
          <cell r="X274">
            <v>1</v>
          </cell>
          <cell r="Y274">
            <v>1</v>
          </cell>
          <cell r="Z274">
            <v>1</v>
          </cell>
          <cell r="AA274">
            <v>1</v>
          </cell>
          <cell r="AB274">
            <v>1</v>
          </cell>
        </row>
        <row r="275">
          <cell r="A275" t="str">
            <v>BUIS244,5x12,5</v>
          </cell>
          <cell r="B275" t="str">
            <v>244,5x12,5</v>
          </cell>
          <cell r="C275">
            <v>71.518356758971649</v>
          </cell>
          <cell r="D275">
            <v>244.5</v>
          </cell>
          <cell r="E275">
            <v>244.5</v>
          </cell>
          <cell r="F275">
            <v>12.5</v>
          </cell>
          <cell r="G275">
            <v>12.5</v>
          </cell>
          <cell r="H275">
            <v>9110.6186954103996</v>
          </cell>
          <cell r="I275">
            <v>61474184.354115903</v>
          </cell>
          <cell r="J275">
            <v>502856.31373509939</v>
          </cell>
          <cell r="K275">
            <v>673451.04166666663</v>
          </cell>
          <cell r="L275">
            <v>82.143357917728196</v>
          </cell>
          <cell r="M275">
            <v>4555.3093477051998</v>
          </cell>
          <cell r="N275">
            <v>61474184.354115903</v>
          </cell>
          <cell r="O275">
            <v>502856.31373509939</v>
          </cell>
          <cell r="P275">
            <v>673451.04166666663</v>
          </cell>
          <cell r="Q275">
            <v>82.143357917728196</v>
          </cell>
          <cell r="T275">
            <v>1056831.7686676064</v>
          </cell>
          <cell r="W275">
            <v>1</v>
          </cell>
          <cell r="X275">
            <v>1</v>
          </cell>
          <cell r="Y275">
            <v>1</v>
          </cell>
          <cell r="Z275">
            <v>1</v>
          </cell>
          <cell r="AA275">
            <v>1</v>
          </cell>
          <cell r="AB275">
            <v>1</v>
          </cell>
        </row>
        <row r="276">
          <cell r="A276" t="str">
            <v>BUIS244,5x14,2</v>
          </cell>
          <cell r="B276" t="str">
            <v>244,5x14,2</v>
          </cell>
          <cell r="C276">
            <v>80.649524611929181</v>
          </cell>
          <cell r="D276">
            <v>244.5</v>
          </cell>
          <cell r="E276">
            <v>244.5</v>
          </cell>
          <cell r="F276">
            <v>14.2</v>
          </cell>
          <cell r="G276">
            <v>14.2</v>
          </cell>
          <cell r="H276">
            <v>10273.824791328558</v>
          </cell>
          <cell r="I276">
            <v>68371957.244704857</v>
          </cell>
          <cell r="J276">
            <v>559279.81386261643</v>
          </cell>
          <cell r="K276">
            <v>754095.30733333342</v>
          </cell>
          <cell r="L276">
            <v>81.577976501014049</v>
          </cell>
          <cell r="M276">
            <v>5136.9123956642788</v>
          </cell>
          <cell r="N276">
            <v>68371957.244704857</v>
          </cell>
          <cell r="O276">
            <v>559279.81386261643</v>
          </cell>
          <cell r="P276">
            <v>754095.30733333342</v>
          </cell>
          <cell r="Q276">
            <v>81.577976501014049</v>
          </cell>
          <cell r="T276">
            <v>1183030.9247214834</v>
          </cell>
          <cell r="W276">
            <v>1</v>
          </cell>
          <cell r="X276">
            <v>1</v>
          </cell>
          <cell r="Y276">
            <v>1</v>
          </cell>
          <cell r="Z276">
            <v>1</v>
          </cell>
          <cell r="AA276">
            <v>1</v>
          </cell>
          <cell r="AB276">
            <v>1</v>
          </cell>
        </row>
        <row r="277">
          <cell r="A277" t="str">
            <v>BUIS244,5x16,0</v>
          </cell>
          <cell r="B277" t="str">
            <v>244,5x16,0</v>
          </cell>
          <cell r="C277">
            <v>90.16245252096563</v>
          </cell>
          <cell r="D277">
            <v>244.5</v>
          </cell>
          <cell r="E277">
            <v>244.5</v>
          </cell>
          <cell r="F277">
            <v>16</v>
          </cell>
          <cell r="G277">
            <v>16</v>
          </cell>
          <cell r="H277">
            <v>11485.662741524284</v>
          </cell>
          <cell r="I277">
            <v>75329078.017247692</v>
          </cell>
          <cell r="J277">
            <v>616188.77723719995</v>
          </cell>
          <cell r="K277">
            <v>836761.33333333337</v>
          </cell>
          <cell r="L277">
            <v>80.984759368661457</v>
          </cell>
          <cell r="M277">
            <v>5742.8313707621419</v>
          </cell>
          <cell r="N277">
            <v>75329078.017247692</v>
          </cell>
          <cell r="O277">
            <v>616188.77723719995</v>
          </cell>
          <cell r="P277">
            <v>836761.33333333337</v>
          </cell>
          <cell r="Q277">
            <v>80.984759368661457</v>
          </cell>
          <cell r="T277">
            <v>1312236.9682191494</v>
          </cell>
          <cell r="W277">
            <v>1</v>
          </cell>
          <cell r="X277">
            <v>1</v>
          </cell>
          <cell r="Y277">
            <v>1</v>
          </cell>
          <cell r="Z277">
            <v>1</v>
          </cell>
          <cell r="AA277">
            <v>1</v>
          </cell>
          <cell r="AB277">
            <v>1</v>
          </cell>
        </row>
        <row r="278">
          <cell r="A278" t="str">
            <v>BUIS244,5x20,0</v>
          </cell>
          <cell r="B278" t="str">
            <v>244,5x20,0</v>
          </cell>
          <cell r="C278">
            <v>110.73014546475264</v>
          </cell>
          <cell r="D278">
            <v>244.5</v>
          </cell>
          <cell r="E278">
            <v>244.5</v>
          </cell>
          <cell r="F278">
            <v>20</v>
          </cell>
          <cell r="G278">
            <v>20</v>
          </cell>
          <cell r="H278">
            <v>14105.75101461817</v>
          </cell>
          <cell r="I278">
            <v>89571959.747544587</v>
          </cell>
          <cell r="J278">
            <v>732694.96726007841</v>
          </cell>
          <cell r="K278">
            <v>1010671.6666666666</v>
          </cell>
          <cell r="L278">
            <v>79.687083332244001</v>
          </cell>
          <cell r="M278">
            <v>7052.8755073090852</v>
          </cell>
          <cell r="N278">
            <v>89571959.747544587</v>
          </cell>
          <cell r="O278">
            <v>732694.96726007841</v>
          </cell>
          <cell r="P278">
            <v>1010671.6666666666</v>
          </cell>
          <cell r="Q278">
            <v>79.687083332244001</v>
          </cell>
          <cell r="T278">
            <v>1583370.5513908898</v>
          </cell>
          <cell r="W278">
            <v>1</v>
          </cell>
          <cell r="X278">
            <v>1</v>
          </cell>
          <cell r="Y278">
            <v>1</v>
          </cell>
          <cell r="Z278">
            <v>1</v>
          </cell>
          <cell r="AA278">
            <v>1</v>
          </cell>
          <cell r="AB278">
            <v>1</v>
          </cell>
        </row>
        <row r="279">
          <cell r="A279" t="str">
            <v>BUIS244,5x25,0</v>
          </cell>
          <cell r="B279" t="str">
            <v>244,5x25,0</v>
          </cell>
          <cell r="C279">
            <v>135.32999403960582</v>
          </cell>
          <cell r="D279">
            <v>244.5</v>
          </cell>
          <cell r="E279">
            <v>244.5</v>
          </cell>
          <cell r="F279">
            <v>25</v>
          </cell>
          <cell r="G279">
            <v>25</v>
          </cell>
          <cell r="H279">
            <v>17239.48968657399</v>
          </cell>
          <cell r="I279">
            <v>105172200.50320815</v>
          </cell>
          <cell r="J279">
            <v>860304.29859474965</v>
          </cell>
          <cell r="K279">
            <v>1209714.5833333333</v>
          </cell>
          <cell r="L279">
            <v>78.106697856201805</v>
          </cell>
          <cell r="M279">
            <v>8619.7448432869951</v>
          </cell>
          <cell r="N279">
            <v>105172200.50320815</v>
          </cell>
          <cell r="O279">
            <v>860304.29859474965</v>
          </cell>
          <cell r="P279">
            <v>1209714.5833333333</v>
          </cell>
          <cell r="Q279">
            <v>78.106697856201805</v>
          </cell>
          <cell r="T279">
            <v>1892033.9931014953</v>
          </cell>
          <cell r="W279">
            <v>1</v>
          </cell>
          <cell r="X279">
            <v>1</v>
          </cell>
          <cell r="Y279">
            <v>1</v>
          </cell>
          <cell r="Z279">
            <v>1</v>
          </cell>
          <cell r="AA279">
            <v>1</v>
          </cell>
          <cell r="AB279">
            <v>1</v>
          </cell>
        </row>
        <row r="280">
          <cell r="A280" t="str">
            <v>BUIS244,5x30,0</v>
          </cell>
          <cell r="B280" t="str">
            <v>244,5x30,0</v>
          </cell>
          <cell r="C280">
            <v>158.69676749792498</v>
          </cell>
          <cell r="D280">
            <v>244.5</v>
          </cell>
          <cell r="E280">
            <v>244.5</v>
          </cell>
          <cell r="F280">
            <v>30</v>
          </cell>
          <cell r="G280">
            <v>30</v>
          </cell>
          <cell r="H280">
            <v>20216.148725850318</v>
          </cell>
          <cell r="I280">
            <v>118543073.84585249</v>
          </cell>
          <cell r="J280">
            <v>969677.4956715951</v>
          </cell>
          <cell r="K280">
            <v>1389307.5</v>
          </cell>
          <cell r="L280">
            <v>76.575330557562722</v>
          </cell>
          <cell r="M280">
            <v>10108.074362925159</v>
          </cell>
          <cell r="N280">
            <v>118543073.84585249</v>
          </cell>
          <cell r="O280">
            <v>969677.4956715951</v>
          </cell>
          <cell r="P280">
            <v>1389307.5</v>
          </cell>
          <cell r="Q280">
            <v>76.575330557562722</v>
          </cell>
          <cell r="T280">
            <v>2168181.9508474469</v>
          </cell>
          <cell r="W280">
            <v>1</v>
          </cell>
          <cell r="X280">
            <v>1</v>
          </cell>
          <cell r="Y280">
            <v>1</v>
          </cell>
          <cell r="Z280">
            <v>1</v>
          </cell>
          <cell r="AA280">
            <v>1</v>
          </cell>
          <cell r="AB280">
            <v>1</v>
          </cell>
        </row>
        <row r="281">
          <cell r="A281" t="str">
            <v>BUIS267,0x6,3</v>
          </cell>
          <cell r="B281" t="str">
            <v>267,0x6,3</v>
          </cell>
          <cell r="C281">
            <v>40.504298042931929</v>
          </cell>
          <cell r="D281">
            <v>267</v>
          </cell>
          <cell r="E281">
            <v>267</v>
          </cell>
          <cell r="F281">
            <v>6.3</v>
          </cell>
          <cell r="G281">
            <v>6.3</v>
          </cell>
          <cell r="H281">
            <v>5159.783190182412</v>
          </cell>
          <cell r="I281">
            <v>43860853.103267379</v>
          </cell>
          <cell r="J281">
            <v>328545.71612934367</v>
          </cell>
          <cell r="K281">
            <v>428259.63599999994</v>
          </cell>
          <cell r="L281">
            <v>92.198278183488881</v>
          </cell>
          <cell r="M281">
            <v>2579.891595091206</v>
          </cell>
          <cell r="N281">
            <v>43860853.103267379</v>
          </cell>
          <cell r="O281">
            <v>328545.71612934367</v>
          </cell>
          <cell r="P281">
            <v>428259.63599999994</v>
          </cell>
          <cell r="Q281">
            <v>92.198278183488881</v>
          </cell>
          <cell r="T281">
            <v>672577.73884027731</v>
          </cell>
          <cell r="W281">
            <v>1</v>
          </cell>
          <cell r="X281">
            <v>2</v>
          </cell>
          <cell r="Y281">
            <v>3</v>
          </cell>
          <cell r="Z281">
            <v>1</v>
          </cell>
          <cell r="AA281">
            <v>2</v>
          </cell>
          <cell r="AB281">
            <v>3</v>
          </cell>
        </row>
        <row r="282">
          <cell r="A282" t="str">
            <v>BUIS267,0x7,1</v>
          </cell>
          <cell r="B282" t="str">
            <v>267,0x7,1</v>
          </cell>
          <cell r="C282">
            <v>45.507623635780242</v>
          </cell>
          <cell r="D282">
            <v>267</v>
          </cell>
          <cell r="E282">
            <v>267</v>
          </cell>
          <cell r="F282">
            <v>7.1</v>
          </cell>
          <cell r="G282">
            <v>7.1</v>
          </cell>
          <cell r="H282">
            <v>5797.1495077427062</v>
          </cell>
          <cell r="I282">
            <v>48984768.403398089</v>
          </cell>
          <cell r="J282">
            <v>366927.10414530407</v>
          </cell>
          <cell r="K282">
            <v>479710.17466666643</v>
          </cell>
          <cell r="L282">
            <v>91.922807289594886</v>
          </cell>
          <cell r="M282">
            <v>2898.5747538713531</v>
          </cell>
          <cell r="N282">
            <v>48984768.403398089</v>
          </cell>
          <cell r="O282">
            <v>366927.10414530407</v>
          </cell>
          <cell r="P282">
            <v>479710.17466666643</v>
          </cell>
          <cell r="Q282">
            <v>91.922807289594886</v>
          </cell>
          <cell r="T282">
            <v>753339.57853116491</v>
          </cell>
          <cell r="W282">
            <v>1</v>
          </cell>
          <cell r="X282">
            <v>2</v>
          </cell>
          <cell r="Y282">
            <v>3</v>
          </cell>
          <cell r="Z282">
            <v>1</v>
          </cell>
          <cell r="AA282">
            <v>2</v>
          </cell>
          <cell r="AB282">
            <v>3</v>
          </cell>
        </row>
        <row r="283">
          <cell r="A283" t="str">
            <v>BUIS267,0x8,0</v>
          </cell>
          <cell r="B283" t="str">
            <v>267,0x8,0</v>
          </cell>
          <cell r="C283">
            <v>51.0986328291687</v>
          </cell>
          <cell r="D283">
            <v>267</v>
          </cell>
          <cell r="E283">
            <v>267</v>
          </cell>
          <cell r="F283">
            <v>8</v>
          </cell>
          <cell r="G283">
            <v>8</v>
          </cell>
          <cell r="H283">
            <v>6509.3799782380511</v>
          </cell>
          <cell r="I283">
            <v>54634039.829849243</v>
          </cell>
          <cell r="J283">
            <v>409243.74404381454</v>
          </cell>
          <cell r="K283">
            <v>536818.66666666663</v>
          </cell>
          <cell r="L283">
            <v>91.614000021830719</v>
          </cell>
          <cell r="M283">
            <v>3254.6899891190255</v>
          </cell>
          <cell r="N283">
            <v>54634039.829849243</v>
          </cell>
          <cell r="O283">
            <v>409243.74404381454</v>
          </cell>
          <cell r="P283">
            <v>536818.66666666663</v>
          </cell>
          <cell r="Q283">
            <v>91.614000021830719</v>
          </cell>
          <cell r="T283">
            <v>842964.70718182763</v>
          </cell>
          <cell r="W283">
            <v>1</v>
          </cell>
          <cell r="X283">
            <v>2</v>
          </cell>
          <cell r="Y283">
            <v>2</v>
          </cell>
          <cell r="Z283">
            <v>1</v>
          </cell>
          <cell r="AA283">
            <v>2</v>
          </cell>
          <cell r="AB283">
            <v>2</v>
          </cell>
        </row>
        <row r="284">
          <cell r="A284" t="str">
            <v>BUIS267,0x10,0</v>
          </cell>
          <cell r="B284" t="str">
            <v>267,0x10,0</v>
          </cell>
          <cell r="C284">
            <v>63.38006098984728</v>
          </cell>
          <cell r="D284">
            <v>267</v>
          </cell>
          <cell r="E284">
            <v>267</v>
          </cell>
          <cell r="F284">
            <v>10</v>
          </cell>
          <cell r="G284">
            <v>10</v>
          </cell>
          <cell r="H284">
            <v>8073.893119725768</v>
          </cell>
          <cell r="I284">
            <v>66759994.497092478</v>
          </cell>
          <cell r="J284">
            <v>500074.86514676013</v>
          </cell>
          <cell r="K284">
            <v>660823.33333333337</v>
          </cell>
          <cell r="L284">
            <v>90.931980073019417</v>
          </cell>
          <cell r="M284">
            <v>4036.946559862884</v>
          </cell>
          <cell r="N284">
            <v>66759994.497092478</v>
          </cell>
          <cell r="O284">
            <v>500074.86514676013</v>
          </cell>
          <cell r="P284">
            <v>660823.33333333337</v>
          </cell>
          <cell r="Q284">
            <v>90.931980073019417</v>
          </cell>
          <cell r="T284">
            <v>1037495.2658847612</v>
          </cell>
          <cell r="W284">
            <v>1</v>
          </cell>
          <cell r="X284">
            <v>1</v>
          </cell>
          <cell r="Y284">
            <v>2</v>
          </cell>
          <cell r="Z284">
            <v>1</v>
          </cell>
          <cell r="AA284">
            <v>1</v>
          </cell>
          <cell r="AB284">
            <v>2</v>
          </cell>
        </row>
        <row r="285">
          <cell r="A285" t="str">
            <v>BUIS267,0x12,5</v>
          </cell>
          <cell r="B285" t="str">
            <v>267,0x12,5</v>
          </cell>
          <cell r="C285">
            <v>78.454404289475363</v>
          </cell>
          <cell r="D285">
            <v>267</v>
          </cell>
          <cell r="E285">
            <v>267</v>
          </cell>
          <cell r="F285">
            <v>12.5</v>
          </cell>
          <cell r="G285">
            <v>12.5</v>
          </cell>
          <cell r="H285">
            <v>9994.1916292325295</v>
          </cell>
          <cell r="I285">
            <v>81110985.351920724</v>
          </cell>
          <cell r="J285">
            <v>607572.92398442491</v>
          </cell>
          <cell r="K285">
            <v>810279.16666666663</v>
          </cell>
          <cell r="L285">
            <v>90.087804391049502</v>
          </cell>
          <cell r="M285">
            <v>4997.0958146162648</v>
          </cell>
          <cell r="N285">
            <v>81110985.351920724</v>
          </cell>
          <cell r="O285">
            <v>607572.92398442491</v>
          </cell>
          <cell r="P285">
            <v>810279.16666666663</v>
          </cell>
          <cell r="Q285">
            <v>90.087804391049502</v>
          </cell>
          <cell r="T285">
            <v>1271760.8848198394</v>
          </cell>
          <cell r="W285">
            <v>1</v>
          </cell>
          <cell r="X285">
            <v>1</v>
          </cell>
          <cell r="Y285">
            <v>1</v>
          </cell>
          <cell r="Z285">
            <v>1</v>
          </cell>
          <cell r="AA285">
            <v>1</v>
          </cell>
          <cell r="AB285">
            <v>1</v>
          </cell>
        </row>
        <row r="286">
          <cell r="A286" t="str">
            <v>BUIS267,0x14,2</v>
          </cell>
          <cell r="B286" t="str">
            <v>267,0x14,2</v>
          </cell>
          <cell r="C286">
            <v>88.528874606581397</v>
          </cell>
          <cell r="D286">
            <v>267</v>
          </cell>
          <cell r="E286">
            <v>267</v>
          </cell>
          <cell r="F286">
            <v>14.2</v>
          </cell>
          <cell r="G286">
            <v>14.2</v>
          </cell>
          <cell r="H286">
            <v>11277.563644150496</v>
          </cell>
          <cell r="I286">
            <v>90374842.611674175</v>
          </cell>
          <cell r="J286">
            <v>676965.11319606123</v>
          </cell>
          <cell r="K286">
            <v>908445.75733333325</v>
          </cell>
          <cell r="L286">
            <v>89.5191878872904</v>
          </cell>
          <cell r="M286">
            <v>5638.7818220752479</v>
          </cell>
          <cell r="N286">
            <v>90374842.611674175</v>
          </cell>
          <cell r="O286">
            <v>676965.11319606123</v>
          </cell>
          <cell r="P286">
            <v>908445.75733333325</v>
          </cell>
          <cell r="Q286">
            <v>89.5191878872904</v>
          </cell>
          <cell r="T286">
            <v>1425484.0446206226</v>
          </cell>
          <cell r="W286">
            <v>1</v>
          </cell>
          <cell r="X286">
            <v>1</v>
          </cell>
          <cell r="Y286">
            <v>1</v>
          </cell>
          <cell r="Z286">
            <v>1</v>
          </cell>
          <cell r="AA286">
            <v>1</v>
          </cell>
          <cell r="AB286">
            <v>1</v>
          </cell>
        </row>
        <row r="287">
          <cell r="A287" t="str">
            <v>BUIS267,0x16,0</v>
          </cell>
          <cell r="B287" t="str">
            <v>267,0x16,0</v>
          </cell>
          <cell r="C287">
            <v>99.040593360010391</v>
          </cell>
          <cell r="D287">
            <v>267</v>
          </cell>
          <cell r="E287">
            <v>267</v>
          </cell>
          <cell r="F287">
            <v>16</v>
          </cell>
          <cell r="G287">
            <v>16</v>
          </cell>
          <cell r="H287">
            <v>12616.63609681661</v>
          </cell>
          <cell r="I287">
            <v>99761318.697041035</v>
          </cell>
          <cell r="J287">
            <v>747275.79548345343</v>
          </cell>
          <cell r="K287">
            <v>1009381.3333333334</v>
          </cell>
          <cell r="L287">
            <v>88.922016396390831</v>
          </cell>
          <cell r="M287">
            <v>6308.318048408305</v>
          </cell>
          <cell r="N287">
            <v>99761318.697041035</v>
          </cell>
          <cell r="O287">
            <v>747275.79548345343</v>
          </cell>
          <cell r="P287">
            <v>1009381.3333333334</v>
          </cell>
          <cell r="Q287">
            <v>88.922016396390831</v>
          </cell>
          <cell r="T287">
            <v>1583387.8301504843</v>
          </cell>
          <cell r="W287">
            <v>1</v>
          </cell>
          <cell r="X287">
            <v>1</v>
          </cell>
          <cell r="Y287">
            <v>1</v>
          </cell>
          <cell r="Z287">
            <v>1</v>
          </cell>
          <cell r="AA287">
            <v>1</v>
          </cell>
          <cell r="AB287">
            <v>1</v>
          </cell>
        </row>
        <row r="288">
          <cell r="A288" t="str">
            <v>BUIS267,0x17,5</v>
          </cell>
          <cell r="B288" t="str">
            <v>267,0x17,5</v>
          </cell>
          <cell r="C288">
            <v>107.678284551331</v>
          </cell>
          <cell r="D288">
            <v>267</v>
          </cell>
          <cell r="E288">
            <v>267</v>
          </cell>
          <cell r="F288">
            <v>17.5</v>
          </cell>
          <cell r="G288">
            <v>17.5</v>
          </cell>
          <cell r="H288">
            <v>13716.978923736435</v>
          </cell>
          <cell r="I288">
            <v>107260774.00533979</v>
          </cell>
          <cell r="J288">
            <v>803451.49067670247</v>
          </cell>
          <cell r="K288">
            <v>1091165.8333333333</v>
          </cell>
          <cell r="L288">
            <v>88.428290156487819</v>
          </cell>
          <cell r="M288">
            <v>6858.4894618682174</v>
          </cell>
          <cell r="N288">
            <v>107260774.00533979</v>
          </cell>
          <cell r="O288">
            <v>803451.49067670247</v>
          </cell>
          <cell r="P288">
            <v>1091165.8333333333</v>
          </cell>
          <cell r="Q288">
            <v>88.428290156487819</v>
          </cell>
          <cell r="T288">
            <v>1711193.12073612</v>
          </cell>
          <cell r="W288">
            <v>1</v>
          </cell>
          <cell r="X288">
            <v>1</v>
          </cell>
          <cell r="Y288">
            <v>1</v>
          </cell>
          <cell r="Z288">
            <v>1</v>
          </cell>
          <cell r="AA288">
            <v>1</v>
          </cell>
          <cell r="AB288">
            <v>1</v>
          </cell>
        </row>
        <row r="289">
          <cell r="A289" t="str">
            <v>BUIS267,0x20,0</v>
          </cell>
          <cell r="B289" t="str">
            <v>267,0x20,0</v>
          </cell>
          <cell r="C289">
            <v>121.82782151355859</v>
          </cell>
          <cell r="D289">
            <v>267</v>
          </cell>
          <cell r="E289">
            <v>267</v>
          </cell>
          <cell r="F289">
            <v>20</v>
          </cell>
          <cell r="G289">
            <v>20</v>
          </cell>
          <cell r="H289">
            <v>15519.467708733579</v>
          </cell>
          <cell r="I289">
            <v>119129374.06570254</v>
          </cell>
          <cell r="J289">
            <v>892354.86191537487</v>
          </cell>
          <cell r="K289">
            <v>1222846.6666666667</v>
          </cell>
          <cell r="L289">
            <v>87.613497818543919</v>
          </cell>
          <cell r="M289">
            <v>7759.7338543667893</v>
          </cell>
          <cell r="N289">
            <v>119129374.06570254</v>
          </cell>
          <cell r="O289">
            <v>892354.86191537487</v>
          </cell>
          <cell r="P289">
            <v>1222846.6666666667</v>
          </cell>
          <cell r="Q289">
            <v>87.613497818543919</v>
          </cell>
          <cell r="T289">
            <v>1916654.2620285971</v>
          </cell>
          <cell r="W289">
            <v>1</v>
          </cell>
          <cell r="X289">
            <v>1</v>
          </cell>
          <cell r="Y289">
            <v>1</v>
          </cell>
          <cell r="Z289">
            <v>1</v>
          </cell>
          <cell r="AA289">
            <v>1</v>
          </cell>
          <cell r="AB289">
            <v>1</v>
          </cell>
        </row>
        <row r="290">
          <cell r="A290" t="str">
            <v>BUIS267,0x22,5</v>
          </cell>
          <cell r="B290" t="str">
            <v>267,0x22,5</v>
          </cell>
          <cell r="C290">
            <v>135.66908969665266</v>
          </cell>
          <cell r="D290">
            <v>267</v>
          </cell>
          <cell r="E290">
            <v>267</v>
          </cell>
          <cell r="F290">
            <v>22.5</v>
          </cell>
          <cell r="G290">
            <v>22.5</v>
          </cell>
          <cell r="H290">
            <v>17282.686585560848</v>
          </cell>
          <cell r="I290">
            <v>130239085.60505177</v>
          </cell>
          <cell r="J290">
            <v>975573.674944208</v>
          </cell>
          <cell r="K290">
            <v>1348852.5</v>
          </cell>
          <cell r="L290">
            <v>86.809057707131004</v>
          </cell>
          <cell r="M290">
            <v>8641.3432927804242</v>
          </cell>
          <cell r="N290">
            <v>130239085.60505177</v>
          </cell>
          <cell r="O290">
            <v>975573.674944208</v>
          </cell>
          <cell r="P290">
            <v>1348852.5</v>
          </cell>
          <cell r="Q290">
            <v>86.809057707131004</v>
          </cell>
          <cell r="T290">
            <v>2112808.4350848137</v>
          </cell>
          <cell r="W290">
            <v>1</v>
          </cell>
          <cell r="X290">
            <v>1</v>
          </cell>
          <cell r="Y290">
            <v>1</v>
          </cell>
          <cell r="Z290">
            <v>1</v>
          </cell>
          <cell r="AA290">
            <v>1</v>
          </cell>
          <cell r="AB290">
            <v>1</v>
          </cell>
        </row>
        <row r="291">
          <cell r="A291" t="str">
            <v>BUIS267,0x25,0</v>
          </cell>
          <cell r="B291" t="str">
            <v>267,0x25,0</v>
          </cell>
          <cell r="C291">
            <v>149.20208910061325</v>
          </cell>
          <cell r="D291">
            <v>267</v>
          </cell>
          <cell r="E291">
            <v>267</v>
          </cell>
          <cell r="F291">
            <v>25</v>
          </cell>
          <cell r="G291">
            <v>25</v>
          </cell>
          <cell r="H291">
            <v>19006.63555421825</v>
          </cell>
          <cell r="I291">
            <v>140622968.977328</v>
          </cell>
          <cell r="J291">
            <v>1053355.5728638801</v>
          </cell>
          <cell r="K291">
            <v>1469308.3333333333</v>
          </cell>
          <cell r="L291">
            <v>86.015260273976963</v>
          </cell>
          <cell r="M291">
            <v>9503.317777109125</v>
          </cell>
          <cell r="N291">
            <v>140622968.977328</v>
          </cell>
          <cell r="O291">
            <v>1053355.5728638801</v>
          </cell>
          <cell r="P291">
            <v>1469308.3333333333</v>
          </cell>
          <cell r="Q291">
            <v>86.015260273976963</v>
          </cell>
          <cell r="T291">
            <v>2299802.9020604081</v>
          </cell>
          <cell r="W291">
            <v>1</v>
          </cell>
          <cell r="X291">
            <v>1</v>
          </cell>
          <cell r="Y291">
            <v>1</v>
          </cell>
          <cell r="Z291">
            <v>1</v>
          </cell>
          <cell r="AA291">
            <v>1</v>
          </cell>
          <cell r="AB291">
            <v>1</v>
          </cell>
        </row>
        <row r="292">
          <cell r="A292" t="str">
            <v>BUIS267,0x30,0</v>
          </cell>
          <cell r="B292" t="str">
            <v>267,0x30,0</v>
          </cell>
          <cell r="C292">
            <v>175.3432815711339</v>
          </cell>
          <cell r="D292">
            <v>267</v>
          </cell>
          <cell r="E292">
            <v>267</v>
          </cell>
          <cell r="F292">
            <v>30</v>
          </cell>
          <cell r="G292">
            <v>30</v>
          </cell>
          <cell r="H292">
            <v>22336.723767023428</v>
          </cell>
          <cell r="I292">
            <v>159341811.0825325</v>
          </cell>
          <cell r="J292">
            <v>1193571.6185957491</v>
          </cell>
          <cell r="K292">
            <v>1694070</v>
          </cell>
          <cell r="L292">
            <v>84.460789719253754</v>
          </cell>
          <cell r="M292">
            <v>11168.361883511714</v>
          </cell>
          <cell r="N292">
            <v>159341811.0825325</v>
          </cell>
          <cell r="O292">
            <v>1193571.6185957491</v>
          </cell>
          <cell r="P292">
            <v>1694070</v>
          </cell>
          <cell r="Q292">
            <v>84.460789719253754</v>
          </cell>
          <cell r="T292">
            <v>2646901.7663922762</v>
          </cell>
          <cell r="W292">
            <v>1</v>
          </cell>
          <cell r="X292">
            <v>1</v>
          </cell>
          <cell r="Y292">
            <v>1</v>
          </cell>
          <cell r="Z292">
            <v>1</v>
          </cell>
          <cell r="AA292">
            <v>1</v>
          </cell>
          <cell r="AB292">
            <v>1</v>
          </cell>
        </row>
        <row r="293">
          <cell r="A293" t="str">
            <v>BUIS273,0x6,3</v>
          </cell>
          <cell r="B293" t="str">
            <v>273,0x6,3</v>
          </cell>
          <cell r="C293">
            <v>41.436502831031703</v>
          </cell>
          <cell r="D293">
            <v>273</v>
          </cell>
          <cell r="E293">
            <v>273</v>
          </cell>
          <cell r="F293">
            <v>6.3</v>
          </cell>
          <cell r="G293">
            <v>6.3</v>
          </cell>
          <cell r="H293">
            <v>5278.5353924881147</v>
          </cell>
          <cell r="I293">
            <v>46958233.545390204</v>
          </cell>
          <cell r="J293">
            <v>344016.36296989158</v>
          </cell>
          <cell r="K293">
            <v>448195.35600000061</v>
          </cell>
          <cell r="L293">
            <v>94.318993315238458</v>
          </cell>
          <cell r="M293">
            <v>2639.2676962440573</v>
          </cell>
          <cell r="N293">
            <v>46958233.545390204</v>
          </cell>
          <cell r="O293">
            <v>344016.36296989158</v>
          </cell>
          <cell r="P293">
            <v>448195.35600000061</v>
          </cell>
          <cell r="Q293">
            <v>94.318993315238458</v>
          </cell>
          <cell r="T293">
            <v>703892.6945882889</v>
          </cell>
          <cell r="W293">
            <v>1</v>
          </cell>
          <cell r="X293">
            <v>2</v>
          </cell>
          <cell r="Y293">
            <v>3</v>
          </cell>
          <cell r="Z293">
            <v>1</v>
          </cell>
          <cell r="AA293">
            <v>2</v>
          </cell>
          <cell r="AB293">
            <v>3</v>
          </cell>
        </row>
        <row r="294">
          <cell r="A294" t="str">
            <v>BUIS273,0x7,1</v>
          </cell>
          <cell r="B294" t="str">
            <v>273,0x7,1</v>
          </cell>
          <cell r="C294">
            <v>46.558203635067223</v>
          </cell>
          <cell r="D294">
            <v>273</v>
          </cell>
          <cell r="E294">
            <v>273</v>
          </cell>
          <cell r="F294">
            <v>7.1</v>
          </cell>
          <cell r="G294">
            <v>7.1</v>
          </cell>
          <cell r="H294">
            <v>5930.9813547856329</v>
          </cell>
          <cell r="I294">
            <v>52454503.576380759</v>
          </cell>
          <cell r="J294">
            <v>384282.07748264296</v>
          </cell>
          <cell r="K294">
            <v>502109.25466666621</v>
          </cell>
          <cell r="L294">
            <v>94.043354363825216</v>
          </cell>
          <cell r="M294">
            <v>2965.4906773928165</v>
          </cell>
          <cell r="N294">
            <v>52454503.576380759</v>
          </cell>
          <cell r="O294">
            <v>384282.07748264296</v>
          </cell>
          <cell r="P294">
            <v>502109.25466666621</v>
          </cell>
          <cell r="Q294">
            <v>94.043354363825216</v>
          </cell>
          <cell r="T294">
            <v>788523.97111874982</v>
          </cell>
        </row>
        <row r="295">
          <cell r="A295" t="str">
            <v>BUIS273,0x8,0</v>
          </cell>
          <cell r="B295" t="str">
            <v>273,0x8,0</v>
          </cell>
          <cell r="C295">
            <v>52.282384941041336</v>
          </cell>
          <cell r="D295">
            <v>273</v>
          </cell>
          <cell r="E295">
            <v>273</v>
          </cell>
          <cell r="F295">
            <v>8</v>
          </cell>
          <cell r="G295">
            <v>8</v>
          </cell>
          <cell r="H295">
            <v>6660.1764256103615</v>
          </cell>
          <cell r="I295">
            <v>58517142.597465836</v>
          </cell>
          <cell r="J295">
            <v>428697.01536605007</v>
          </cell>
          <cell r="K295">
            <v>561970.66666666663</v>
          </cell>
          <cell r="L295">
            <v>93.734332024077503</v>
          </cell>
          <cell r="M295">
            <v>3330.0882128051808</v>
          </cell>
          <cell r="N295">
            <v>58517142.597465836</v>
          </cell>
          <cell r="O295">
            <v>428697.01536605007</v>
          </cell>
          <cell r="P295">
            <v>561970.66666666663</v>
          </cell>
          <cell r="Q295">
            <v>93.734332024077503</v>
          </cell>
          <cell r="T295">
            <v>882473.37639337289</v>
          </cell>
          <cell r="W295">
            <v>1</v>
          </cell>
          <cell r="X295">
            <v>2</v>
          </cell>
          <cell r="Y295">
            <v>2</v>
          </cell>
          <cell r="Z295">
            <v>1</v>
          </cell>
          <cell r="AA295">
            <v>2</v>
          </cell>
          <cell r="AB295">
            <v>2</v>
          </cell>
        </row>
        <row r="296">
          <cell r="A296" t="str">
            <v>BUIS273,0x10,0</v>
          </cell>
          <cell r="B296" t="str">
            <v>273,0x10,0</v>
          </cell>
          <cell r="C296">
            <v>64.859751129688078</v>
          </cell>
          <cell r="D296">
            <v>273</v>
          </cell>
          <cell r="E296">
            <v>273</v>
          </cell>
          <cell r="F296">
            <v>10</v>
          </cell>
          <cell r="G296">
            <v>10</v>
          </cell>
          <cell r="H296">
            <v>8262.3886789411554</v>
          </cell>
          <cell r="I296">
            <v>71540925.175196871</v>
          </cell>
          <cell r="J296">
            <v>524109.3419428342</v>
          </cell>
          <cell r="K296">
            <v>692023.33333333337</v>
          </cell>
          <cell r="L296">
            <v>93.051732923143362</v>
          </cell>
          <cell r="M296">
            <v>4131.1943394705777</v>
          </cell>
          <cell r="N296">
            <v>71540925.175196871</v>
          </cell>
          <cell r="O296">
            <v>524109.3419428342</v>
          </cell>
          <cell r="P296">
            <v>692023.33333333337</v>
          </cell>
          <cell r="Q296">
            <v>93.051732923143362</v>
          </cell>
          <cell r="T296">
            <v>1086504.1112807621</v>
          </cell>
          <cell r="W296">
            <v>1</v>
          </cell>
          <cell r="X296">
            <v>1</v>
          </cell>
          <cell r="Y296">
            <v>2</v>
          </cell>
          <cell r="Z296">
            <v>1</v>
          </cell>
          <cell r="AA296">
            <v>1</v>
          </cell>
          <cell r="AB296">
            <v>2</v>
          </cell>
        </row>
        <row r="297">
          <cell r="A297" t="str">
            <v>BUIS273,0x12,5</v>
          </cell>
          <cell r="B297" t="str">
            <v>273,0x12,5</v>
          </cell>
          <cell r="C297">
            <v>80.304016964276343</v>
          </cell>
          <cell r="D297">
            <v>273</v>
          </cell>
          <cell r="E297">
            <v>273</v>
          </cell>
          <cell r="F297">
            <v>12.5</v>
          </cell>
          <cell r="G297">
            <v>12.5</v>
          </cell>
          <cell r="H297">
            <v>10229.811078251763</v>
          </cell>
          <cell r="I297">
            <v>86974493.150488883</v>
          </cell>
          <cell r="J297">
            <v>637175.77399625559</v>
          </cell>
          <cell r="K297">
            <v>848904.16666666663</v>
          </cell>
          <cell r="L297">
            <v>92.206629371211704</v>
          </cell>
          <cell r="M297">
            <v>5114.9055391258817</v>
          </cell>
          <cell r="N297">
            <v>86974493.150488883</v>
          </cell>
          <cell r="O297">
            <v>637175.77399625559</v>
          </cell>
          <cell r="P297">
            <v>848904.16666666663</v>
          </cell>
          <cell r="Q297">
            <v>92.206629371211704</v>
          </cell>
          <cell r="T297">
            <v>1332432.8929422922</v>
          </cell>
          <cell r="W297">
            <v>1</v>
          </cell>
          <cell r="X297">
            <v>1</v>
          </cell>
          <cell r="Y297">
            <v>1</v>
          </cell>
          <cell r="Z297">
            <v>1</v>
          </cell>
          <cell r="AA297">
            <v>1</v>
          </cell>
          <cell r="AB297">
            <v>1</v>
          </cell>
        </row>
        <row r="298">
          <cell r="A298" t="str">
            <v>BUIS273,0x14,2</v>
          </cell>
          <cell r="B298" t="str">
            <v>273,0x14,2</v>
          </cell>
          <cell r="C298">
            <v>90.63003460515533</v>
          </cell>
          <cell r="D298">
            <v>273</v>
          </cell>
          <cell r="E298">
            <v>273</v>
          </cell>
          <cell r="F298">
            <v>14.2</v>
          </cell>
          <cell r="G298">
            <v>14.2</v>
          </cell>
          <cell r="H298">
            <v>11545.227338236349</v>
          </cell>
          <cell r="I298">
            <v>96949718.871695831</v>
          </cell>
          <cell r="J298">
            <v>710254.35070839431</v>
          </cell>
          <cell r="K298">
            <v>952034.07733333355</v>
          </cell>
          <cell r="L298">
            <v>91.63724679408476</v>
          </cell>
          <cell r="M298">
            <v>5772.6136691181746</v>
          </cell>
          <cell r="N298">
            <v>96949718.871695831</v>
          </cell>
          <cell r="O298">
            <v>710254.35070839431</v>
          </cell>
          <cell r="P298">
            <v>952034.07733333355</v>
          </cell>
          <cell r="Q298">
            <v>91.63724679408476</v>
          </cell>
          <cell r="T298">
            <v>1493952.4175677833</v>
          </cell>
          <cell r="W298">
            <v>1</v>
          </cell>
          <cell r="X298">
            <v>1</v>
          </cell>
          <cell r="Y298">
            <v>1</v>
          </cell>
          <cell r="Z298">
            <v>1</v>
          </cell>
          <cell r="AA298">
            <v>1</v>
          </cell>
          <cell r="AB298">
            <v>1</v>
          </cell>
        </row>
        <row r="299">
          <cell r="A299" t="str">
            <v>BUIS273,0x16,0</v>
          </cell>
          <cell r="B299" t="str">
            <v>273,0x16,0</v>
          </cell>
          <cell r="C299">
            <v>101.40809758375565</v>
          </cell>
          <cell r="D299">
            <v>273</v>
          </cell>
          <cell r="E299">
            <v>273</v>
          </cell>
          <cell r="F299">
            <v>16</v>
          </cell>
          <cell r="G299">
            <v>16</v>
          </cell>
          <cell r="H299">
            <v>12918.228991561229</v>
          </cell>
          <cell r="I299">
            <v>107067896.66068341</v>
          </cell>
          <cell r="J299">
            <v>784380.19531636196</v>
          </cell>
          <cell r="K299">
            <v>1058149.3333333333</v>
          </cell>
          <cell r="L299">
            <v>91.039139934426004</v>
          </cell>
          <cell r="M299">
            <v>6459.1144957806146</v>
          </cell>
          <cell r="N299">
            <v>107067896.66068341</v>
          </cell>
          <cell r="O299">
            <v>784380.19531636196</v>
          </cell>
          <cell r="P299">
            <v>1058149.3333333333</v>
          </cell>
          <cell r="Q299">
            <v>91.039139934426004</v>
          </cell>
          <cell r="T299">
            <v>1659992.4254156179</v>
          </cell>
          <cell r="W299">
            <v>1</v>
          </cell>
          <cell r="X299">
            <v>1</v>
          </cell>
          <cell r="Y299">
            <v>1</v>
          </cell>
          <cell r="Z299">
            <v>1</v>
          </cell>
          <cell r="AA299">
            <v>1</v>
          </cell>
          <cell r="AB299">
            <v>1</v>
          </cell>
        </row>
        <row r="300">
          <cell r="A300" t="str">
            <v>BUIS273,0x17,5</v>
          </cell>
          <cell r="B300" t="str">
            <v>273,0x17,5</v>
          </cell>
          <cell r="C300">
            <v>110.2677422960524</v>
          </cell>
          <cell r="D300">
            <v>273</v>
          </cell>
          <cell r="E300">
            <v>273</v>
          </cell>
          <cell r="F300">
            <v>17.5</v>
          </cell>
          <cell r="G300">
            <v>17.5</v>
          </cell>
          <cell r="H300">
            <v>14046.846152363363</v>
          </cell>
          <cell r="I300">
            <v>115160434.39649746</v>
          </cell>
          <cell r="J300">
            <v>843666.18605492648</v>
          </cell>
          <cell r="K300">
            <v>1144190.8333333333</v>
          </cell>
          <cell r="L300">
            <v>90.54453324193571</v>
          </cell>
          <cell r="M300">
            <v>7023.4230761816816</v>
          </cell>
          <cell r="N300">
            <v>115160434.39649746</v>
          </cell>
          <cell r="O300">
            <v>843666.18605492648</v>
          </cell>
          <cell r="P300">
            <v>1144190.8333333333</v>
          </cell>
          <cell r="Q300">
            <v>90.54453324193571</v>
          </cell>
          <cell r="T300">
            <v>1794484.5959644197</v>
          </cell>
          <cell r="W300">
            <v>1</v>
          </cell>
          <cell r="X300">
            <v>1</v>
          </cell>
          <cell r="Y300">
            <v>1</v>
          </cell>
          <cell r="Z300">
            <v>1</v>
          </cell>
          <cell r="AA300">
            <v>1</v>
          </cell>
          <cell r="AB300">
            <v>1</v>
          </cell>
        </row>
        <row r="301">
          <cell r="A301" t="str">
            <v>BUIS273,0x20,0</v>
          </cell>
          <cell r="B301" t="str">
            <v>273,0x20,0</v>
          </cell>
          <cell r="C301">
            <v>124.78720179324017</v>
          </cell>
          <cell r="D301">
            <v>273</v>
          </cell>
          <cell r="E301">
            <v>273</v>
          </cell>
          <cell r="F301">
            <v>20</v>
          </cell>
          <cell r="G301">
            <v>20</v>
          </cell>
          <cell r="H301">
            <v>15896.458827164353</v>
          </cell>
          <cell r="I301">
            <v>127984377.0748536</v>
          </cell>
          <cell r="J301">
            <v>937614.48406486155</v>
          </cell>
          <cell r="K301">
            <v>1282846.6666666667</v>
          </cell>
          <cell r="L301">
            <v>89.728061385499686</v>
          </cell>
          <cell r="M301">
            <v>7948.2294135821767</v>
          </cell>
          <cell r="N301">
            <v>127984377.0748536</v>
          </cell>
          <cell r="O301">
            <v>937614.48406486155</v>
          </cell>
          <cell r="P301">
            <v>1282846.6666666667</v>
          </cell>
          <cell r="Q301">
            <v>89.728061385499686</v>
          </cell>
          <cell r="T301">
            <v>2010902.0416362907</v>
          </cell>
          <cell r="W301">
            <v>1</v>
          </cell>
          <cell r="X301">
            <v>1</v>
          </cell>
          <cell r="Y301">
            <v>1</v>
          </cell>
          <cell r="Z301">
            <v>1</v>
          </cell>
          <cell r="AA301">
            <v>1</v>
          </cell>
          <cell r="AB301">
            <v>1</v>
          </cell>
        </row>
        <row r="302">
          <cell r="A302" t="str">
            <v>BUIS273,0x25,0</v>
          </cell>
          <cell r="B302" t="str">
            <v>273,0x25,0</v>
          </cell>
          <cell r="C302">
            <v>152.90131445021524</v>
          </cell>
          <cell r="D302">
            <v>273</v>
          </cell>
          <cell r="E302">
            <v>273</v>
          </cell>
          <cell r="F302">
            <v>25</v>
          </cell>
          <cell r="G302">
            <v>25</v>
          </cell>
          <cell r="H302">
            <v>19477.874452256718</v>
          </cell>
          <cell r="I302">
            <v>151267607.7305322</v>
          </cell>
          <cell r="J302">
            <v>1108187.6024214814</v>
          </cell>
          <cell r="K302">
            <v>1542808.3333333333</v>
          </cell>
          <cell r="L302">
            <v>88.125620565190914</v>
          </cell>
          <cell r="M302">
            <v>9738.9372261283588</v>
          </cell>
          <cell r="N302">
            <v>151267607.7305322</v>
          </cell>
          <cell r="O302">
            <v>1108187.6024214814</v>
          </cell>
          <cell r="P302">
            <v>1542808.3333333333</v>
          </cell>
          <cell r="Q302">
            <v>88.125620565190914</v>
          </cell>
          <cell r="T302">
            <v>2415256.432079833</v>
          </cell>
          <cell r="W302">
            <v>1</v>
          </cell>
          <cell r="X302">
            <v>1</v>
          </cell>
          <cell r="Y302">
            <v>1</v>
          </cell>
          <cell r="Z302">
            <v>1</v>
          </cell>
          <cell r="AA302">
            <v>1</v>
          </cell>
          <cell r="AB302">
            <v>1</v>
          </cell>
        </row>
        <row r="303">
          <cell r="A303" t="str">
            <v>BUIS273,0x30,0</v>
          </cell>
          <cell r="B303" t="str">
            <v>273,0x30,0</v>
          </cell>
          <cell r="C303">
            <v>179.78235199065631</v>
          </cell>
          <cell r="D303">
            <v>273</v>
          </cell>
          <cell r="E303">
            <v>273</v>
          </cell>
          <cell r="F303">
            <v>30</v>
          </cell>
          <cell r="G303">
            <v>30</v>
          </cell>
          <cell r="H303">
            <v>22902.210444669592</v>
          </cell>
          <cell r="I303">
            <v>171620576.74343717</v>
          </cell>
          <cell r="J303">
            <v>1257293.6025160232</v>
          </cell>
          <cell r="K303">
            <v>1780470</v>
          </cell>
          <cell r="L303">
            <v>86.565726474165288</v>
          </cell>
          <cell r="M303">
            <v>11451.105222334796</v>
          </cell>
          <cell r="N303">
            <v>171620576.74343717</v>
          </cell>
          <cell r="O303">
            <v>1257293.6025160232</v>
          </cell>
          <cell r="P303">
            <v>1780470</v>
          </cell>
          <cell r="Q303">
            <v>86.565726474165288</v>
          </cell>
          <cell r="T303">
            <v>2782618.5690273554</v>
          </cell>
          <cell r="W303">
            <v>1</v>
          </cell>
          <cell r="X303">
            <v>1</v>
          </cell>
          <cell r="Y303">
            <v>1</v>
          </cell>
          <cell r="Z303">
            <v>1</v>
          </cell>
          <cell r="AA303">
            <v>1</v>
          </cell>
          <cell r="AB303">
            <v>1</v>
          </cell>
        </row>
        <row r="304">
          <cell r="A304" t="str">
            <v>BUIS298,5x7,1</v>
          </cell>
          <cell r="B304" t="str">
            <v>298,5x7,1</v>
          </cell>
          <cell r="C304">
            <v>51.023168632036786</v>
          </cell>
          <cell r="D304">
            <v>298.5</v>
          </cell>
          <cell r="E304">
            <v>298.5</v>
          </cell>
          <cell r="F304">
            <v>7.1</v>
          </cell>
          <cell r="G304">
            <v>7.1</v>
          </cell>
          <cell r="H304">
            <v>6499.7667047180621</v>
          </cell>
          <cell r="I304">
            <v>69031072.901668295</v>
          </cell>
          <cell r="J304">
            <v>462519.75143496343</v>
          </cell>
          <cell r="K304">
            <v>603008.41966666654</v>
          </cell>
          <cell r="L304">
            <v>103.05603451520926</v>
          </cell>
          <cell r="M304">
            <v>3249.8833523590311</v>
          </cell>
          <cell r="N304">
            <v>69031072.901668295</v>
          </cell>
          <cell r="O304">
            <v>462519.75143496343</v>
          </cell>
          <cell r="P304">
            <v>603008.41966666654</v>
          </cell>
          <cell r="Q304">
            <v>103.05603451520926</v>
          </cell>
          <cell r="T304">
            <v>947016.00887742231</v>
          </cell>
          <cell r="W304">
            <v>1</v>
          </cell>
          <cell r="X304">
            <v>2</v>
          </cell>
          <cell r="Y304">
            <v>3</v>
          </cell>
          <cell r="Z304">
            <v>1</v>
          </cell>
          <cell r="AA304">
            <v>2</v>
          </cell>
          <cell r="AB304">
            <v>3</v>
          </cell>
        </row>
        <row r="305">
          <cell r="A305" t="str">
            <v>BUIS298,5x8,0</v>
          </cell>
          <cell r="B305" t="str">
            <v>298,5x8,0</v>
          </cell>
          <cell r="C305">
            <v>57.313331416500034</v>
          </cell>
          <cell r="D305">
            <v>298.5</v>
          </cell>
          <cell r="E305">
            <v>298.5</v>
          </cell>
          <cell r="F305">
            <v>8</v>
          </cell>
          <cell r="G305">
            <v>8</v>
          </cell>
          <cell r="H305">
            <v>7301.0613269426794</v>
          </cell>
          <cell r="I305">
            <v>77075707.32136859</v>
          </cell>
          <cell r="J305">
            <v>516420.14955690847</v>
          </cell>
          <cell r="K305">
            <v>675292.66666666663</v>
          </cell>
          <cell r="L305">
            <v>102.74619822650374</v>
          </cell>
          <cell r="M305">
            <v>3650.5306634713397</v>
          </cell>
          <cell r="N305">
            <v>77075707.32136859</v>
          </cell>
          <cell r="O305">
            <v>516420.14955690847</v>
          </cell>
          <cell r="P305">
            <v>675292.66666666663</v>
          </cell>
          <cell r="Q305">
            <v>102.74619822650374</v>
          </cell>
          <cell r="T305">
            <v>1060479.1577384241</v>
          </cell>
          <cell r="W305">
            <v>1</v>
          </cell>
          <cell r="X305">
            <v>2</v>
          </cell>
          <cell r="Y305">
            <v>3</v>
          </cell>
          <cell r="Z305">
            <v>1</v>
          </cell>
          <cell r="AA305">
            <v>2</v>
          </cell>
          <cell r="AB305">
            <v>3</v>
          </cell>
        </row>
        <row r="306">
          <cell r="A306" t="str">
            <v>BUIS298,5x10,0</v>
          </cell>
          <cell r="B306" t="str">
            <v>298,5x10,0</v>
          </cell>
          <cell r="C306">
            <v>71.148434224011453</v>
          </cell>
          <cell r="D306">
            <v>298.5</v>
          </cell>
          <cell r="E306">
            <v>298.5</v>
          </cell>
          <cell r="F306">
            <v>10</v>
          </cell>
          <cell r="G306">
            <v>10</v>
          </cell>
          <cell r="H306">
            <v>9063.4948056065532</v>
          </cell>
          <cell r="I306">
            <v>94410176.876813337</v>
          </cell>
          <cell r="J306">
            <v>632563.99917462876</v>
          </cell>
          <cell r="K306">
            <v>832655.83333333337</v>
          </cell>
          <cell r="L306">
            <v>102.06140921033767</v>
          </cell>
          <cell r="M306">
            <v>4531.7474028032766</v>
          </cell>
          <cell r="N306">
            <v>94410176.876813337</v>
          </cell>
          <cell r="O306">
            <v>632563.99917462876</v>
          </cell>
          <cell r="P306">
            <v>832655.83333333337</v>
          </cell>
          <cell r="Q306">
            <v>102.06140921033767</v>
          </cell>
          <cell r="T306">
            <v>1307409.1257087453</v>
          </cell>
          <cell r="W306">
            <v>1</v>
          </cell>
          <cell r="X306">
            <v>1</v>
          </cell>
          <cell r="Y306">
            <v>2</v>
          </cell>
          <cell r="Z306">
            <v>1</v>
          </cell>
          <cell r="AA306">
            <v>1</v>
          </cell>
          <cell r="AB306">
            <v>2</v>
          </cell>
        </row>
        <row r="307">
          <cell r="A307" t="str">
            <v>BUIS298,5x12,5</v>
          </cell>
          <cell r="B307" t="str">
            <v>298,5x12,5</v>
          </cell>
          <cell r="C307">
            <v>88.164870832180569</v>
          </cell>
          <cell r="D307">
            <v>298.5</v>
          </cell>
          <cell r="E307">
            <v>298.5</v>
          </cell>
          <cell r="F307">
            <v>12.5</v>
          </cell>
          <cell r="G307">
            <v>12.5</v>
          </cell>
          <cell r="H307">
            <v>11231.193736583511</v>
          </cell>
          <cell r="I307">
            <v>115052699.61236575</v>
          </cell>
          <cell r="J307">
            <v>770872.35921183089</v>
          </cell>
          <cell r="K307">
            <v>1023101.0416666666</v>
          </cell>
          <cell r="L307">
            <v>101.21280180886211</v>
          </cell>
          <cell r="M307">
            <v>5615.5968682917555</v>
          </cell>
          <cell r="N307">
            <v>115052699.61236575</v>
          </cell>
          <cell r="O307">
            <v>770872.35921183089</v>
          </cell>
          <cell r="P307">
            <v>1023101.0416666666</v>
          </cell>
          <cell r="Q307">
            <v>101.21280180886211</v>
          </cell>
          <cell r="T307">
            <v>1606060.704331442</v>
          </cell>
          <cell r="W307">
            <v>1</v>
          </cell>
          <cell r="X307">
            <v>1</v>
          </cell>
          <cell r="Y307">
            <v>1</v>
          </cell>
          <cell r="Z307">
            <v>1</v>
          </cell>
          <cell r="AA307">
            <v>1</v>
          </cell>
          <cell r="AB307">
            <v>1</v>
          </cell>
        </row>
        <row r="308">
          <cell r="A308" t="str">
            <v>BUIS298,5x16,0</v>
          </cell>
          <cell r="B308" t="str">
            <v>298,5x16,0</v>
          </cell>
          <cell r="C308">
            <v>111.46999053467304</v>
          </cell>
          <cell r="D308">
            <v>298.5</v>
          </cell>
          <cell r="E308">
            <v>298.5</v>
          </cell>
          <cell r="F308">
            <v>16</v>
          </cell>
          <cell r="G308">
            <v>16</v>
          </cell>
          <cell r="H308">
            <v>14199.998794225865</v>
          </cell>
          <cell r="I308">
            <v>142110481.68287623</v>
          </cell>
          <cell r="J308">
            <v>952164.03137605509</v>
          </cell>
          <cell r="K308">
            <v>1278265.3333333333</v>
          </cell>
          <cell r="L308">
            <v>100.03889868446174</v>
          </cell>
          <cell r="M308">
            <v>7099.9993971129325</v>
          </cell>
          <cell r="N308">
            <v>142110481.68287623</v>
          </cell>
          <cell r="O308">
            <v>952164.03137605509</v>
          </cell>
          <cell r="P308">
            <v>1278265.3333333333</v>
          </cell>
          <cell r="Q308">
            <v>100.03889868446174</v>
          </cell>
          <cell r="T308">
            <v>2005749.8296844035</v>
          </cell>
          <cell r="W308">
            <v>1</v>
          </cell>
          <cell r="X308">
            <v>1</v>
          </cell>
          <cell r="Y308">
            <v>1</v>
          </cell>
          <cell r="Z308">
            <v>1</v>
          </cell>
          <cell r="AA308">
            <v>1</v>
          </cell>
          <cell r="AB308">
            <v>1</v>
          </cell>
        </row>
        <row r="309">
          <cell r="A309" t="str">
            <v>BUIS298,5x20,0</v>
          </cell>
          <cell r="B309" t="str">
            <v>298,5x20,0</v>
          </cell>
          <cell r="C309">
            <v>137.36456798188689</v>
          </cell>
          <cell r="D309">
            <v>298.5</v>
          </cell>
          <cell r="E309">
            <v>298.5</v>
          </cell>
          <cell r="F309">
            <v>20</v>
          </cell>
          <cell r="G309">
            <v>20</v>
          </cell>
          <cell r="H309">
            <v>17498.671080495147</v>
          </cell>
          <cell r="I309">
            <v>170529471.1806666</v>
          </cell>
          <cell r="J309">
            <v>1142576.0213109991</v>
          </cell>
          <cell r="K309">
            <v>1553911.6666666667</v>
          </cell>
          <cell r="L309">
            <v>98.718191079456076</v>
          </cell>
          <cell r="M309">
            <v>8749.3355402475736</v>
          </cell>
          <cell r="N309">
            <v>170529471.1806666</v>
          </cell>
          <cell r="O309">
            <v>1142576.0213109991</v>
          </cell>
          <cell r="P309">
            <v>1553911.6666666667</v>
          </cell>
          <cell r="Q309">
            <v>98.718191079456076</v>
          </cell>
          <cell r="T309">
            <v>2436689.947958949</v>
          </cell>
          <cell r="W309">
            <v>1</v>
          </cell>
          <cell r="X309">
            <v>1</v>
          </cell>
          <cell r="Y309">
            <v>1</v>
          </cell>
          <cell r="Z309">
            <v>1</v>
          </cell>
          <cell r="AA309">
            <v>1</v>
          </cell>
          <cell r="AB309">
            <v>1</v>
          </cell>
        </row>
        <row r="310">
          <cell r="A310" t="str">
            <v>BUIS298,5x25,0</v>
          </cell>
          <cell r="B310" t="str">
            <v>298,5x25,0</v>
          </cell>
          <cell r="C310">
            <v>168.62302218602363</v>
          </cell>
          <cell r="D310">
            <v>298.5</v>
          </cell>
          <cell r="E310">
            <v>298.5</v>
          </cell>
          <cell r="F310">
            <v>25</v>
          </cell>
          <cell r="G310">
            <v>25</v>
          </cell>
          <cell r="H310">
            <v>21480.639768920209</v>
          </cell>
          <cell r="I310">
            <v>202528198.25128588</v>
          </cell>
          <cell r="J310">
            <v>1356972.8526049305</v>
          </cell>
          <cell r="K310">
            <v>1875264.5833333333</v>
          </cell>
          <cell r="L310">
            <v>97.099980690008394</v>
          </cell>
          <cell r="M310">
            <v>10740.319884460105</v>
          </cell>
          <cell r="N310">
            <v>202528198.25128588</v>
          </cell>
          <cell r="O310">
            <v>1356972.8526049305</v>
          </cell>
          <cell r="P310">
            <v>1875264.5833333333</v>
          </cell>
          <cell r="Q310">
            <v>97.099980690008394</v>
          </cell>
          <cell r="T310">
            <v>2937477.4883998386</v>
          </cell>
          <cell r="W310">
            <v>1</v>
          </cell>
          <cell r="X310">
            <v>1</v>
          </cell>
          <cell r="Y310">
            <v>1</v>
          </cell>
          <cell r="Z310">
            <v>1</v>
          </cell>
          <cell r="AA310">
            <v>1</v>
          </cell>
          <cell r="AB310">
            <v>1</v>
          </cell>
        </row>
        <row r="311">
          <cell r="A311" t="str">
            <v>BUIS298,5x30,0</v>
          </cell>
          <cell r="B311" t="str">
            <v>298,5x30,0</v>
          </cell>
          <cell r="C311">
            <v>198.6484012736264</v>
          </cell>
          <cell r="D311">
            <v>298.5</v>
          </cell>
          <cell r="E311">
            <v>298.5</v>
          </cell>
          <cell r="F311">
            <v>30</v>
          </cell>
          <cell r="G311">
            <v>30</v>
          </cell>
          <cell r="H311">
            <v>25305.528824665784</v>
          </cell>
          <cell r="I311">
            <v>230888435.79402637</v>
          </cell>
          <cell r="J311">
            <v>1546991.1945998417</v>
          </cell>
          <cell r="K311">
            <v>2171767.5</v>
          </cell>
          <cell r="L311">
            <v>95.519795068875652</v>
          </cell>
          <cell r="M311">
            <v>12652.764412332892</v>
          </cell>
          <cell r="N311">
            <v>230888435.79402637</v>
          </cell>
          <cell r="O311">
            <v>1546991.1945998417</v>
          </cell>
          <cell r="P311">
            <v>2171767.5</v>
          </cell>
          <cell r="Q311">
            <v>95.519795068875652</v>
          </cell>
          <cell r="T311">
            <v>3397267.2447113814</v>
          </cell>
          <cell r="W311">
            <v>1</v>
          </cell>
          <cell r="X311">
            <v>1</v>
          </cell>
          <cell r="Y311">
            <v>1</v>
          </cell>
          <cell r="Z311">
            <v>1</v>
          </cell>
          <cell r="AA311">
            <v>1</v>
          </cell>
          <cell r="AB311">
            <v>1</v>
          </cell>
        </row>
        <row r="312">
          <cell r="A312" t="str">
            <v>BUIS298,5x36,0</v>
          </cell>
          <cell r="B312" t="str">
            <v>298,5x36,0</v>
          </cell>
          <cell r="C312">
            <v>233.05119702492482</v>
          </cell>
          <cell r="D312">
            <v>298.5</v>
          </cell>
          <cell r="E312">
            <v>298.5</v>
          </cell>
          <cell r="F312">
            <v>36</v>
          </cell>
          <cell r="G312">
            <v>36</v>
          </cell>
          <cell r="H312">
            <v>29688.050576423546</v>
          </cell>
          <cell r="I312">
            <v>260520993.57234123</v>
          </cell>
          <cell r="J312">
            <v>1745534.2952920685</v>
          </cell>
          <cell r="K312">
            <v>2496177</v>
          </cell>
          <cell r="L312">
            <v>93.676471165389231</v>
          </cell>
          <cell r="M312">
            <v>14844.025288211773</v>
          </cell>
          <cell r="N312">
            <v>260520993.57234123</v>
          </cell>
          <cell r="O312">
            <v>1745534.2952920685</v>
          </cell>
          <cell r="P312">
            <v>2496177</v>
          </cell>
          <cell r="Q312">
            <v>93.676471165389231</v>
          </cell>
          <cell r="T312">
            <v>3896556.6381555903</v>
          </cell>
          <cell r="W312">
            <v>1</v>
          </cell>
          <cell r="X312">
            <v>1</v>
          </cell>
          <cell r="Y312">
            <v>1</v>
          </cell>
          <cell r="Z312">
            <v>1</v>
          </cell>
          <cell r="AA312">
            <v>1</v>
          </cell>
          <cell r="AB312">
            <v>1</v>
          </cell>
        </row>
        <row r="313">
          <cell r="A313" t="str">
            <v>BUIS298,5x40,0</v>
          </cell>
          <cell r="B313" t="str">
            <v>298,5x40,0</v>
          </cell>
          <cell r="C313">
            <v>254.9999340992299</v>
          </cell>
          <cell r="D313">
            <v>298.5</v>
          </cell>
          <cell r="E313">
            <v>298.5</v>
          </cell>
          <cell r="F313">
            <v>40</v>
          </cell>
          <cell r="G313">
            <v>40</v>
          </cell>
          <cell r="H313">
            <v>32484.068038118461</v>
          </cell>
          <cell r="I313">
            <v>277829128.04014385</v>
          </cell>
          <cell r="J313">
            <v>1861501.6954113489</v>
          </cell>
          <cell r="K313">
            <v>2694223.3333333335</v>
          </cell>
          <cell r="L313">
            <v>92.481248099276854</v>
          </cell>
          <cell r="M313">
            <v>16242.034019059231</v>
          </cell>
          <cell r="N313">
            <v>277829128.04014385</v>
          </cell>
          <cell r="O313">
            <v>1861501.6954113489</v>
          </cell>
          <cell r="P313">
            <v>2694223.3333333335</v>
          </cell>
          <cell r="Q313">
            <v>92.481248099276854</v>
          </cell>
          <cell r="T313">
            <v>4198565.7939268108</v>
          </cell>
          <cell r="W313">
            <v>1</v>
          </cell>
          <cell r="X313">
            <v>1</v>
          </cell>
          <cell r="Y313">
            <v>1</v>
          </cell>
          <cell r="Z313">
            <v>1</v>
          </cell>
          <cell r="AA313">
            <v>1</v>
          </cell>
          <cell r="AB313">
            <v>1</v>
          </cell>
        </row>
        <row r="314">
          <cell r="A314" t="str">
            <v>BUIS298,5x45,0</v>
          </cell>
          <cell r="B314" t="str">
            <v>298,5x45,0</v>
          </cell>
          <cell r="C314">
            <v>281.32608783723072</v>
          </cell>
          <cell r="D314">
            <v>298.5</v>
          </cell>
          <cell r="E314">
            <v>298.5</v>
          </cell>
          <cell r="F314">
            <v>45</v>
          </cell>
          <cell r="G314">
            <v>45</v>
          </cell>
          <cell r="H314">
            <v>35837.718195825568</v>
          </cell>
          <cell r="I314">
            <v>296947973.18452978</v>
          </cell>
          <cell r="J314">
            <v>1989601.1603653587</v>
          </cell>
          <cell r="K314">
            <v>2922176.25</v>
          </cell>
          <cell r="L314">
            <v>91.026953425894689</v>
          </cell>
          <cell r="M314">
            <v>17918.859097912784</v>
          </cell>
          <cell r="N314">
            <v>296947973.18452978</v>
          </cell>
          <cell r="O314">
            <v>1989601.1603653587</v>
          </cell>
          <cell r="P314">
            <v>2922176.25</v>
          </cell>
          <cell r="Q314">
            <v>91.026953425894689</v>
          </cell>
          <cell r="T314">
            <v>4542430.7813208904</v>
          </cell>
          <cell r="W314">
            <v>1</v>
          </cell>
          <cell r="X314">
            <v>1</v>
          </cell>
          <cell r="Y314">
            <v>1</v>
          </cell>
          <cell r="Z314">
            <v>1</v>
          </cell>
          <cell r="AA314">
            <v>1</v>
          </cell>
          <cell r="AB314">
            <v>1</v>
          </cell>
        </row>
        <row r="315">
          <cell r="A315" t="str">
            <v>BUIS323,9x4,5</v>
          </cell>
          <cell r="B315" t="str">
            <v>323,9x4,5</v>
          </cell>
          <cell r="C315">
            <v>35.445977299886252</v>
          </cell>
          <cell r="D315">
            <v>323.89999999999998</v>
          </cell>
          <cell r="E315">
            <v>323.89999999999998</v>
          </cell>
          <cell r="F315">
            <v>4.5</v>
          </cell>
          <cell r="G315">
            <v>4.5</v>
          </cell>
          <cell r="H315">
            <v>4515.4111210046185</v>
          </cell>
          <cell r="I315">
            <v>57592155.442951448</v>
          </cell>
          <cell r="J315">
            <v>355616.89066348533</v>
          </cell>
          <cell r="K315">
            <v>459103.9950000004</v>
          </cell>
          <cell r="L315">
            <v>112.93616006399374</v>
          </cell>
          <cell r="M315">
            <v>2257.7055605023093</v>
          </cell>
          <cell r="N315">
            <v>57592155.442951448</v>
          </cell>
          <cell r="O315">
            <v>355616.89066348533</v>
          </cell>
          <cell r="P315">
            <v>459103.9950000004</v>
          </cell>
          <cell r="Q315">
            <v>112.93616006399374</v>
          </cell>
          <cell r="T315">
            <v>721111.15602443612</v>
          </cell>
          <cell r="W315">
            <v>3</v>
          </cell>
          <cell r="X315">
            <v>3</v>
          </cell>
          <cell r="Y315">
            <v>3</v>
          </cell>
          <cell r="Z315">
            <v>3</v>
          </cell>
          <cell r="AA315">
            <v>3</v>
          </cell>
          <cell r="AB315">
            <v>3</v>
          </cell>
        </row>
        <row r="316">
          <cell r="A316" t="str">
            <v>BUIS323,9x5,0</v>
          </cell>
          <cell r="B316" t="str">
            <v>323,9x5,0</v>
          </cell>
          <cell r="C316">
            <v>39.322765466269061</v>
          </cell>
          <cell r="D316">
            <v>323.89999999999998</v>
          </cell>
          <cell r="E316">
            <v>323.89999999999998</v>
          </cell>
          <cell r="F316">
            <v>5</v>
          </cell>
          <cell r="G316">
            <v>5</v>
          </cell>
          <cell r="H316">
            <v>5009.2694861489254</v>
          </cell>
          <cell r="I316">
            <v>63694245.32707914</v>
          </cell>
          <cell r="J316">
            <v>393295.7414453791</v>
          </cell>
          <cell r="K316">
            <v>508527.71666666615</v>
          </cell>
          <cell r="L316">
            <v>112.76203372589553</v>
          </cell>
          <cell r="M316">
            <v>2504.6347430744627</v>
          </cell>
          <cell r="N316">
            <v>63694245.32707914</v>
          </cell>
          <cell r="O316">
            <v>393295.7414453791</v>
          </cell>
          <cell r="P316">
            <v>508527.71666666615</v>
          </cell>
          <cell r="Q316">
            <v>112.76203372589553</v>
          </cell>
          <cell r="T316">
            <v>798728.01956644608</v>
          </cell>
          <cell r="W316">
            <v>2</v>
          </cell>
          <cell r="X316">
            <v>3</v>
          </cell>
          <cell r="Y316">
            <v>3</v>
          </cell>
          <cell r="Z316">
            <v>2</v>
          </cell>
          <cell r="AA316">
            <v>3</v>
          </cell>
          <cell r="AB316">
            <v>3</v>
          </cell>
        </row>
        <row r="317">
          <cell r="A317" t="str">
            <v>BUIS323,9x6,3</v>
          </cell>
          <cell r="B317" t="str">
            <v>323,9x6,3</v>
          </cell>
          <cell r="C317">
            <v>49.344706783410864</v>
          </cell>
          <cell r="D317">
            <v>323.89999999999998</v>
          </cell>
          <cell r="E317">
            <v>323.89999999999998</v>
          </cell>
          <cell r="F317">
            <v>6.3</v>
          </cell>
          <cell r="G317">
            <v>6.3</v>
          </cell>
          <cell r="H317">
            <v>6285.9499087147597</v>
          </cell>
          <cell r="I317">
            <v>79288968.50199458</v>
          </cell>
          <cell r="J317">
            <v>489589.18494593754</v>
          </cell>
          <cell r="K317">
            <v>635562.83700000064</v>
          </cell>
          <cell r="L317">
            <v>112.31064620061626</v>
          </cell>
          <cell r="M317">
            <v>3142.9749543573798</v>
          </cell>
          <cell r="N317">
            <v>79288968.50199458</v>
          </cell>
          <cell r="O317">
            <v>489589.18494593754</v>
          </cell>
          <cell r="P317">
            <v>635562.83700000064</v>
          </cell>
          <cell r="Q317">
            <v>112.31064620061626</v>
          </cell>
          <cell r="T317">
            <v>998208.84550390136</v>
          </cell>
          <cell r="W317">
            <v>2</v>
          </cell>
          <cell r="X317">
            <v>3</v>
          </cell>
          <cell r="Y317">
            <v>3</v>
          </cell>
          <cell r="Z317">
            <v>2</v>
          </cell>
          <cell r="AA317">
            <v>3</v>
          </cell>
          <cell r="AB317">
            <v>3</v>
          </cell>
        </row>
        <row r="318">
          <cell r="A318" t="str">
            <v>BUIS323,9x7,1</v>
          </cell>
          <cell r="B318" t="str">
            <v>323,9x7,1</v>
          </cell>
          <cell r="C318">
            <v>55.470623962351603</v>
          </cell>
          <cell r="D318">
            <v>323.89999999999998</v>
          </cell>
          <cell r="E318">
            <v>323.89999999999998</v>
          </cell>
          <cell r="F318">
            <v>7.1</v>
          </cell>
          <cell r="G318">
            <v>7.1</v>
          </cell>
          <cell r="H318">
            <v>7066.3215238664461</v>
          </cell>
          <cell r="I318">
            <v>88693508.745433539</v>
          </cell>
          <cell r="J318">
            <v>547659.82553524885</v>
          </cell>
          <cell r="K318">
            <v>712691.2076666659</v>
          </cell>
          <cell r="L318">
            <v>112.03383975388866</v>
          </cell>
          <cell r="M318">
            <v>3533.1607619332231</v>
          </cell>
          <cell r="N318">
            <v>88693508.745433539</v>
          </cell>
          <cell r="O318">
            <v>547659.82553524885</v>
          </cell>
          <cell r="P318">
            <v>712691.2076666659</v>
          </cell>
          <cell r="Q318">
            <v>112.03383975388866</v>
          </cell>
          <cell r="T318">
            <v>1119305.3293804452</v>
          </cell>
          <cell r="W318">
            <v>1</v>
          </cell>
          <cell r="X318">
            <v>2</v>
          </cell>
          <cell r="Y318">
            <v>3</v>
          </cell>
          <cell r="Z318">
            <v>1</v>
          </cell>
          <cell r="AA318">
            <v>2</v>
          </cell>
          <cell r="AB318">
            <v>3</v>
          </cell>
        </row>
        <row r="319">
          <cell r="A319" t="str">
            <v>BUIS323,9x10,0</v>
          </cell>
          <cell r="B319" t="str">
            <v>323,9x10,0</v>
          </cell>
          <cell r="C319">
            <v>77.412455816004126</v>
          </cell>
          <cell r="D319">
            <v>323.89999999999998</v>
          </cell>
          <cell r="E319">
            <v>323.89999999999998</v>
          </cell>
          <cell r="F319">
            <v>10</v>
          </cell>
          <cell r="G319">
            <v>10</v>
          </cell>
          <cell r="H319">
            <v>9861.4593396183609</v>
          </cell>
          <cell r="I319">
            <v>121583423.74387991</v>
          </cell>
          <cell r="J319">
            <v>750746.6733181841</v>
          </cell>
          <cell r="K319">
            <v>985665.433333333</v>
          </cell>
          <cell r="L319">
            <v>111.036711271543</v>
          </cell>
          <cell r="M319">
            <v>4930.7296698091805</v>
          </cell>
          <cell r="N319">
            <v>121583423.74387991</v>
          </cell>
          <cell r="O319">
            <v>750746.6733181841</v>
          </cell>
          <cell r="P319">
            <v>985665.433333333</v>
          </cell>
          <cell r="Q319">
            <v>111.036711271543</v>
          </cell>
          <cell r="T319">
            <v>1547756.0433531017</v>
          </cell>
          <cell r="W319">
            <v>1</v>
          </cell>
          <cell r="X319">
            <v>1</v>
          </cell>
          <cell r="Y319">
            <v>2</v>
          </cell>
          <cell r="Z319">
            <v>1</v>
          </cell>
          <cell r="AA319">
            <v>1</v>
          </cell>
          <cell r="AB319">
            <v>2</v>
          </cell>
        </row>
        <row r="320">
          <cell r="A320" t="str">
            <v>BUIS323,9x12,5</v>
          </cell>
          <cell r="B320" t="str">
            <v>323,9x12,5</v>
          </cell>
          <cell r="C320">
            <v>95.99489782217141</v>
          </cell>
          <cell r="D320">
            <v>323.89999999999998</v>
          </cell>
          <cell r="E320">
            <v>323.89999999999998</v>
          </cell>
          <cell r="F320">
            <v>12.5</v>
          </cell>
          <cell r="G320">
            <v>12.5</v>
          </cell>
          <cell r="H320">
            <v>12228.649404098269</v>
          </cell>
          <cell r="I320">
            <v>148465296.25485295</v>
          </cell>
          <cell r="J320">
            <v>916735.38903891912</v>
          </cell>
          <cell r="K320">
            <v>1212775.541666666</v>
          </cell>
          <cell r="L320">
            <v>110.18519070183616</v>
          </cell>
          <cell r="M320">
            <v>6114.3247020491344</v>
          </cell>
          <cell r="N320">
            <v>148465296.25485295</v>
          </cell>
          <cell r="O320">
            <v>916735.38903891912</v>
          </cell>
          <cell r="P320">
            <v>1212775.541666666</v>
          </cell>
          <cell r="Q320">
            <v>110.18519070183616</v>
          </cell>
          <cell r="T320">
            <v>1904000.7122181002</v>
          </cell>
          <cell r="W320">
            <v>1</v>
          </cell>
          <cell r="X320">
            <v>1</v>
          </cell>
          <cell r="Y320">
            <v>2</v>
          </cell>
          <cell r="Z320">
            <v>1</v>
          </cell>
          <cell r="AA320">
            <v>1</v>
          </cell>
          <cell r="AB320">
            <v>2</v>
          </cell>
        </row>
        <row r="321">
          <cell r="A321" t="str">
            <v>BUIS323,9x16,0</v>
          </cell>
          <cell r="B321" t="str">
            <v>323,9x16,0</v>
          </cell>
          <cell r="C321">
            <v>121.49242508186137</v>
          </cell>
          <cell r="D321">
            <v>323.89999999999998</v>
          </cell>
          <cell r="E321">
            <v>323.89999999999998</v>
          </cell>
          <cell r="F321">
            <v>16</v>
          </cell>
          <cell r="G321">
            <v>16</v>
          </cell>
          <cell r="H321">
            <v>15476.742048644761</v>
          </cell>
          <cell r="I321">
            <v>183899311.39053923</v>
          </cell>
          <cell r="J321">
            <v>1135531.4071660342</v>
          </cell>
          <cell r="K321">
            <v>1518203.8933333333</v>
          </cell>
          <cell r="L321">
            <v>109.0059688732686</v>
          </cell>
          <cell r="M321">
            <v>7738.3710243223804</v>
          </cell>
          <cell r="N321">
            <v>183899311.39053923</v>
          </cell>
          <cell r="O321">
            <v>1135531.4071660342</v>
          </cell>
          <cell r="P321">
            <v>1518203.8933333333</v>
          </cell>
          <cell r="Q321">
            <v>109.0059688732686</v>
          </cell>
          <cell r="T321">
            <v>2382644.4383888599</v>
          </cell>
          <cell r="W321">
            <v>1</v>
          </cell>
          <cell r="X321">
            <v>1</v>
          </cell>
          <cell r="Y321">
            <v>1</v>
          </cell>
          <cell r="Z321">
            <v>1</v>
          </cell>
          <cell r="AA321">
            <v>1</v>
          </cell>
          <cell r="AB321">
            <v>1</v>
          </cell>
        </row>
        <row r="322">
          <cell r="A322" t="str">
            <v>BUIS323,9x20,0</v>
          </cell>
          <cell r="B322" t="str">
            <v>323,9x20,0</v>
          </cell>
          <cell r="C322">
            <v>149.8926111658723</v>
          </cell>
          <cell r="D322">
            <v>323.89999999999998</v>
          </cell>
          <cell r="E322">
            <v>323.89999999999998</v>
          </cell>
          <cell r="F322">
            <v>20</v>
          </cell>
          <cell r="G322">
            <v>20</v>
          </cell>
          <cell r="H322">
            <v>19094.600148518763</v>
          </cell>
          <cell r="I322">
            <v>221390455.83023614</v>
          </cell>
          <cell r="J322">
            <v>1367029.6747776237</v>
          </cell>
          <cell r="K322">
            <v>1849770.866666666</v>
          </cell>
          <cell r="L322">
            <v>107.67730146135722</v>
          </cell>
          <cell r="M322">
            <v>9547.3000742593813</v>
          </cell>
          <cell r="N322">
            <v>221390455.83023614</v>
          </cell>
          <cell r="O322">
            <v>1367029.6747776237</v>
          </cell>
          <cell r="P322">
            <v>1849770.866666666</v>
          </cell>
          <cell r="Q322">
            <v>107.67730146135722</v>
          </cell>
          <cell r="T322">
            <v>2901424.4925674256</v>
          </cell>
          <cell r="W322">
            <v>1</v>
          </cell>
          <cell r="X322">
            <v>1</v>
          </cell>
          <cell r="Y322">
            <v>1</v>
          </cell>
          <cell r="Z322">
            <v>1</v>
          </cell>
          <cell r="AA322">
            <v>1</v>
          </cell>
          <cell r="AB322">
            <v>1</v>
          </cell>
        </row>
        <row r="323">
          <cell r="A323" t="str">
            <v>BUIS323,9x22,2</v>
          </cell>
          <cell r="B323" t="str">
            <v>323,9x22,2</v>
          </cell>
          <cell r="C323">
            <v>165.17633062028779</v>
          </cell>
          <cell r="D323">
            <v>323.89999999999998</v>
          </cell>
          <cell r="E323">
            <v>323.89999999999998</v>
          </cell>
          <cell r="F323">
            <v>22.2</v>
          </cell>
          <cell r="G323">
            <v>22.2</v>
          </cell>
          <cell r="H323">
            <v>21041.570779654496</v>
          </cell>
          <cell r="I323">
            <v>240704338.78084379</v>
          </cell>
          <cell r="J323">
            <v>1486287.9825924286</v>
          </cell>
          <cell r="K323">
            <v>2024355.1739999987</v>
          </cell>
          <cell r="L323">
            <v>106.95544048808364</v>
          </cell>
          <cell r="M323">
            <v>10520.785389827248</v>
          </cell>
          <cell r="N323">
            <v>240704338.78084379</v>
          </cell>
          <cell r="O323">
            <v>1486287.9825924286</v>
          </cell>
          <cell r="P323">
            <v>2024355.1739999987</v>
          </cell>
          <cell r="Q323">
            <v>106.95544048808364</v>
          </cell>
          <cell r="T323">
            <v>3174120.9521108815</v>
          </cell>
          <cell r="W323">
            <v>1</v>
          </cell>
          <cell r="X323">
            <v>1</v>
          </cell>
          <cell r="Y323">
            <v>1</v>
          </cell>
          <cell r="Z323">
            <v>1</v>
          </cell>
          <cell r="AA323">
            <v>1</v>
          </cell>
          <cell r="AB323">
            <v>1</v>
          </cell>
        </row>
        <row r="324">
          <cell r="A324" t="str">
            <v>BUIS323,9x25,0</v>
          </cell>
          <cell r="B324" t="str">
            <v>323,9x25,0</v>
          </cell>
          <cell r="C324">
            <v>184.28307616600537</v>
          </cell>
          <cell r="D324">
            <v>323.89999999999998</v>
          </cell>
          <cell r="E324">
            <v>323.89999999999998</v>
          </cell>
          <cell r="F324">
            <v>25</v>
          </cell>
          <cell r="G324">
            <v>25</v>
          </cell>
          <cell r="H324">
            <v>23475.551103949729</v>
          </cell>
          <cell r="I324">
            <v>264000795.06045917</v>
          </cell>
          <cell r="J324">
            <v>1630137.6663195998</v>
          </cell>
          <cell r="K324">
            <v>2238738.5833333326</v>
          </cell>
          <cell r="L324">
            <v>106.04610436032057</v>
          </cell>
          <cell r="M324">
            <v>11737.775551974864</v>
          </cell>
          <cell r="N324">
            <v>264000795.06045917</v>
          </cell>
          <cell r="O324">
            <v>1630137.6663195998</v>
          </cell>
          <cell r="P324">
            <v>2238738.5833333326</v>
          </cell>
          <cell r="Q324">
            <v>106.04610436032057</v>
          </cell>
          <cell r="T324">
            <v>3508421.1124852868</v>
          </cell>
          <cell r="W324">
            <v>1</v>
          </cell>
          <cell r="X324">
            <v>1</v>
          </cell>
          <cell r="Y324">
            <v>1</v>
          </cell>
          <cell r="Z324">
            <v>1</v>
          </cell>
          <cell r="AA324">
            <v>1</v>
          </cell>
          <cell r="AB324">
            <v>1</v>
          </cell>
        </row>
        <row r="325">
          <cell r="A325" t="str">
            <v>BUIS323,9x30,0</v>
          </cell>
          <cell r="B325" t="str">
            <v>323,9x30,0</v>
          </cell>
          <cell r="C325">
            <v>217.44046604960448</v>
          </cell>
          <cell r="D325">
            <v>323.89999999999998</v>
          </cell>
          <cell r="E325">
            <v>323.89999999999998</v>
          </cell>
          <cell r="F325">
            <v>30</v>
          </cell>
          <cell r="G325">
            <v>30</v>
          </cell>
          <cell r="H325">
            <v>27699.422426701207</v>
          </cell>
          <cell r="I325">
            <v>302191038.50173885</v>
          </cell>
          <cell r="J325">
            <v>1865952.6921996842</v>
          </cell>
          <cell r="K325">
            <v>2600316.2999999993</v>
          </cell>
          <cell r="L325">
            <v>104.44927596685388</v>
          </cell>
          <cell r="M325">
            <v>13849.711213350603</v>
          </cell>
          <cell r="N325">
            <v>302191038.50173885</v>
          </cell>
          <cell r="O325">
            <v>1865952.6921996842</v>
          </cell>
          <cell r="P325">
            <v>2600316.2999999993</v>
          </cell>
          <cell r="Q325">
            <v>104.44927596685388</v>
          </cell>
          <cell r="T325">
            <v>4070430.125603742</v>
          </cell>
          <cell r="W325">
            <v>1</v>
          </cell>
          <cell r="X325">
            <v>1</v>
          </cell>
          <cell r="Y325">
            <v>1</v>
          </cell>
          <cell r="Z325">
            <v>1</v>
          </cell>
          <cell r="AA325">
            <v>1</v>
          </cell>
          <cell r="AB325">
            <v>1</v>
          </cell>
        </row>
        <row r="326">
          <cell r="A326" t="str">
            <v>BUIS323,9x36,0</v>
          </cell>
          <cell r="B326" t="str">
            <v>323,9x36,0</v>
          </cell>
          <cell r="C326">
            <v>255.60167475609856</v>
          </cell>
          <cell r="D326">
            <v>323.89999999999998</v>
          </cell>
          <cell r="E326">
            <v>323.89999999999998</v>
          </cell>
          <cell r="F326">
            <v>36</v>
          </cell>
          <cell r="G326">
            <v>36</v>
          </cell>
          <cell r="H326">
            <v>32560.722898866057</v>
          </cell>
          <cell r="I326">
            <v>342630015.62109131</v>
          </cell>
          <cell r="J326">
            <v>2115653.0757708633</v>
          </cell>
          <cell r="K326">
            <v>2999462.7599999993</v>
          </cell>
          <cell r="L326">
            <v>102.58070603188496</v>
          </cell>
          <cell r="M326">
            <v>16280.361449433029</v>
          </cell>
          <cell r="N326">
            <v>342630015.62109131</v>
          </cell>
          <cell r="O326">
            <v>2115653.0757708633</v>
          </cell>
          <cell r="P326">
            <v>2999462.7599999993</v>
          </cell>
          <cell r="Q326">
            <v>102.58070603188496</v>
          </cell>
          <cell r="T326">
            <v>4687116.0612917673</v>
          </cell>
          <cell r="W326">
            <v>1</v>
          </cell>
          <cell r="X326">
            <v>1</v>
          </cell>
          <cell r="Y326">
            <v>1</v>
          </cell>
          <cell r="Z326">
            <v>1</v>
          </cell>
          <cell r="AA326">
            <v>1</v>
          </cell>
          <cell r="AB326">
            <v>1</v>
          </cell>
        </row>
        <row r="327">
          <cell r="A327" t="str">
            <v>BUIS323,9x40,0</v>
          </cell>
          <cell r="B327" t="str">
            <v>323,9x40,0</v>
          </cell>
          <cell r="C327">
            <v>280.05602046720065</v>
          </cell>
          <cell r="D327">
            <v>323.89999999999998</v>
          </cell>
          <cell r="E327">
            <v>323.89999999999998</v>
          </cell>
          <cell r="F327">
            <v>40</v>
          </cell>
          <cell r="G327">
            <v>40</v>
          </cell>
          <cell r="H327">
            <v>35675.926174165688</v>
          </cell>
          <cell r="I327">
            <v>366566618.44184279</v>
          </cell>
          <cell r="J327">
            <v>2263455.501338949</v>
          </cell>
          <cell r="K327">
            <v>3245301.7333333325</v>
          </cell>
          <cell r="L327">
            <v>101.36518756456775</v>
          </cell>
          <cell r="M327">
            <v>17837.963087082844</v>
          </cell>
          <cell r="N327">
            <v>366566618.44184279</v>
          </cell>
          <cell r="O327">
            <v>2263455.501338949</v>
          </cell>
          <cell r="P327">
            <v>3245301.7333333325</v>
          </cell>
          <cell r="Q327">
            <v>101.36518756456775</v>
          </cell>
          <cell r="T327">
            <v>5064197.7204228193</v>
          </cell>
          <cell r="W327">
            <v>1</v>
          </cell>
          <cell r="X327">
            <v>1</v>
          </cell>
          <cell r="Y327">
            <v>1</v>
          </cell>
          <cell r="Z327">
            <v>1</v>
          </cell>
          <cell r="AA327">
            <v>1</v>
          </cell>
          <cell r="AB327">
            <v>1</v>
          </cell>
        </row>
        <row r="328">
          <cell r="A328" t="str">
            <v>BUIS323,9x45,0</v>
          </cell>
          <cell r="B328" t="str">
            <v>323,9x45,0</v>
          </cell>
          <cell r="C328">
            <v>309.5141850011978</v>
          </cell>
          <cell r="D328">
            <v>323.89999999999998</v>
          </cell>
          <cell r="E328">
            <v>323.89999999999998</v>
          </cell>
          <cell r="F328">
            <v>45</v>
          </cell>
          <cell r="G328">
            <v>45</v>
          </cell>
          <cell r="H328">
            <v>39428.558598878699</v>
          </cell>
          <cell r="I328">
            <v>393350192.72172683</v>
          </cell>
          <cell r="J328">
            <v>2428837.2505200794</v>
          </cell>
          <cell r="K328">
            <v>3530709.4499999993</v>
          </cell>
          <cell r="L328">
            <v>99.881310814386083</v>
          </cell>
          <cell r="M328">
            <v>19714.279299439349</v>
          </cell>
          <cell r="N328">
            <v>393350192.72172683</v>
          </cell>
          <cell r="O328">
            <v>2428837.2505200794</v>
          </cell>
          <cell r="P328">
            <v>3530709.4499999993</v>
          </cell>
          <cell r="Q328">
            <v>99.881310814386083</v>
          </cell>
          <cell r="T328">
            <v>5498312.4966136338</v>
          </cell>
          <cell r="W328">
            <v>1</v>
          </cell>
          <cell r="X328">
            <v>1</v>
          </cell>
          <cell r="Y328">
            <v>1</v>
          </cell>
          <cell r="Z328">
            <v>1</v>
          </cell>
          <cell r="AA328">
            <v>1</v>
          </cell>
          <cell r="AB328">
            <v>1</v>
          </cell>
        </row>
        <row r="329">
          <cell r="A329" t="str">
            <v>BUIS355,6x8,0</v>
          </cell>
          <cell r="B329" t="str">
            <v>355,6x8,0</v>
          </cell>
          <cell r="C329">
            <v>68.578705681154574</v>
          </cell>
          <cell r="D329">
            <v>355.6</v>
          </cell>
          <cell r="E329">
            <v>355.6</v>
          </cell>
          <cell r="F329">
            <v>8</v>
          </cell>
          <cell r="G329">
            <v>8</v>
          </cell>
          <cell r="H329">
            <v>8736.1408511024947</v>
          </cell>
          <cell r="I329">
            <v>132013746.35199709</v>
          </cell>
          <cell r="J329">
            <v>742484.5126659004</v>
          </cell>
          <cell r="K329">
            <v>966776.7466666674</v>
          </cell>
          <cell r="L329">
            <v>122.9277023294587</v>
          </cell>
          <cell r="M329">
            <v>4368.0704255512474</v>
          </cell>
          <cell r="N329">
            <v>132013746.35199709</v>
          </cell>
          <cell r="O329">
            <v>742484.5126659004</v>
          </cell>
          <cell r="P329">
            <v>966776.7466666674</v>
          </cell>
          <cell r="Q329">
            <v>122.9277023294587</v>
          </cell>
          <cell r="T329">
            <v>1518341.2799216141</v>
          </cell>
          <cell r="W329">
            <v>1</v>
          </cell>
          <cell r="X329">
            <v>2</v>
          </cell>
          <cell r="Y329">
            <v>3</v>
          </cell>
          <cell r="Z329">
            <v>1</v>
          </cell>
          <cell r="AA329">
            <v>2</v>
          </cell>
          <cell r="AB329">
            <v>3</v>
          </cell>
        </row>
        <row r="330">
          <cell r="A330" t="str">
            <v>BUIS355,6x8,8</v>
          </cell>
          <cell r="B330" t="str">
            <v>355,6x8,8</v>
          </cell>
          <cell r="C330">
            <v>75.262959272862176</v>
          </cell>
          <cell r="D330">
            <v>355.6</v>
          </cell>
          <cell r="E330">
            <v>355.6</v>
          </cell>
          <cell r="F330">
            <v>8.8000000000000007</v>
          </cell>
          <cell r="G330">
            <v>8.8000000000000007</v>
          </cell>
          <cell r="H330">
            <v>9587.6381239314869</v>
          </cell>
          <cell r="I330">
            <v>144231250.61183834</v>
          </cell>
          <cell r="J330">
            <v>811199.38476849452</v>
          </cell>
          <cell r="K330">
            <v>1058605.2693333353</v>
          </cell>
          <cell r="L330">
            <v>122.65178351740343</v>
          </cell>
          <cell r="M330">
            <v>4793.8190619657435</v>
          </cell>
          <cell r="N330">
            <v>144231250.61183834</v>
          </cell>
          <cell r="O330">
            <v>811199.38476849452</v>
          </cell>
          <cell r="P330">
            <v>1058605.2693333353</v>
          </cell>
          <cell r="Q330">
            <v>122.65178351740343</v>
          </cell>
          <cell r="T330">
            <v>1662496.4506897177</v>
          </cell>
          <cell r="W330">
            <v>1</v>
          </cell>
          <cell r="X330">
            <v>2</v>
          </cell>
          <cell r="Y330">
            <v>3</v>
          </cell>
          <cell r="Z330">
            <v>1</v>
          </cell>
          <cell r="AA330">
            <v>2</v>
          </cell>
          <cell r="AB330">
            <v>3</v>
          </cell>
        </row>
        <row r="331">
          <cell r="A331" t="str">
            <v>BUIS355,6x10,0</v>
          </cell>
          <cell r="B331" t="str">
            <v>355,6x10,0</v>
          </cell>
          <cell r="C331">
            <v>85.230152054829659</v>
          </cell>
          <cell r="D331">
            <v>355.6</v>
          </cell>
          <cell r="E331">
            <v>355.6</v>
          </cell>
          <cell r="F331">
            <v>10</v>
          </cell>
          <cell r="G331">
            <v>10</v>
          </cell>
          <cell r="H331">
            <v>10857.344210806325</v>
          </cell>
          <cell r="I331">
            <v>162234997.28243667</v>
          </cell>
          <cell r="J331">
            <v>912457.80248839513</v>
          </cell>
          <cell r="K331">
            <v>1194726.9333333336</v>
          </cell>
          <cell r="L331">
            <v>122.23919175125465</v>
          </cell>
          <cell r="M331">
            <v>5428.6721054031623</v>
          </cell>
          <cell r="N331">
            <v>162234997.28243667</v>
          </cell>
          <cell r="O331">
            <v>912457.80248839513</v>
          </cell>
          <cell r="P331">
            <v>1194726.9333333336</v>
          </cell>
          <cell r="Q331">
            <v>122.23919175125465</v>
          </cell>
          <cell r="T331">
            <v>1876149.0796273332</v>
          </cell>
          <cell r="W331">
            <v>1</v>
          </cell>
          <cell r="X331">
            <v>2</v>
          </cell>
          <cell r="Y331">
            <v>2</v>
          </cell>
          <cell r="Z331">
            <v>1</v>
          </cell>
          <cell r="AA331">
            <v>2</v>
          </cell>
          <cell r="AB331">
            <v>2</v>
          </cell>
        </row>
        <row r="332">
          <cell r="A332" t="str">
            <v>BUIS355,6x12,5</v>
          </cell>
          <cell r="B332" t="str">
            <v>355,6x12,5</v>
          </cell>
          <cell r="C332">
            <v>105.76701812070333</v>
          </cell>
          <cell r="D332">
            <v>355.6</v>
          </cell>
          <cell r="E332">
            <v>355.6</v>
          </cell>
          <cell r="F332">
            <v>12.5</v>
          </cell>
          <cell r="G332">
            <v>12.5</v>
          </cell>
          <cell r="H332">
            <v>13473.505493083225</v>
          </cell>
          <cell r="I332">
            <v>198521762.5251154</v>
          </cell>
          <cell r="J332">
            <v>1116545.3460355196</v>
          </cell>
          <cell r="K332">
            <v>1472121.1666666679</v>
          </cell>
          <cell r="L332">
            <v>121.38464688748739</v>
          </cell>
          <cell r="M332">
            <v>6736.7527465416124</v>
          </cell>
          <cell r="N332">
            <v>198521762.5251154</v>
          </cell>
          <cell r="O332">
            <v>1116545.3460355196</v>
          </cell>
          <cell r="P332">
            <v>1472121.1666666679</v>
          </cell>
          <cell r="Q332">
            <v>121.38464688748739</v>
          </cell>
          <cell r="T332">
            <v>2311379.8673384278</v>
          </cell>
          <cell r="W332">
            <v>1</v>
          </cell>
          <cell r="X332">
            <v>1</v>
          </cell>
          <cell r="Y332">
            <v>2</v>
          </cell>
          <cell r="Z332">
            <v>1</v>
          </cell>
          <cell r="AA332">
            <v>1</v>
          </cell>
          <cell r="AB332">
            <v>2</v>
          </cell>
        </row>
        <row r="333">
          <cell r="A333" t="str">
            <v>BUIS355,6x14,2</v>
          </cell>
          <cell r="B333" t="str">
            <v>355,6x14,2</v>
          </cell>
          <cell r="C333">
            <v>119.55600391885629</v>
          </cell>
          <cell r="D333">
            <v>355.6</v>
          </cell>
          <cell r="E333">
            <v>355.6</v>
          </cell>
          <cell r="F333">
            <v>14.2</v>
          </cell>
          <cell r="G333">
            <v>14.2</v>
          </cell>
          <cell r="H333">
            <v>15230.064193484877</v>
          </cell>
          <cell r="I333">
            <v>222274410.36860541</v>
          </cell>
          <cell r="J333">
            <v>1250137.29116201</v>
          </cell>
          <cell r="K333">
            <v>1656020.6613333325</v>
          </cell>
          <cell r="L333">
            <v>120.80749148955955</v>
          </cell>
          <cell r="M333">
            <v>7615.0320967424386</v>
          </cell>
          <cell r="N333">
            <v>222274410.36860541</v>
          </cell>
          <cell r="O333">
            <v>1250137.29116201</v>
          </cell>
          <cell r="P333">
            <v>1656020.6613333325</v>
          </cell>
          <cell r="Q333">
            <v>120.80749148955955</v>
          </cell>
          <cell r="T333">
            <v>2599771.9578278707</v>
          </cell>
          <cell r="W333">
            <v>1</v>
          </cell>
          <cell r="X333">
            <v>1</v>
          </cell>
          <cell r="Y333">
            <v>1</v>
          </cell>
          <cell r="Z333">
            <v>1</v>
          </cell>
          <cell r="AA333">
            <v>1</v>
          </cell>
          <cell r="AB333">
            <v>1</v>
          </cell>
        </row>
        <row r="334">
          <cell r="A334" t="str">
            <v>BUIS355,6x16,0</v>
          </cell>
          <cell r="B334" t="str">
            <v>355,6x16,0</v>
          </cell>
          <cell r="C334">
            <v>134.00073906398214</v>
          </cell>
          <cell r="D334">
            <v>355.6</v>
          </cell>
          <cell r="E334">
            <v>355.6</v>
          </cell>
          <cell r="F334">
            <v>16</v>
          </cell>
          <cell r="G334">
            <v>16</v>
          </cell>
          <cell r="H334">
            <v>17070.157842545494</v>
          </cell>
          <cell r="I334">
            <v>246629981.91225424</v>
          </cell>
          <cell r="J334">
            <v>1387120.258224152</v>
          </cell>
          <cell r="K334">
            <v>1846615.8933333333</v>
          </cell>
          <cell r="L334">
            <v>120.19991680529569</v>
          </cell>
          <cell r="M334">
            <v>8535.0789212727468</v>
          </cell>
          <cell r="N334">
            <v>246629981.91225424</v>
          </cell>
          <cell r="O334">
            <v>1387120.258224152</v>
          </cell>
          <cell r="P334">
            <v>1846615.8933333333</v>
          </cell>
          <cell r="Q334">
            <v>120.19991680529569</v>
          </cell>
          <cell r="T334">
            <v>2898512.8016642262</v>
          </cell>
          <cell r="W334">
            <v>1</v>
          </cell>
          <cell r="X334">
            <v>1</v>
          </cell>
          <cell r="Y334">
            <v>1</v>
          </cell>
          <cell r="Z334">
            <v>1</v>
          </cell>
          <cell r="AA334">
            <v>1</v>
          </cell>
          <cell r="AB334">
            <v>1</v>
          </cell>
        </row>
        <row r="335">
          <cell r="A335" t="str">
            <v>BUIS355,6x17,5</v>
          </cell>
          <cell r="B335" t="str">
            <v>355,6x17,5</v>
          </cell>
          <cell r="C335">
            <v>145.91594391505015</v>
          </cell>
          <cell r="D335">
            <v>355.6</v>
          </cell>
          <cell r="E335">
            <v>355.6</v>
          </cell>
          <cell r="F335">
            <v>17.5</v>
          </cell>
          <cell r="G335">
            <v>17.5</v>
          </cell>
          <cell r="H335">
            <v>18588.018333127409</v>
          </cell>
          <cell r="I335">
            <v>266314860.37297881</v>
          </cell>
          <cell r="J335">
            <v>1497833.8603654599</v>
          </cell>
          <cell r="K335">
            <v>2002239.633333334</v>
          </cell>
          <cell r="L335">
            <v>119.69641807506187</v>
          </cell>
          <cell r="M335">
            <v>9294.0091665637046</v>
          </cell>
          <cell r="N335">
            <v>266314860.37297881</v>
          </cell>
          <cell r="O335">
            <v>1497833.8603654599</v>
          </cell>
          <cell r="P335">
            <v>2002239.633333334</v>
          </cell>
          <cell r="Q335">
            <v>119.69641807506187</v>
          </cell>
          <cell r="T335">
            <v>3142304.4992151889</v>
          </cell>
          <cell r="W335">
            <v>1</v>
          </cell>
          <cell r="X335">
            <v>1</v>
          </cell>
          <cell r="Y335">
            <v>1</v>
          </cell>
          <cell r="Z335">
            <v>1</v>
          </cell>
          <cell r="AA335">
            <v>1</v>
          </cell>
          <cell r="AB335">
            <v>1</v>
          </cell>
        </row>
        <row r="336">
          <cell r="A336" t="str">
            <v>BUIS355,6x20,0</v>
          </cell>
          <cell r="B336" t="str">
            <v>355,6x20,0</v>
          </cell>
          <cell r="C336">
            <v>165.52800364352331</v>
          </cell>
          <cell r="D336">
            <v>355.6</v>
          </cell>
          <cell r="E336">
            <v>355.6</v>
          </cell>
          <cell r="F336">
            <v>20</v>
          </cell>
          <cell r="G336">
            <v>20</v>
          </cell>
          <cell r="H336">
            <v>21086.36989089469</v>
          </cell>
          <cell r="I336">
            <v>297917090.09391445</v>
          </cell>
          <cell r="J336">
            <v>1675574.1850051431</v>
          </cell>
          <cell r="K336">
            <v>2255213.8666666672</v>
          </cell>
          <cell r="L336">
            <v>118.86303041736738</v>
          </cell>
          <cell r="M336">
            <v>10543.184945447345</v>
          </cell>
          <cell r="N336">
            <v>297917090.09391445</v>
          </cell>
          <cell r="O336">
            <v>1675574.1850051431</v>
          </cell>
          <cell r="P336">
            <v>2255213.8666666672</v>
          </cell>
          <cell r="Q336">
            <v>118.86303041736738</v>
          </cell>
          <cell r="T336">
            <v>3538292.8676921297</v>
          </cell>
          <cell r="W336">
            <v>1</v>
          </cell>
          <cell r="X336">
            <v>1</v>
          </cell>
          <cell r="Y336">
            <v>1</v>
          </cell>
          <cell r="Z336">
            <v>1</v>
          </cell>
          <cell r="AA336">
            <v>1</v>
          </cell>
          <cell r="AB336">
            <v>1</v>
          </cell>
        </row>
        <row r="337">
          <cell r="A337" t="str">
            <v>BUIS355,6x22,2</v>
          </cell>
          <cell r="B337" t="str">
            <v>355,6x22,2</v>
          </cell>
          <cell r="C337">
            <v>182.53161627048038</v>
          </cell>
          <cell r="D337">
            <v>355.6</v>
          </cell>
          <cell r="E337">
            <v>355.6</v>
          </cell>
          <cell r="F337">
            <v>22.2</v>
          </cell>
          <cell r="G337">
            <v>22.2</v>
          </cell>
          <cell r="H337">
            <v>23252.43519369177</v>
          </cell>
          <cell r="I337">
            <v>324512148.1849221</v>
          </cell>
          <cell r="J337">
            <v>1825152.6894540049</v>
          </cell>
          <cell r="K337">
            <v>2471300.4479999994</v>
          </cell>
          <cell r="L337">
            <v>118.1357270261626</v>
          </cell>
          <cell r="M337">
            <v>11626.217596845885</v>
          </cell>
          <cell r="N337">
            <v>324512148.1849221</v>
          </cell>
          <cell r="O337">
            <v>1825152.6894540049</v>
          </cell>
          <cell r="P337">
            <v>2471300.4479999994</v>
          </cell>
          <cell r="Q337">
            <v>118.1357270261626</v>
          </cell>
          <cell r="T337">
            <v>3876180.9467884204</v>
          </cell>
          <cell r="W337">
            <v>1</v>
          </cell>
          <cell r="X337">
            <v>1</v>
          </cell>
          <cell r="Y337">
            <v>1</v>
          </cell>
          <cell r="Z337">
            <v>1</v>
          </cell>
          <cell r="AA337">
            <v>1</v>
          </cell>
          <cell r="AB337">
            <v>1</v>
          </cell>
        </row>
        <row r="338">
          <cell r="A338" t="str">
            <v>BUIS355,6x25,0</v>
          </cell>
          <cell r="B338" t="str">
            <v>355,6x25,0</v>
          </cell>
          <cell r="C338">
            <v>203.82731676306918</v>
          </cell>
          <cell r="D338">
            <v>355.6</v>
          </cell>
          <cell r="E338">
            <v>355.6</v>
          </cell>
          <cell r="F338">
            <v>25</v>
          </cell>
          <cell r="G338">
            <v>25</v>
          </cell>
          <cell r="H338">
            <v>25965.263281919641</v>
          </cell>
          <cell r="I338">
            <v>356767131.58833385</v>
          </cell>
          <cell r="J338">
            <v>2006564.2946475467</v>
          </cell>
          <cell r="K338">
            <v>2737617.333333334</v>
          </cell>
          <cell r="L338">
            <v>117.21847124067095</v>
          </cell>
          <cell r="M338">
            <v>12982.63164095982</v>
          </cell>
          <cell r="N338">
            <v>356767131.58833385</v>
          </cell>
          <cell r="O338">
            <v>2006564.2946475467</v>
          </cell>
          <cell r="P338">
            <v>2737617.333333334</v>
          </cell>
          <cell r="Q338">
            <v>117.21847124067095</v>
          </cell>
          <cell r="T338">
            <v>4292058.0205013165</v>
          </cell>
          <cell r="W338">
            <v>1</v>
          </cell>
          <cell r="X338">
            <v>1</v>
          </cell>
          <cell r="Y338">
            <v>1</v>
          </cell>
          <cell r="Z338">
            <v>1</v>
          </cell>
          <cell r="AA338">
            <v>1</v>
          </cell>
          <cell r="AB338">
            <v>1</v>
          </cell>
        </row>
        <row r="339">
          <cell r="A339" t="str">
            <v>BUIS355,6x30,0</v>
          </cell>
          <cell r="B339" t="str">
            <v>355,6x30,0</v>
          </cell>
          <cell r="C339">
            <v>240.89355476608102</v>
          </cell>
          <cell r="D339">
            <v>355.6</v>
          </cell>
          <cell r="E339">
            <v>355.6</v>
          </cell>
          <cell r="F339">
            <v>30</v>
          </cell>
          <cell r="G339">
            <v>30</v>
          </cell>
          <cell r="H339">
            <v>30687.0770402651</v>
          </cell>
          <cell r="I339">
            <v>410114986.13845974</v>
          </cell>
          <cell r="J339">
            <v>2306608.4709699648</v>
          </cell>
          <cell r="K339">
            <v>3189460.8000000007</v>
          </cell>
          <cell r="L339">
            <v>115.60458468417247</v>
          </cell>
          <cell r="M339">
            <v>15343.53852013255</v>
          </cell>
          <cell r="N339">
            <v>410114986.13845974</v>
          </cell>
          <cell r="O339">
            <v>2306608.4709699648</v>
          </cell>
          <cell r="P339">
            <v>3189460.8000000007</v>
          </cell>
          <cell r="Q339">
            <v>115.60458468417247</v>
          </cell>
          <cell r="T339">
            <v>4995856.1421551583</v>
          </cell>
          <cell r="W339">
            <v>1</v>
          </cell>
          <cell r="X339">
            <v>1</v>
          </cell>
          <cell r="Y339">
            <v>1</v>
          </cell>
          <cell r="Z339">
            <v>1</v>
          </cell>
          <cell r="AA339">
            <v>1</v>
          </cell>
          <cell r="AB339">
            <v>1</v>
          </cell>
        </row>
        <row r="340">
          <cell r="A340" t="str">
            <v>BUIS355,6x36,0</v>
          </cell>
          <cell r="B340" t="str">
            <v>355,6x36,0</v>
          </cell>
          <cell r="C340">
            <v>283.74538121587045</v>
          </cell>
          <cell r="D340">
            <v>355.6</v>
          </cell>
          <cell r="E340">
            <v>355.6</v>
          </cell>
          <cell r="F340">
            <v>36</v>
          </cell>
          <cell r="G340">
            <v>36</v>
          </cell>
          <cell r="H340">
            <v>36145.90843514273</v>
          </cell>
          <cell r="I340">
            <v>467367318.98456424</v>
          </cell>
          <cell r="J340">
            <v>2628612.5927140843</v>
          </cell>
          <cell r="K340">
            <v>3692741.7600000012</v>
          </cell>
          <cell r="L340">
            <v>113.71024580045547</v>
          </cell>
          <cell r="M340">
            <v>18072.954217571365</v>
          </cell>
          <cell r="N340">
            <v>467367318.98456424</v>
          </cell>
          <cell r="O340">
            <v>2628612.5927140843</v>
          </cell>
          <cell r="P340">
            <v>3692741.7600000012</v>
          </cell>
          <cell r="Q340">
            <v>113.71024580045547</v>
          </cell>
          <cell r="T340">
            <v>5776116.1679358082</v>
          </cell>
          <cell r="W340">
            <v>1</v>
          </cell>
          <cell r="X340">
            <v>1</v>
          </cell>
          <cell r="Y340">
            <v>1</v>
          </cell>
          <cell r="Z340">
            <v>1</v>
          </cell>
          <cell r="AA340">
            <v>1</v>
          </cell>
          <cell r="AB340">
            <v>1</v>
          </cell>
        </row>
        <row r="341">
          <cell r="A341" t="str">
            <v>BUIS355,6x40,0</v>
          </cell>
          <cell r="B341" t="str">
            <v>355,6x40,0</v>
          </cell>
          <cell r="C341">
            <v>311.32680542250279</v>
          </cell>
          <cell r="D341">
            <v>355.6</v>
          </cell>
          <cell r="E341">
            <v>355.6</v>
          </cell>
          <cell r="F341">
            <v>40</v>
          </cell>
          <cell r="G341">
            <v>40</v>
          </cell>
          <cell r="H341">
            <v>39659.46565891755</v>
          </cell>
          <cell r="I341">
            <v>501708897.56088388</v>
          </cell>
          <cell r="J341">
            <v>2821759.8288013716</v>
          </cell>
          <cell r="K341">
            <v>4005467.7333333343</v>
          </cell>
          <cell r="L341">
            <v>112.4740859042651</v>
          </cell>
          <cell r="M341">
            <v>19829.732829458775</v>
          </cell>
          <cell r="N341">
            <v>501708897.56088388</v>
          </cell>
          <cell r="O341">
            <v>2821759.8288013716</v>
          </cell>
          <cell r="P341">
            <v>4005467.7333333343</v>
          </cell>
          <cell r="Q341">
            <v>112.4740859042651</v>
          </cell>
          <cell r="T341">
            <v>6258263.6809771899</v>
          </cell>
          <cell r="W341">
            <v>1</v>
          </cell>
          <cell r="X341">
            <v>1</v>
          </cell>
          <cell r="Y341">
            <v>1</v>
          </cell>
          <cell r="Z341">
            <v>1</v>
          </cell>
          <cell r="AA341">
            <v>1</v>
          </cell>
          <cell r="AB341">
            <v>1</v>
          </cell>
        </row>
        <row r="342">
          <cell r="A342" t="str">
            <v>BUIS355,6x45,0</v>
          </cell>
          <cell r="B342" t="str">
            <v>355,6x45,0</v>
          </cell>
          <cell r="C342">
            <v>344.69381807591259</v>
          </cell>
          <cell r="D342">
            <v>355.6</v>
          </cell>
          <cell r="E342">
            <v>355.6</v>
          </cell>
          <cell r="F342">
            <v>45</v>
          </cell>
          <cell r="G342">
            <v>45</v>
          </cell>
          <cell r="H342">
            <v>43910.040519224538</v>
          </cell>
          <cell r="I342">
            <v>540627883.5795809</v>
          </cell>
          <cell r="J342">
            <v>3040651.7636646843</v>
          </cell>
          <cell r="K342">
            <v>4371631.2000000011</v>
          </cell>
          <cell r="L342">
            <v>110.96021809639706</v>
          </cell>
          <cell r="M342">
            <v>21955.020259612269</v>
          </cell>
          <cell r="N342">
            <v>540627883.5795809</v>
          </cell>
          <cell r="O342">
            <v>3040651.7636646843</v>
          </cell>
          <cell r="P342">
            <v>4371631.2000000011</v>
          </cell>
          <cell r="Q342">
            <v>110.96021809639706</v>
          </cell>
          <cell r="T342">
            <v>6819229.2926355721</v>
          </cell>
          <cell r="W342">
            <v>1</v>
          </cell>
          <cell r="X342">
            <v>1</v>
          </cell>
          <cell r="Y342">
            <v>1</v>
          </cell>
          <cell r="Z342">
            <v>1</v>
          </cell>
          <cell r="AA342">
            <v>1</v>
          </cell>
          <cell r="AB342">
            <v>1</v>
          </cell>
        </row>
        <row r="343">
          <cell r="A343" t="str">
            <v>BUIS406,4x7,9</v>
          </cell>
          <cell r="B343" t="str">
            <v>406,4x7,9</v>
          </cell>
          <cell r="C343">
            <v>77.63810856232989</v>
          </cell>
          <cell r="D343">
            <v>406.4</v>
          </cell>
          <cell r="E343">
            <v>406.4</v>
          </cell>
          <cell r="F343">
            <v>7.9</v>
          </cell>
          <cell r="G343">
            <v>7.9</v>
          </cell>
          <cell r="H343">
            <v>9890.2049123987126</v>
          </cell>
          <cell r="I343">
            <v>196400505.09231886</v>
          </cell>
          <cell r="J343">
            <v>966537.9187614118</v>
          </cell>
          <cell r="K343">
            <v>1254702.1213333346</v>
          </cell>
          <cell r="L343">
            <v>140.91870883598102</v>
          </cell>
          <cell r="M343">
            <v>4945.1024561993563</v>
          </cell>
          <cell r="N343">
            <v>196400505.09231886</v>
          </cell>
          <cell r="O343">
            <v>966537.9187614118</v>
          </cell>
          <cell r="P343">
            <v>1254702.1213333346</v>
          </cell>
          <cell r="Q343">
            <v>140.91870883598102</v>
          </cell>
          <cell r="T343">
            <v>1970623.3287954426</v>
          </cell>
          <cell r="W343">
            <v>2</v>
          </cell>
          <cell r="X343">
            <v>3</v>
          </cell>
          <cell r="Y343">
            <v>3</v>
          </cell>
          <cell r="Z343">
            <v>2</v>
          </cell>
          <cell r="AA343">
            <v>3</v>
          </cell>
          <cell r="AB343">
            <v>3</v>
          </cell>
        </row>
        <row r="344">
          <cell r="A344" t="str">
            <v>BUIS406,4x8,8</v>
          </cell>
          <cell r="B344" t="str">
            <v>406,4x8,8</v>
          </cell>
          <cell r="C344">
            <v>86.287637274769324</v>
          </cell>
          <cell r="D344">
            <v>406.4</v>
          </cell>
          <cell r="E344">
            <v>406.4</v>
          </cell>
          <cell r="F344">
            <v>8.8000000000000007</v>
          </cell>
          <cell r="G344">
            <v>8.8000000000000007</v>
          </cell>
          <cell r="H344">
            <v>10992.05570379227</v>
          </cell>
          <cell r="I344">
            <v>217317338.08625463</v>
          </cell>
          <cell r="J344">
            <v>1069475.0890071588</v>
          </cell>
          <cell r="K344">
            <v>1391381.8453333352</v>
          </cell>
          <cell r="L344">
            <v>140.60725443589314</v>
          </cell>
          <cell r="M344">
            <v>5496.027851896135</v>
          </cell>
          <cell r="N344">
            <v>217317338.08625463</v>
          </cell>
          <cell r="O344">
            <v>1069475.0890071588</v>
          </cell>
          <cell r="P344">
            <v>1391381.8453333352</v>
          </cell>
          <cell r="Q344">
            <v>140.60725443589314</v>
          </cell>
          <cell r="T344">
            <v>2185220.6739139003</v>
          </cell>
          <cell r="W344">
            <v>1</v>
          </cell>
          <cell r="X344">
            <v>2</v>
          </cell>
          <cell r="Y344">
            <v>3</v>
          </cell>
          <cell r="Z344">
            <v>1</v>
          </cell>
          <cell r="AA344">
            <v>2</v>
          </cell>
          <cell r="AB344">
            <v>3</v>
          </cell>
        </row>
        <row r="345">
          <cell r="A345" t="str">
            <v>BUIS406,4x10,0</v>
          </cell>
          <cell r="B345" t="str">
            <v>406,4x10,0</v>
          </cell>
          <cell r="C345">
            <v>97.75819523881502</v>
          </cell>
          <cell r="D345">
            <v>406.4</v>
          </cell>
          <cell r="E345">
            <v>406.4</v>
          </cell>
          <cell r="F345">
            <v>10</v>
          </cell>
          <cell r="G345">
            <v>10</v>
          </cell>
          <cell r="H345">
            <v>12453.27327882994</v>
          </cell>
          <cell r="I345">
            <v>244758127.41491711</v>
          </cell>
          <cell r="J345">
            <v>1204518.3435773482</v>
          </cell>
          <cell r="K345">
            <v>1571662.9333333336</v>
          </cell>
          <cell r="L345">
            <v>140.19315247186648</v>
          </cell>
          <cell r="M345">
            <v>6226.63663941497</v>
          </cell>
          <cell r="N345">
            <v>244758127.41491711</v>
          </cell>
          <cell r="O345">
            <v>1204518.3435773482</v>
          </cell>
          <cell r="P345">
            <v>1571662.9333333336</v>
          </cell>
          <cell r="Q345">
            <v>140.19315247186648</v>
          </cell>
          <cell r="T345">
            <v>2468238.7638640939</v>
          </cell>
          <cell r="W345">
            <v>1</v>
          </cell>
          <cell r="X345">
            <v>2</v>
          </cell>
          <cell r="Y345">
            <v>3</v>
          </cell>
          <cell r="Z345">
            <v>1</v>
          </cell>
          <cell r="AA345">
            <v>2</v>
          </cell>
          <cell r="AB345">
            <v>3</v>
          </cell>
        </row>
        <row r="346">
          <cell r="A346" t="str">
            <v>BUIS406,4x12,5</v>
          </cell>
          <cell r="B346" t="str">
            <v>406,4x12,5</v>
          </cell>
          <cell r="C346">
            <v>121.42707210068504</v>
          </cell>
          <cell r="D346">
            <v>406.4</v>
          </cell>
          <cell r="E346">
            <v>406.4</v>
          </cell>
          <cell r="F346">
            <v>12.5</v>
          </cell>
          <cell r="G346">
            <v>12.5</v>
          </cell>
          <cell r="H346">
            <v>15468.416828112744</v>
          </cell>
          <cell r="I346">
            <v>300306667.28705204</v>
          </cell>
          <cell r="J346">
            <v>1477887.1421606892</v>
          </cell>
          <cell r="K346">
            <v>1940116.1666666667</v>
          </cell>
          <cell r="L346">
            <v>139.33478567823616</v>
          </cell>
          <cell r="M346">
            <v>7734.208414056372</v>
          </cell>
          <cell r="N346">
            <v>300306667.28705204</v>
          </cell>
          <cell r="O346">
            <v>1477887.1421606892</v>
          </cell>
          <cell r="P346">
            <v>1940116.1666666667</v>
          </cell>
          <cell r="Q346">
            <v>139.33478567823616</v>
          </cell>
          <cell r="T346">
            <v>3046504.6942968047</v>
          </cell>
          <cell r="W346">
            <v>1</v>
          </cell>
          <cell r="X346">
            <v>1</v>
          </cell>
          <cell r="Y346">
            <v>2</v>
          </cell>
          <cell r="Z346">
            <v>1</v>
          </cell>
          <cell r="AA346">
            <v>1</v>
          </cell>
          <cell r="AB346">
            <v>2</v>
          </cell>
        </row>
        <row r="347">
          <cell r="A347" t="str">
            <v>BUIS406,4x14,2</v>
          </cell>
          <cell r="B347" t="str">
            <v>406,4x14,2</v>
          </cell>
          <cell r="C347">
            <v>137.34582524011554</v>
          </cell>
          <cell r="D347">
            <v>406.4</v>
          </cell>
          <cell r="E347">
            <v>406.4</v>
          </cell>
          <cell r="F347">
            <v>14.2</v>
          </cell>
          <cell r="G347">
            <v>14.2</v>
          </cell>
          <cell r="H347">
            <v>17496.283470078411</v>
          </cell>
          <cell r="I347">
            <v>336852621.35556036</v>
          </cell>
          <cell r="J347">
            <v>1657739.2783246082</v>
          </cell>
          <cell r="K347">
            <v>2185210.3573333323</v>
          </cell>
          <cell r="L347">
            <v>138.75449542267091</v>
          </cell>
          <cell r="M347">
            <v>8748.1417350392057</v>
          </cell>
          <cell r="N347">
            <v>336852621.35556036</v>
          </cell>
          <cell r="O347">
            <v>1657739.2783246082</v>
          </cell>
          <cell r="P347">
            <v>2185210.3573333323</v>
          </cell>
          <cell r="Q347">
            <v>138.75449542267091</v>
          </cell>
          <cell r="T347">
            <v>3431021.1884823781</v>
          </cell>
          <cell r="W347">
            <v>1</v>
          </cell>
          <cell r="X347">
            <v>1</v>
          </cell>
          <cell r="Y347">
            <v>2</v>
          </cell>
          <cell r="Z347">
            <v>1</v>
          </cell>
          <cell r="AA347">
            <v>1</v>
          </cell>
          <cell r="AB347">
            <v>2</v>
          </cell>
        </row>
        <row r="348">
          <cell r="A348" t="str">
            <v>BUIS406,4x16,0</v>
          </cell>
          <cell r="B348" t="str">
            <v>406,4x16,0</v>
          </cell>
          <cell r="C348">
            <v>154.04560815835882</v>
          </cell>
          <cell r="D348">
            <v>406.4</v>
          </cell>
          <cell r="E348">
            <v>406.4</v>
          </cell>
          <cell r="F348">
            <v>16</v>
          </cell>
          <cell r="G348">
            <v>16</v>
          </cell>
          <cell r="H348">
            <v>19623.644351383289</v>
          </cell>
          <cell r="I348">
            <v>374488209.45250994</v>
          </cell>
          <cell r="J348">
            <v>1842953.7866757379</v>
          </cell>
          <cell r="K348">
            <v>2439959.8933333331</v>
          </cell>
          <cell r="L348">
            <v>138.14311419683574</v>
          </cell>
          <cell r="M348">
            <v>9811.8221756916446</v>
          </cell>
          <cell r="N348">
            <v>374488209.45250994</v>
          </cell>
          <cell r="O348">
            <v>1842953.7866757379</v>
          </cell>
          <cell r="P348">
            <v>2439959.8933333331</v>
          </cell>
          <cell r="Q348">
            <v>138.14311419683574</v>
          </cell>
          <cell r="T348">
            <v>3830535.3773900163</v>
          </cell>
          <cell r="W348">
            <v>1</v>
          </cell>
          <cell r="X348">
            <v>1</v>
          </cell>
          <cell r="Y348">
            <v>1</v>
          </cell>
          <cell r="Z348">
            <v>1</v>
          </cell>
          <cell r="AA348">
            <v>1</v>
          </cell>
          <cell r="AB348">
            <v>1</v>
          </cell>
        </row>
        <row r="349">
          <cell r="A349" t="str">
            <v>BUIS406,4x17,5</v>
          </cell>
          <cell r="B349" t="str">
            <v>406,4x17,5</v>
          </cell>
          <cell r="C349">
            <v>167.84001948702459</v>
          </cell>
          <cell r="D349">
            <v>406.4</v>
          </cell>
          <cell r="E349">
            <v>406.4</v>
          </cell>
          <cell r="F349">
            <v>17.5</v>
          </cell>
          <cell r="G349">
            <v>17.5</v>
          </cell>
          <cell r="H349">
            <v>21380.894202168736</v>
          </cell>
          <cell r="I349">
            <v>405032871.33197528</v>
          </cell>
          <cell r="J349">
            <v>1993272.0045864927</v>
          </cell>
          <cell r="K349">
            <v>2648542.6333333328</v>
          </cell>
          <cell r="L349">
            <v>137.63605087330862</v>
          </cell>
          <cell r="M349">
            <v>10690.447101084368</v>
          </cell>
          <cell r="N349">
            <v>405032871.33197528</v>
          </cell>
          <cell r="O349">
            <v>1993272.0045864927</v>
          </cell>
          <cell r="P349">
            <v>2648542.6333333328</v>
          </cell>
          <cell r="Q349">
            <v>137.63605087330862</v>
          </cell>
          <cell r="T349">
            <v>4157514.8776117102</v>
          </cell>
          <cell r="W349">
            <v>1</v>
          </cell>
          <cell r="X349">
            <v>1</v>
          </cell>
          <cell r="Y349">
            <v>1</v>
          </cell>
          <cell r="Z349">
            <v>1</v>
          </cell>
          <cell r="AA349">
            <v>1</v>
          </cell>
          <cell r="AB349">
            <v>1</v>
          </cell>
        </row>
        <row r="350">
          <cell r="A350" t="str">
            <v>BUIS406,4x20,0</v>
          </cell>
          <cell r="B350" t="str">
            <v>406,4x20,0</v>
          </cell>
          <cell r="C350">
            <v>190.58409001149408</v>
          </cell>
          <cell r="D350">
            <v>406.4</v>
          </cell>
          <cell r="E350">
            <v>406.4</v>
          </cell>
          <cell r="F350">
            <v>20</v>
          </cell>
          <cell r="G350">
            <v>20</v>
          </cell>
          <cell r="H350">
            <v>24278.228026941921</v>
          </cell>
          <cell r="I350">
            <v>454321394.45552742</v>
          </cell>
          <cell r="J350">
            <v>2235833.6341315326</v>
          </cell>
          <cell r="K350">
            <v>2988765.8666666672</v>
          </cell>
          <cell r="L350">
            <v>136.79590637149931</v>
          </cell>
          <cell r="M350">
            <v>12139.11401347096</v>
          </cell>
          <cell r="N350">
            <v>454321394.45552742</v>
          </cell>
          <cell r="O350">
            <v>2235833.6341315326</v>
          </cell>
          <cell r="P350">
            <v>2988765.8666666672</v>
          </cell>
          <cell r="Q350">
            <v>136.79590637149931</v>
          </cell>
          <cell r="T350">
            <v>4690553.6548051788</v>
          </cell>
          <cell r="W350">
            <v>1</v>
          </cell>
          <cell r="X350">
            <v>1</v>
          </cell>
          <cell r="Y350">
            <v>1</v>
          </cell>
          <cell r="Z350">
            <v>1</v>
          </cell>
          <cell r="AA350">
            <v>1</v>
          </cell>
          <cell r="AB350">
            <v>1</v>
          </cell>
        </row>
        <row r="351">
          <cell r="A351" t="str">
            <v>BUIS406,4x22,2</v>
          </cell>
          <cell r="B351" t="str">
            <v>406,4x22,2</v>
          </cell>
          <cell r="C351">
            <v>210.34387213892799</v>
          </cell>
          <cell r="D351">
            <v>406.4</v>
          </cell>
          <cell r="E351">
            <v>406.4</v>
          </cell>
          <cell r="F351">
            <v>22.2</v>
          </cell>
          <cell r="G351">
            <v>22.2</v>
          </cell>
          <cell r="H351">
            <v>26795.397724704202</v>
          </cell>
          <cell r="I351">
            <v>496058106.95188117</v>
          </cell>
          <cell r="J351">
            <v>2441230.8412986281</v>
          </cell>
          <cell r="K351">
            <v>3280581.0239999988</v>
          </cell>
          <cell r="L351">
            <v>136.06178743497381</v>
          </cell>
          <cell r="M351">
            <v>13397.698862352101</v>
          </cell>
          <cell r="N351">
            <v>496058106.95188117</v>
          </cell>
          <cell r="O351">
            <v>2441230.8412986281</v>
          </cell>
          <cell r="P351">
            <v>3280581.0239999988</v>
          </cell>
          <cell r="Q351">
            <v>136.06178743497381</v>
          </cell>
          <cell r="T351">
            <v>5147395.9029156771</v>
          </cell>
          <cell r="W351">
            <v>1</v>
          </cell>
          <cell r="X351">
            <v>1</v>
          </cell>
          <cell r="Y351">
            <v>1</v>
          </cell>
          <cell r="Z351">
            <v>1</v>
          </cell>
          <cell r="AA351">
            <v>1</v>
          </cell>
          <cell r="AB351">
            <v>1</v>
          </cell>
        </row>
        <row r="352">
          <cell r="A352" t="str">
            <v>BUIS406,4x25,0</v>
          </cell>
          <cell r="B352" t="str">
            <v>406,4x25,0</v>
          </cell>
          <cell r="C352">
            <v>235.14742472303271</v>
          </cell>
          <cell r="D352">
            <v>406.4</v>
          </cell>
          <cell r="E352">
            <v>406.4</v>
          </cell>
          <cell r="F352">
            <v>25</v>
          </cell>
          <cell r="G352">
            <v>25</v>
          </cell>
          <cell r="H352">
            <v>29955.08595197869</v>
          </cell>
          <cell r="I352">
            <v>547020907.95088506</v>
          </cell>
          <cell r="J352">
            <v>2692032.0273173479</v>
          </cell>
          <cell r="K352">
            <v>3641857.3333333344</v>
          </cell>
          <cell r="L352">
            <v>135.13463656664786</v>
          </cell>
          <cell r="M352">
            <v>14977.542975989345</v>
          </cell>
          <cell r="N352">
            <v>547020907.95088506</v>
          </cell>
          <cell r="O352">
            <v>2692032.0273173479</v>
          </cell>
          <cell r="P352">
            <v>3641857.3333333344</v>
          </cell>
          <cell r="Q352">
            <v>135.13463656664786</v>
          </cell>
          <cell r="T352">
            <v>5712434.891042334</v>
          </cell>
          <cell r="W352">
            <v>1</v>
          </cell>
          <cell r="X352">
            <v>1</v>
          </cell>
          <cell r="Y352">
            <v>1</v>
          </cell>
          <cell r="Z352">
            <v>1</v>
          </cell>
          <cell r="AA352">
            <v>1</v>
          </cell>
          <cell r="AB352">
            <v>1</v>
          </cell>
        </row>
        <row r="353">
          <cell r="A353" t="str">
            <v>BUIS406,4x30,0</v>
          </cell>
          <cell r="B353" t="str">
            <v>406,4x30,0</v>
          </cell>
          <cell r="C353">
            <v>278.47768431803723</v>
          </cell>
          <cell r="D353">
            <v>406.4</v>
          </cell>
          <cell r="E353">
            <v>406.4</v>
          </cell>
          <cell r="F353">
            <v>30</v>
          </cell>
          <cell r="G353">
            <v>30</v>
          </cell>
          <cell r="H353">
            <v>35474.864244335957</v>
          </cell>
          <cell r="I353">
            <v>632237287.54626465</v>
          </cell>
          <cell r="J353">
            <v>3111403.9741450036</v>
          </cell>
          <cell r="K353">
            <v>4259308.8000000007</v>
          </cell>
          <cell r="L353">
            <v>133.49951310772636</v>
          </cell>
          <cell r="M353">
            <v>17737.432122167978</v>
          </cell>
          <cell r="N353">
            <v>632237287.54626465</v>
          </cell>
          <cell r="O353">
            <v>3111403.9741450036</v>
          </cell>
          <cell r="P353">
            <v>4259308.8000000007</v>
          </cell>
          <cell r="Q353">
            <v>133.49951310772636</v>
          </cell>
          <cell r="T353">
            <v>6676369.4507840248</v>
          </cell>
          <cell r="W353">
            <v>1</v>
          </cell>
          <cell r="X353">
            <v>1</v>
          </cell>
          <cell r="Y353">
            <v>1</v>
          </cell>
          <cell r="Z353">
            <v>1</v>
          </cell>
          <cell r="AA353">
            <v>1</v>
          </cell>
          <cell r="AB353">
            <v>1</v>
          </cell>
        </row>
        <row r="354">
          <cell r="A354" t="str">
            <v>BUIS406,4x36,0</v>
          </cell>
          <cell r="B354" t="str">
            <v>406,4x36,0</v>
          </cell>
          <cell r="C354">
            <v>328.84633667821777</v>
          </cell>
          <cell r="D354">
            <v>406.4</v>
          </cell>
          <cell r="E354">
            <v>406.4</v>
          </cell>
          <cell r="F354">
            <v>36</v>
          </cell>
          <cell r="G354">
            <v>36</v>
          </cell>
          <cell r="H354">
            <v>41891.253080027745</v>
          </cell>
          <cell r="I354">
            <v>725201265.51996183</v>
          </cell>
          <cell r="J354">
            <v>3568903.8657478439</v>
          </cell>
          <cell r="K354">
            <v>4954613.7600000007</v>
          </cell>
          <cell r="L354">
            <v>131.57324956084346</v>
          </cell>
          <cell r="M354">
            <v>20945.626540013873</v>
          </cell>
          <cell r="N354">
            <v>725201265.51996183</v>
          </cell>
          <cell r="O354">
            <v>3568903.8657478439</v>
          </cell>
          <cell r="P354">
            <v>4954613.7600000007</v>
          </cell>
          <cell r="Q354">
            <v>131.57324956084346</v>
          </cell>
          <cell r="T354">
            <v>7758260.070421136</v>
          </cell>
          <cell r="W354">
            <v>1</v>
          </cell>
          <cell r="X354">
            <v>1</v>
          </cell>
          <cell r="Y354">
            <v>1</v>
          </cell>
          <cell r="Z354">
            <v>1</v>
          </cell>
          <cell r="AA354">
            <v>1</v>
          </cell>
          <cell r="AB354">
            <v>1</v>
          </cell>
        </row>
        <row r="355">
          <cell r="A355" t="str">
            <v>BUIS406,4x40,0</v>
          </cell>
          <cell r="B355" t="str">
            <v>406,4x40,0</v>
          </cell>
          <cell r="C355">
            <v>361.43897815844423</v>
          </cell>
          <cell r="D355">
            <v>406.4</v>
          </cell>
          <cell r="E355">
            <v>406.4</v>
          </cell>
          <cell r="F355">
            <v>40</v>
          </cell>
          <cell r="G355">
            <v>40</v>
          </cell>
          <cell r="H355">
            <v>46043.181931012004</v>
          </cell>
          <cell r="I355">
            <v>781864797.55234659</v>
          </cell>
          <cell r="J355">
            <v>3847759.8304741466</v>
          </cell>
          <cell r="K355">
            <v>5391291.7333333334</v>
          </cell>
          <cell r="L355">
            <v>130.31162649587336</v>
          </cell>
          <cell r="M355">
            <v>23021.590965506002</v>
          </cell>
          <cell r="N355">
            <v>781864797.55234659</v>
          </cell>
          <cell r="O355">
            <v>3847759.8304741466</v>
          </cell>
          <cell r="P355">
            <v>5391291.7333333334</v>
          </cell>
          <cell r="Q355">
            <v>130.31162649587336</v>
          </cell>
          <cell r="T355">
            <v>8435110.9297614004</v>
          </cell>
          <cell r="W355">
            <v>1</v>
          </cell>
          <cell r="X355">
            <v>1</v>
          </cell>
          <cell r="Y355">
            <v>1</v>
          </cell>
          <cell r="Z355">
            <v>1</v>
          </cell>
          <cell r="AA355">
            <v>1</v>
          </cell>
          <cell r="AB355">
            <v>1</v>
          </cell>
        </row>
        <row r="356">
          <cell r="A356" t="str">
            <v>BUIS406,4x45,0</v>
          </cell>
          <cell r="B356" t="str">
            <v>406,4x45,0</v>
          </cell>
          <cell r="C356">
            <v>401.07001240384687</v>
          </cell>
          <cell r="D356">
            <v>406.4</v>
          </cell>
          <cell r="E356">
            <v>406.4</v>
          </cell>
          <cell r="F356">
            <v>45</v>
          </cell>
          <cell r="G356">
            <v>45</v>
          </cell>
          <cell r="H356">
            <v>51091.721325330807</v>
          </cell>
          <cell r="I356">
            <v>847068551.78954959</v>
          </cell>
          <cell r="J356">
            <v>4168644.4477832168</v>
          </cell>
          <cell r="K356">
            <v>5907823.2000000002</v>
          </cell>
          <cell r="L356">
            <v>128.76090245101577</v>
          </cell>
          <cell r="M356">
            <v>25545.860662665404</v>
          </cell>
          <cell r="N356">
            <v>847068551.78954959</v>
          </cell>
          <cell r="O356">
            <v>4168644.4477832168</v>
          </cell>
          <cell r="P356">
            <v>5907823.2000000002</v>
          </cell>
          <cell r="Q356">
            <v>128.76090245101577</v>
          </cell>
          <cell r="T356">
            <v>9232274.043487275</v>
          </cell>
          <cell r="W356">
            <v>1</v>
          </cell>
          <cell r="X356">
            <v>1</v>
          </cell>
          <cell r="Y356">
            <v>1</v>
          </cell>
          <cell r="Z356">
            <v>1</v>
          </cell>
          <cell r="AA356">
            <v>1</v>
          </cell>
          <cell r="AB356">
            <v>1</v>
          </cell>
        </row>
        <row r="357">
          <cell r="A357" t="str">
            <v>BUIS508x10,0</v>
          </cell>
          <cell r="B357" t="str">
            <v>508x10,0</v>
          </cell>
          <cell r="C357">
            <v>122.81428160678578</v>
          </cell>
          <cell r="D357">
            <v>508</v>
          </cell>
          <cell r="E357">
            <v>508</v>
          </cell>
          <cell r="F357">
            <v>10</v>
          </cell>
          <cell r="G357">
            <v>10</v>
          </cell>
          <cell r="H357">
            <v>15645.131414877169</v>
          </cell>
          <cell r="I357">
            <v>485202460.56958568</v>
          </cell>
          <cell r="J357">
            <v>1910245.9077542743</v>
          </cell>
          <cell r="K357">
            <v>2480373.3333333335</v>
          </cell>
          <cell r="L357">
            <v>176.10508226624239</v>
          </cell>
          <cell r="M357">
            <v>7822.5657074385845</v>
          </cell>
          <cell r="N357">
            <v>485202460.56958568</v>
          </cell>
          <cell r="O357">
            <v>1910245.9077542743</v>
          </cell>
          <cell r="P357">
            <v>2480373.3333333335</v>
          </cell>
          <cell r="Q357">
            <v>176.10508226624239</v>
          </cell>
          <cell r="T357">
            <v>3895637.722304415</v>
          </cell>
          <cell r="W357">
            <v>2</v>
          </cell>
          <cell r="X357">
            <v>3</v>
          </cell>
          <cell r="Y357">
            <v>3</v>
          </cell>
          <cell r="Z357">
            <v>2</v>
          </cell>
          <cell r="AA357">
            <v>3</v>
          </cell>
          <cell r="AB357">
            <v>3</v>
          </cell>
        </row>
        <row r="358">
          <cell r="A358" t="str">
            <v>BUIS508x11,0</v>
          </cell>
          <cell r="B358" t="str">
            <v>508x11,0</v>
          </cell>
          <cell r="C358">
            <v>134.82443324182688</v>
          </cell>
          <cell r="D358">
            <v>508</v>
          </cell>
          <cell r="E358">
            <v>508</v>
          </cell>
          <cell r="F358">
            <v>11</v>
          </cell>
          <cell r="G358">
            <v>11</v>
          </cell>
          <cell r="H358">
            <v>17175.087037175399</v>
          </cell>
          <cell r="I358">
            <v>530559907.43714452</v>
          </cell>
          <cell r="J358">
            <v>2088818.5332171044</v>
          </cell>
          <cell r="K358">
            <v>2717542.6666666665</v>
          </cell>
          <cell r="L358">
            <v>175.75906804486647</v>
          </cell>
          <cell r="M358">
            <v>8587.5435185876995</v>
          </cell>
          <cell r="N358">
            <v>530559907.43714452</v>
          </cell>
          <cell r="O358">
            <v>2088818.5332171044</v>
          </cell>
          <cell r="P358">
            <v>2717542.6666666665</v>
          </cell>
          <cell r="Q358">
            <v>175.75906804486647</v>
          </cell>
          <cell r="T358">
            <v>4268009.1287380867</v>
          </cell>
          <cell r="W358">
            <v>1</v>
          </cell>
          <cell r="X358">
            <v>2</v>
          </cell>
          <cell r="Y358">
            <v>3</v>
          </cell>
          <cell r="Z358">
            <v>1</v>
          </cell>
          <cell r="AA358">
            <v>2</v>
          </cell>
          <cell r="AB358">
            <v>3</v>
          </cell>
        </row>
        <row r="359">
          <cell r="A359" t="str">
            <v>BUIS508x12,5</v>
          </cell>
          <cell r="B359" t="str">
            <v>508x12,5</v>
          </cell>
          <cell r="C359">
            <v>152.74718006064847</v>
          </cell>
          <cell r="D359">
            <v>508</v>
          </cell>
          <cell r="E359">
            <v>508</v>
          </cell>
          <cell r="F359">
            <v>12.5</v>
          </cell>
          <cell r="G359">
            <v>12.5</v>
          </cell>
          <cell r="H359">
            <v>19458.239498171781</v>
          </cell>
          <cell r="I359">
            <v>597554022.00907493</v>
          </cell>
          <cell r="J359">
            <v>2352574.8897995078</v>
          </cell>
          <cell r="K359">
            <v>3069654.1666666665</v>
          </cell>
          <cell r="L359">
            <v>175.24144058983308</v>
          </cell>
          <cell r="M359">
            <v>9729.1197490858904</v>
          </cell>
          <cell r="N359">
            <v>597554022.00907493</v>
          </cell>
          <cell r="O359">
            <v>2352574.8897995078</v>
          </cell>
          <cell r="P359">
            <v>3069654.1666666665</v>
          </cell>
          <cell r="Q359">
            <v>175.24144058983308</v>
          </cell>
          <cell r="T359">
            <v>4820778.8356720582</v>
          </cell>
          <cell r="W359">
            <v>1</v>
          </cell>
          <cell r="X359">
            <v>2</v>
          </cell>
          <cell r="Y359">
            <v>3</v>
          </cell>
          <cell r="Z359">
            <v>1</v>
          </cell>
          <cell r="AA359">
            <v>2</v>
          </cell>
          <cell r="AB359">
            <v>3</v>
          </cell>
        </row>
        <row r="360">
          <cell r="A360" t="str">
            <v>BUIS508x16,0</v>
          </cell>
          <cell r="B360" t="str">
            <v>508x16,0</v>
          </cell>
          <cell r="C360">
            <v>194.13534634711201</v>
          </cell>
          <cell r="D360">
            <v>508</v>
          </cell>
          <cell r="E360">
            <v>508</v>
          </cell>
          <cell r="F360">
            <v>16</v>
          </cell>
          <cell r="G360">
            <v>16</v>
          </cell>
          <cell r="H360">
            <v>24730.617369058851</v>
          </cell>
          <cell r="I360">
            <v>749090400.10879266</v>
          </cell>
          <cell r="J360">
            <v>2949174.8035779237</v>
          </cell>
          <cell r="K360">
            <v>3874389.3333333335</v>
          </cell>
          <cell r="L360">
            <v>174.0402252354323</v>
          </cell>
          <cell r="M360">
            <v>12365.308684529426</v>
          </cell>
          <cell r="N360">
            <v>749090400.10879266</v>
          </cell>
          <cell r="O360">
            <v>2949174.8035779237</v>
          </cell>
          <cell r="P360">
            <v>3874389.3333333335</v>
          </cell>
          <cell r="Q360">
            <v>174.0402252354323</v>
          </cell>
          <cell r="T360">
            <v>6083731.8727884777</v>
          </cell>
          <cell r="W360">
            <v>1</v>
          </cell>
          <cell r="X360">
            <v>1</v>
          </cell>
          <cell r="Y360">
            <v>2</v>
          </cell>
          <cell r="Z360">
            <v>1</v>
          </cell>
          <cell r="AA360">
            <v>1</v>
          </cell>
          <cell r="AB360">
            <v>2</v>
          </cell>
        </row>
        <row r="361">
          <cell r="A361" t="str">
            <v>BUIS508x17,5</v>
          </cell>
          <cell r="B361" t="str">
            <v>508x17,5</v>
          </cell>
          <cell r="C361">
            <v>211.68817063097339</v>
          </cell>
          <cell r="D361">
            <v>508</v>
          </cell>
          <cell r="E361">
            <v>508</v>
          </cell>
          <cell r="F361">
            <v>17.5</v>
          </cell>
          <cell r="G361">
            <v>17.5</v>
          </cell>
          <cell r="H361">
            <v>26966.645940251386</v>
          </cell>
          <cell r="I361">
            <v>812021327.96822107</v>
          </cell>
          <cell r="J361">
            <v>3196934.3620796106</v>
          </cell>
          <cell r="K361">
            <v>4212115.833333333</v>
          </cell>
          <cell r="L361">
            <v>173.52827579388901</v>
          </cell>
          <cell r="M361">
            <v>13483.322970125693</v>
          </cell>
          <cell r="N361">
            <v>812021327.96822107</v>
          </cell>
          <cell r="O361">
            <v>3196934.3620796106</v>
          </cell>
          <cell r="P361">
            <v>4212115.833333333</v>
          </cell>
          <cell r="Q361">
            <v>173.52827579388901</v>
          </cell>
          <cell r="T361">
            <v>6613569.9168466525</v>
          </cell>
          <cell r="W361">
            <v>1</v>
          </cell>
          <cell r="X361">
            <v>1</v>
          </cell>
          <cell r="Y361">
            <v>2</v>
          </cell>
          <cell r="Z361">
            <v>1</v>
          </cell>
          <cell r="AA361">
            <v>1</v>
          </cell>
          <cell r="AB361">
            <v>2</v>
          </cell>
        </row>
        <row r="362">
          <cell r="A362" t="str">
            <v>BUIS508x20,0</v>
          </cell>
          <cell r="B362" t="str">
            <v>508x20,0</v>
          </cell>
          <cell r="C362">
            <v>240.69626274743561</v>
          </cell>
          <cell r="D362">
            <v>508</v>
          </cell>
          <cell r="E362">
            <v>508</v>
          </cell>
          <cell r="F362">
            <v>20</v>
          </cell>
          <cell r="G362">
            <v>20</v>
          </cell>
          <cell r="H362">
            <v>30661.944299036382</v>
          </cell>
          <cell r="I362">
            <v>914277855.10866678</v>
          </cell>
          <cell r="J362">
            <v>3599519.1146010505</v>
          </cell>
          <cell r="K362">
            <v>4765546.666666667</v>
          </cell>
          <cell r="L362">
            <v>172.67889274604465</v>
          </cell>
          <cell r="M362">
            <v>15330.972149518191</v>
          </cell>
          <cell r="N362">
            <v>914277855.10866678</v>
          </cell>
          <cell r="O362">
            <v>3599519.1146010505</v>
          </cell>
          <cell r="P362">
            <v>4765546.666666667</v>
          </cell>
          <cell r="Q362">
            <v>172.67889274604465</v>
          </cell>
          <cell r="T362">
            <v>7481514.408964877</v>
          </cell>
          <cell r="W362">
            <v>1</v>
          </cell>
          <cell r="X362">
            <v>1</v>
          </cell>
          <cell r="Y362">
            <v>1</v>
          </cell>
          <cell r="Z362">
            <v>1</v>
          </cell>
          <cell r="AA362">
            <v>1</v>
          </cell>
          <cell r="AB362">
            <v>1</v>
          </cell>
        </row>
        <row r="363">
          <cell r="A363" t="str">
            <v>BUIS508x25,0</v>
          </cell>
          <cell r="B363" t="str">
            <v>508x25,0</v>
          </cell>
          <cell r="C363">
            <v>297.78764064295956</v>
          </cell>
          <cell r="D363">
            <v>508</v>
          </cell>
          <cell r="E363">
            <v>508</v>
          </cell>
          <cell r="F363">
            <v>25</v>
          </cell>
          <cell r="G363">
            <v>25</v>
          </cell>
          <cell r="H363">
            <v>37934.731292096752</v>
          </cell>
          <cell r="I363">
            <v>1109183091.93244</v>
          </cell>
          <cell r="J363">
            <v>4366862.5666631497</v>
          </cell>
          <cell r="K363">
            <v>5837433.333333333</v>
          </cell>
          <cell r="L363">
            <v>170.99488296437411</v>
          </cell>
          <cell r="M363">
            <v>18967.365646048376</v>
          </cell>
          <cell r="N363">
            <v>1109183091.93244</v>
          </cell>
          <cell r="O363">
            <v>4366862.5666631497</v>
          </cell>
          <cell r="P363">
            <v>5837433.333333333</v>
          </cell>
          <cell r="Q363">
            <v>170.99488296437411</v>
          </cell>
          <cell r="T363">
            <v>9161237.6070413645</v>
          </cell>
          <cell r="W363">
            <v>1</v>
          </cell>
          <cell r="X363">
            <v>1</v>
          </cell>
          <cell r="Y363">
            <v>1</v>
          </cell>
          <cell r="Z363">
            <v>1</v>
          </cell>
          <cell r="AA363">
            <v>1</v>
          </cell>
          <cell r="AB363">
            <v>1</v>
          </cell>
        </row>
        <row r="364">
          <cell r="A364" t="str">
            <v>BUIS610x8,0</v>
          </cell>
          <cell r="B364" t="str">
            <v>610x8,0</v>
          </cell>
          <cell r="C364">
            <v>118.76979522455427</v>
          </cell>
          <cell r="D364">
            <v>610</v>
          </cell>
          <cell r="E364">
            <v>610</v>
          </cell>
          <cell r="F364">
            <v>8</v>
          </cell>
          <cell r="G364">
            <v>8</v>
          </cell>
          <cell r="H364">
            <v>15129.910219688443</v>
          </cell>
          <cell r="I364">
            <v>685513537.18875384</v>
          </cell>
          <cell r="J364">
            <v>2247585.3678319799</v>
          </cell>
          <cell r="K364">
            <v>2899402.6666666665</v>
          </cell>
          <cell r="L364">
            <v>212.85793384320914</v>
          </cell>
          <cell r="M364">
            <v>7564.9551098442216</v>
          </cell>
          <cell r="N364">
            <v>685513537.18875384</v>
          </cell>
          <cell r="O364">
            <v>2247585.3678319799</v>
          </cell>
          <cell r="P364">
            <v>2899402.6666666665</v>
          </cell>
          <cell r="Q364">
            <v>212.85793384320914</v>
          </cell>
          <cell r="T364">
            <v>4554102.9761262219</v>
          </cell>
          <cell r="W364">
            <v>3</v>
          </cell>
          <cell r="X364">
            <v>3</v>
          </cell>
          <cell r="Y364">
            <v>3</v>
          </cell>
          <cell r="Z364">
            <v>3</v>
          </cell>
          <cell r="AA364">
            <v>3</v>
          </cell>
          <cell r="AB364">
            <v>3</v>
          </cell>
        </row>
        <row r="365">
          <cell r="A365" t="str">
            <v>BUIS610x10,0</v>
          </cell>
          <cell r="B365" t="str">
            <v>610x10,0</v>
          </cell>
          <cell r="C365">
            <v>147.96901398407925</v>
          </cell>
          <cell r="D365">
            <v>610</v>
          </cell>
          <cell r="E365">
            <v>610</v>
          </cell>
          <cell r="F365">
            <v>10</v>
          </cell>
          <cell r="G365">
            <v>10</v>
          </cell>
          <cell r="H365">
            <v>18849.555921538758</v>
          </cell>
          <cell r="I365">
            <v>848465635.91826344</v>
          </cell>
          <cell r="J365">
            <v>2781854.5439943061</v>
          </cell>
          <cell r="K365">
            <v>3600333.3333333335</v>
          </cell>
          <cell r="L365">
            <v>212.16149509277128</v>
          </cell>
          <cell r="M365">
            <v>9424.7779607693792</v>
          </cell>
          <cell r="N365">
            <v>848465635.91826344</v>
          </cell>
          <cell r="O365">
            <v>2781854.5439943061</v>
          </cell>
          <cell r="P365">
            <v>3600333.3333333335</v>
          </cell>
          <cell r="Q365">
            <v>212.16149509277128</v>
          </cell>
          <cell r="T365">
            <v>5654866.7764616283</v>
          </cell>
          <cell r="W365">
            <v>2</v>
          </cell>
          <cell r="X365">
            <v>3</v>
          </cell>
          <cell r="Y365">
            <v>3</v>
          </cell>
          <cell r="Z365">
            <v>2</v>
          </cell>
          <cell r="AA365">
            <v>3</v>
          </cell>
          <cell r="AB365">
            <v>3</v>
          </cell>
        </row>
        <row r="366">
          <cell r="A366" t="str">
            <v>BUIS610x12,7</v>
          </cell>
          <cell r="B366" t="str">
            <v>610x12,7</v>
          </cell>
          <cell r="C366">
            <v>187.07500484486144</v>
          </cell>
          <cell r="D366">
            <v>610</v>
          </cell>
          <cell r="E366">
            <v>610</v>
          </cell>
          <cell r="F366">
            <v>12.7</v>
          </cell>
          <cell r="G366">
            <v>12.7</v>
          </cell>
          <cell r="H366">
            <v>23831.210808262604</v>
          </cell>
          <cell r="I366">
            <v>1063255029.1842278</v>
          </cell>
          <cell r="J366">
            <v>3486082.0628991076</v>
          </cell>
          <cell r="K366">
            <v>4531627.3773333281</v>
          </cell>
          <cell r="L366">
            <v>211.2251701384094</v>
          </cell>
          <cell r="M366">
            <v>11915.605404131302</v>
          </cell>
          <cell r="N366">
            <v>1063255029.1842278</v>
          </cell>
          <cell r="O366">
            <v>3486082.0628991076</v>
          </cell>
          <cell r="P366">
            <v>4531627.3773333281</v>
          </cell>
          <cell r="Q366">
            <v>211.2251701384094</v>
          </cell>
          <cell r="T366">
            <v>7117191.1078876322</v>
          </cell>
          <cell r="W366">
            <v>1</v>
          </cell>
          <cell r="X366">
            <v>3</v>
          </cell>
          <cell r="Y366">
            <v>3</v>
          </cell>
          <cell r="Z366">
            <v>1</v>
          </cell>
          <cell r="AA366">
            <v>3</v>
          </cell>
          <cell r="AB366">
            <v>3</v>
          </cell>
        </row>
        <row r="367">
          <cell r="A367" t="str">
            <v>BUIS610x14,3</v>
          </cell>
          <cell r="B367" t="str">
            <v>610x14,3</v>
          </cell>
          <cell r="C367">
            <v>210.07925421892006</v>
          </cell>
          <cell r="D367">
            <v>610</v>
          </cell>
          <cell r="E367">
            <v>610</v>
          </cell>
          <cell r="F367">
            <v>14.3</v>
          </cell>
          <cell r="G367">
            <v>14.3</v>
          </cell>
          <cell r="H367">
            <v>26761.688435531218</v>
          </cell>
          <cell r="I367">
            <v>1187760605.7189066</v>
          </cell>
          <cell r="J367">
            <v>3894297.0679308414</v>
          </cell>
          <cell r="K367">
            <v>5075451.1426666724</v>
          </cell>
          <cell r="L367">
            <v>210.67242937793262</v>
          </cell>
          <cell r="M367">
            <v>13380.844217765609</v>
          </cell>
          <cell r="N367">
            <v>1187760605.7189066</v>
          </cell>
          <cell r="O367">
            <v>3894297.0679308414</v>
          </cell>
          <cell r="P367">
            <v>5075451.1426666724</v>
          </cell>
          <cell r="Q367">
            <v>210.67242937793262</v>
          </cell>
          <cell r="T367">
            <v>7970968.9005229659</v>
          </cell>
          <cell r="W367">
            <v>1</v>
          </cell>
          <cell r="X367">
            <v>2</v>
          </cell>
          <cell r="Y367">
            <v>3</v>
          </cell>
          <cell r="Z367">
            <v>1</v>
          </cell>
          <cell r="AA367">
            <v>2</v>
          </cell>
          <cell r="AB367">
            <v>3</v>
          </cell>
        </row>
        <row r="368">
          <cell r="A368" t="str">
            <v>BUIS610x17,5</v>
          </cell>
          <cell r="B368" t="str">
            <v>610x17,5</v>
          </cell>
          <cell r="C368">
            <v>255.70895229123698</v>
          </cell>
          <cell r="D368">
            <v>610</v>
          </cell>
          <cell r="E368">
            <v>610</v>
          </cell>
          <cell r="F368">
            <v>17.5</v>
          </cell>
          <cell r="G368">
            <v>17.5</v>
          </cell>
          <cell r="H368">
            <v>32574.388826909166</v>
          </cell>
          <cell r="I368">
            <v>1430677336.774359</v>
          </cell>
          <cell r="J368">
            <v>4690745.3664733078</v>
          </cell>
          <cell r="K368">
            <v>6145270.833333333</v>
          </cell>
          <cell r="L368">
            <v>209.57173592829736</v>
          </cell>
          <cell r="M368">
            <v>16287.194413454583</v>
          </cell>
          <cell r="N368">
            <v>1430677336.774359</v>
          </cell>
          <cell r="O368">
            <v>4690745.3664733078</v>
          </cell>
          <cell r="P368">
            <v>6145270.833333333</v>
          </cell>
          <cell r="Q368">
            <v>209.57173592829736</v>
          </cell>
          <cell r="T368">
            <v>9650162.6899718419</v>
          </cell>
          <cell r="W368">
            <v>1</v>
          </cell>
          <cell r="X368">
            <v>2</v>
          </cell>
          <cell r="Y368">
            <v>2</v>
          </cell>
          <cell r="Z368">
            <v>1</v>
          </cell>
          <cell r="AA368">
            <v>2</v>
          </cell>
          <cell r="AB368">
            <v>2</v>
          </cell>
        </row>
        <row r="369">
          <cell r="A369" t="str">
            <v>BUIS610x20,0</v>
          </cell>
          <cell r="B369" t="str">
            <v>610x20,0</v>
          </cell>
          <cell r="C369">
            <v>291.00572750202252</v>
          </cell>
          <cell r="D369">
            <v>610</v>
          </cell>
          <cell r="E369">
            <v>610</v>
          </cell>
          <cell r="F369">
            <v>20</v>
          </cell>
          <cell r="G369">
            <v>20</v>
          </cell>
          <cell r="H369">
            <v>37070.793312359558</v>
          </cell>
          <cell r="I369">
            <v>1614896433.6696632</v>
          </cell>
          <cell r="J369">
            <v>5294742.4054743052</v>
          </cell>
          <cell r="K369">
            <v>6964666.666666667</v>
          </cell>
          <cell r="L369">
            <v>208.71631464741802</v>
          </cell>
          <cell r="M369">
            <v>18535.396656179779</v>
          </cell>
          <cell r="N369">
            <v>1614896433.6696632</v>
          </cell>
          <cell r="O369">
            <v>5294742.4054743052</v>
          </cell>
          <cell r="P369">
            <v>6964666.666666667</v>
          </cell>
          <cell r="Q369">
            <v>208.71631464741802</v>
          </cell>
          <cell r="T369">
            <v>10935884.027146071</v>
          </cell>
          <cell r="W369">
            <v>1</v>
          </cell>
          <cell r="X369">
            <v>1</v>
          </cell>
          <cell r="Y369">
            <v>2</v>
          </cell>
          <cell r="Z369">
            <v>1</v>
          </cell>
          <cell r="AA369">
            <v>1</v>
          </cell>
          <cell r="AB369">
            <v>2</v>
          </cell>
        </row>
        <row r="370">
          <cell r="A370" t="str">
            <v>BUIS610x25,0</v>
          </cell>
          <cell r="B370" t="str">
            <v>610x25,0</v>
          </cell>
          <cell r="C370">
            <v>360.67447158619319</v>
          </cell>
          <cell r="D370">
            <v>610</v>
          </cell>
          <cell r="E370">
            <v>610</v>
          </cell>
          <cell r="F370">
            <v>25</v>
          </cell>
          <cell r="G370">
            <v>25</v>
          </cell>
          <cell r="H370">
            <v>45945.792558750727</v>
          </cell>
          <cell r="I370">
            <v>1969064372.3459606</v>
          </cell>
          <cell r="J370">
            <v>6455948.7617900344</v>
          </cell>
          <cell r="K370">
            <v>8560833.333333334</v>
          </cell>
          <cell r="L370">
            <v>207.01751133660164</v>
          </cell>
          <cell r="M370">
            <v>22972.896279375364</v>
          </cell>
          <cell r="N370">
            <v>1969064372.3459606</v>
          </cell>
          <cell r="O370">
            <v>6455948.7617900344</v>
          </cell>
          <cell r="P370">
            <v>8560833.333333334</v>
          </cell>
          <cell r="Q370">
            <v>207.01751133660164</v>
          </cell>
          <cell r="T370">
            <v>13439144.323434588</v>
          </cell>
          <cell r="W370">
            <v>1</v>
          </cell>
          <cell r="X370">
            <v>1</v>
          </cell>
          <cell r="Y370">
            <v>1</v>
          </cell>
          <cell r="Z370">
            <v>1</v>
          </cell>
          <cell r="AA370">
            <v>1</v>
          </cell>
          <cell r="AB370">
            <v>1</v>
          </cell>
        </row>
        <row r="371">
          <cell r="A371" t="str">
            <v>BUIS648x25,0</v>
          </cell>
          <cell r="B371" t="str">
            <v>648x25,0</v>
          </cell>
          <cell r="C371">
            <v>384.10289880033906</v>
          </cell>
          <cell r="D371">
            <v>648</v>
          </cell>
          <cell r="E371">
            <v>648</v>
          </cell>
          <cell r="F371">
            <v>25</v>
          </cell>
          <cell r="G371">
            <v>25</v>
          </cell>
          <cell r="H371">
            <v>48930.305579661028</v>
          </cell>
          <cell r="I371">
            <v>2377731501.914443</v>
          </cell>
          <cell r="J371">
            <v>7338677.4750445774</v>
          </cell>
          <cell r="K371">
            <v>9708433.333333334</v>
          </cell>
          <cell r="L371">
            <v>220.44103519989196</v>
          </cell>
          <cell r="M371">
            <v>24465.152789830514</v>
          </cell>
          <cell r="N371">
            <v>2377731501.914443</v>
          </cell>
          <cell r="O371">
            <v>7338677.4750445774</v>
          </cell>
          <cell r="P371">
            <v>9708433.333333334</v>
          </cell>
          <cell r="Q371">
            <v>220.44103519989196</v>
          </cell>
          <cell r="T371">
            <v>15241790.188064409</v>
          </cell>
          <cell r="W371">
            <v>1</v>
          </cell>
          <cell r="X371">
            <v>1</v>
          </cell>
          <cell r="Y371">
            <v>2</v>
          </cell>
          <cell r="Z371">
            <v>1</v>
          </cell>
          <cell r="AA371">
            <v>1</v>
          </cell>
          <cell r="AB371">
            <v>2</v>
          </cell>
        </row>
        <row r="372">
          <cell r="A372" t="str">
            <v>BUIS711x20,0</v>
          </cell>
          <cell r="B372" t="str">
            <v>711x20,0</v>
          </cell>
          <cell r="C372">
            <v>340.82196220999583</v>
          </cell>
          <cell r="D372">
            <v>711</v>
          </cell>
          <cell r="E372">
            <v>711</v>
          </cell>
          <cell r="F372">
            <v>20</v>
          </cell>
          <cell r="G372">
            <v>20</v>
          </cell>
          <cell r="H372">
            <v>43416.810472610938</v>
          </cell>
          <cell r="I372">
            <v>2593508600.6827235</v>
          </cell>
          <cell r="J372">
            <v>7295382.8429893767</v>
          </cell>
          <cell r="K372">
            <v>9552286.666666666</v>
          </cell>
          <cell r="L372">
            <v>244.40770241545172</v>
          </cell>
          <cell r="M372">
            <v>21708.405236305469</v>
          </cell>
          <cell r="N372">
            <v>2593508600.6827235</v>
          </cell>
          <cell r="O372">
            <v>7295382.8429893767</v>
          </cell>
          <cell r="P372">
            <v>9552286.666666666</v>
          </cell>
          <cell r="Q372">
            <v>244.40770241545172</v>
          </cell>
          <cell r="T372">
            <v>15000508.018287081</v>
          </cell>
          <cell r="W372">
            <v>1</v>
          </cell>
          <cell r="X372">
            <v>2</v>
          </cell>
          <cell r="Y372">
            <v>2</v>
          </cell>
          <cell r="Z372">
            <v>1</v>
          </cell>
          <cell r="AA372">
            <v>2</v>
          </cell>
          <cell r="AB372">
            <v>2</v>
          </cell>
        </row>
        <row r="373">
          <cell r="A373" t="str">
            <v>BUIS864x20,0</v>
          </cell>
          <cell r="B373" t="str">
            <v>864x20,0</v>
          </cell>
          <cell r="C373">
            <v>416.28615934187627</v>
          </cell>
          <cell r="D373">
            <v>864</v>
          </cell>
          <cell r="E373">
            <v>864</v>
          </cell>
          <cell r="F373">
            <v>20</v>
          </cell>
          <cell r="G373">
            <v>20</v>
          </cell>
          <cell r="H373">
            <v>53030.083992595704</v>
          </cell>
          <cell r="I373">
            <v>4724556243.0683365</v>
          </cell>
          <cell r="J373">
            <v>10936472.784880409</v>
          </cell>
          <cell r="K373">
            <v>14249386.666666666</v>
          </cell>
          <cell r="L373">
            <v>298.48283032697208</v>
          </cell>
          <cell r="M373">
            <v>26515.041996297852</v>
          </cell>
          <cell r="N373">
            <v>4724556243.0683365</v>
          </cell>
          <cell r="O373">
            <v>10936472.784880409</v>
          </cell>
          <cell r="P373">
            <v>14249386.666666666</v>
          </cell>
          <cell r="Q373">
            <v>298.48283032697208</v>
          </cell>
          <cell r="T373">
            <v>22378695.444875389</v>
          </cell>
          <cell r="W373">
            <v>1</v>
          </cell>
          <cell r="X373">
            <v>2</v>
          </cell>
          <cell r="Y373">
            <v>3</v>
          </cell>
          <cell r="Z373">
            <v>1</v>
          </cell>
          <cell r="AA373">
            <v>2</v>
          </cell>
          <cell r="AB373">
            <v>3</v>
          </cell>
        </row>
        <row r="375">
          <cell r="A375" t="str">
            <v>hier kan zelf een buisprofiel worden ingevoerd:</v>
          </cell>
        </row>
        <row r="376">
          <cell r="A376" t="str">
            <v>(alleen de blauwe tekst wijzigen)</v>
          </cell>
        </row>
        <row r="378">
          <cell r="A378" t="str">
            <v>BUIS114,3x4</v>
          </cell>
          <cell r="B378" t="str">
            <v>114,3x4</v>
          </cell>
          <cell r="C378">
            <v>10.880654828295969</v>
          </cell>
          <cell r="D378">
            <v>114.3</v>
          </cell>
          <cell r="E378">
            <v>114.3</v>
          </cell>
          <cell r="F378">
            <v>4</v>
          </cell>
          <cell r="G378">
            <v>4</v>
          </cell>
          <cell r="H378">
            <v>1386.0706787638176</v>
          </cell>
          <cell r="I378">
            <v>2110654.7193827392</v>
          </cell>
          <cell r="J378">
            <v>36931.841109059307</v>
          </cell>
          <cell r="K378">
            <v>48685.693333333358</v>
          </cell>
          <cell r="L378">
            <v>39.022573595292251</v>
          </cell>
          <cell r="M378">
            <v>693.03533938190878</v>
          </cell>
          <cell r="N378">
            <v>2110654.7193827392</v>
          </cell>
          <cell r="O378">
            <v>36931.841109059307</v>
          </cell>
          <cell r="P378">
            <v>48685.693333333358</v>
          </cell>
          <cell r="Q378">
            <v>39.022573595292251</v>
          </cell>
          <cell r="T378">
            <v>76441.797933824491</v>
          </cell>
          <cell r="W378">
            <v>1</v>
          </cell>
          <cell r="X378">
            <v>1</v>
          </cell>
          <cell r="Y378">
            <v>2</v>
          </cell>
          <cell r="Z378">
            <v>1</v>
          </cell>
          <cell r="AA378">
            <v>1</v>
          </cell>
          <cell r="AB378">
            <v>2</v>
          </cell>
        </row>
        <row r="379">
          <cell r="A379" t="str">
            <v>BUIS88,9x5</v>
          </cell>
          <cell r="B379" t="str">
            <v>88,9x5</v>
          </cell>
          <cell r="C379">
            <v>10.345500227720207</v>
          </cell>
          <cell r="D379">
            <v>88.9</v>
          </cell>
          <cell r="E379">
            <v>88.9</v>
          </cell>
          <cell r="F379">
            <v>5</v>
          </cell>
          <cell r="G379">
            <v>5</v>
          </cell>
          <cell r="H379">
            <v>1317.8981181809181</v>
          </cell>
          <cell r="I379">
            <v>1163738.6331793533</v>
          </cell>
          <cell r="J379">
            <v>26180.84664070536</v>
          </cell>
          <cell r="K379">
            <v>35237.716666666674</v>
          </cell>
          <cell r="L379">
            <v>29.715757604341846</v>
          </cell>
          <cell r="M379">
            <v>658.94905909045906</v>
          </cell>
          <cell r="N379">
            <v>1163738.6331793533</v>
          </cell>
          <cell r="O379">
            <v>26180.84664070536</v>
          </cell>
          <cell r="P379">
            <v>35237.716666666674</v>
          </cell>
          <cell r="Q379">
            <v>29.715757604341846</v>
          </cell>
          <cell r="T379">
            <v>55285.826057689526</v>
          </cell>
          <cell r="W379">
            <v>1</v>
          </cell>
          <cell r="X379">
            <v>1</v>
          </cell>
          <cell r="Y379">
            <v>1</v>
          </cell>
          <cell r="Z379">
            <v>1</v>
          </cell>
          <cell r="AA379">
            <v>1</v>
          </cell>
          <cell r="AB379">
            <v>1</v>
          </cell>
        </row>
        <row r="380">
          <cell r="A380" t="str">
            <v>BUIS1400x40</v>
          </cell>
          <cell r="B380" t="str">
            <v>1400x40</v>
          </cell>
          <cell r="C380">
            <v>1341.5857267889853</v>
          </cell>
          <cell r="D380">
            <v>1400</v>
          </cell>
          <cell r="E380">
            <v>1400</v>
          </cell>
          <cell r="F380">
            <v>40</v>
          </cell>
          <cell r="G380">
            <v>40</v>
          </cell>
          <cell r="H380">
            <v>170902.64035528473</v>
          </cell>
          <cell r="I380">
            <v>39546870978.212891</v>
          </cell>
          <cell r="J380">
            <v>56495529.968875557</v>
          </cell>
          <cell r="K380">
            <v>74005333.333333328</v>
          </cell>
          <cell r="L380">
            <v>481.04053883222775</v>
          </cell>
          <cell r="M380">
            <v>85451.320177642367</v>
          </cell>
          <cell r="N380">
            <v>39546870978.212891</v>
          </cell>
          <cell r="O380">
            <v>56495529.968875557</v>
          </cell>
          <cell r="P380">
            <v>74005333.333333328</v>
          </cell>
          <cell r="Q380">
            <v>481.04053883222775</v>
          </cell>
          <cell r="T380">
            <v>116213795.44159362</v>
          </cell>
          <cell r="W380">
            <v>1</v>
          </cell>
          <cell r="X380">
            <v>2</v>
          </cell>
          <cell r="Y380">
            <v>2</v>
          </cell>
          <cell r="Z380">
            <v>1</v>
          </cell>
          <cell r="AA380">
            <v>2</v>
          </cell>
          <cell r="AB380">
            <v>2</v>
          </cell>
        </row>
        <row r="381">
          <cell r="A381" t="str">
            <v>BUIS1500x40</v>
          </cell>
          <cell r="B381" t="str">
            <v>1500x40</v>
          </cell>
          <cell r="C381">
            <v>1440.2317361117048</v>
          </cell>
          <cell r="D381">
            <v>1500</v>
          </cell>
          <cell r="E381">
            <v>1500</v>
          </cell>
          <cell r="F381">
            <v>40</v>
          </cell>
          <cell r="G381">
            <v>40</v>
          </cell>
          <cell r="H381">
            <v>183469.01096964392</v>
          </cell>
          <cell r="I381">
            <v>48922011775.05555</v>
          </cell>
          <cell r="J381">
            <v>65229349.033407398</v>
          </cell>
          <cell r="K381">
            <v>85285333.333333328</v>
          </cell>
          <cell r="L381">
            <v>516.38164181155787</v>
          </cell>
          <cell r="M381">
            <v>91734.505484821959</v>
          </cell>
          <cell r="N381">
            <v>48922011775.05555</v>
          </cell>
          <cell r="O381">
            <v>65229349.033407398</v>
          </cell>
          <cell r="P381">
            <v>85285333.333333328</v>
          </cell>
          <cell r="Q381">
            <v>516.38164181155787</v>
          </cell>
          <cell r="T381">
            <v>133932378.00784007</v>
          </cell>
          <cell r="W381">
            <v>1</v>
          </cell>
          <cell r="X381">
            <v>2</v>
          </cell>
          <cell r="Y381">
            <v>3</v>
          </cell>
          <cell r="Z381">
            <v>1</v>
          </cell>
          <cell r="AA381">
            <v>2</v>
          </cell>
          <cell r="AB381">
            <v>3</v>
          </cell>
        </row>
        <row r="383">
          <cell r="A383" t="str">
            <v>KOKERS</v>
          </cell>
          <cell r="C383" t="str">
            <v>g</v>
          </cell>
          <cell r="D383" t="str">
            <v>h</v>
          </cell>
          <cell r="E383" t="str">
            <v>b</v>
          </cell>
          <cell r="F383" t="str">
            <v>t</v>
          </cell>
          <cell r="G383" t="str">
            <v>t</v>
          </cell>
          <cell r="H383" t="str">
            <v>A</v>
          </cell>
          <cell r="I383" t="str">
            <v>Iy</v>
          </cell>
          <cell r="J383" t="str">
            <v>Wy</v>
          </cell>
          <cell r="K383" t="str">
            <v>Wply</v>
          </cell>
          <cell r="L383" t="str">
            <v>iy</v>
          </cell>
          <cell r="N383" t="str">
            <v>Iz</v>
          </cell>
          <cell r="O383" t="str">
            <v>Wz</v>
          </cell>
          <cell r="P383" t="str">
            <v>Wplz</v>
          </cell>
          <cell r="Q383" t="str">
            <v>iz</v>
          </cell>
          <cell r="S383" t="str">
            <v>It</v>
          </cell>
          <cell r="W383">
            <v>235</v>
          </cell>
          <cell r="X383">
            <v>275</v>
          </cell>
          <cell r="Y383">
            <v>355</v>
          </cell>
          <cell r="Z383">
            <v>235</v>
          </cell>
          <cell r="AA383">
            <v>275</v>
          </cell>
          <cell r="AB383">
            <v>355</v>
          </cell>
        </row>
        <row r="384">
          <cell r="C384" t="str">
            <v>kg/m</v>
          </cell>
          <cell r="D384" t="str">
            <v>mm</v>
          </cell>
          <cell r="E384" t="str">
            <v>mm</v>
          </cell>
          <cell r="F384" t="str">
            <v>mm</v>
          </cell>
          <cell r="G384" t="str">
            <v>mm</v>
          </cell>
          <cell r="H384" t="str">
            <v>mm2</v>
          </cell>
          <cell r="I384" t="str">
            <v>mm4</v>
          </cell>
          <cell r="J384" t="str">
            <v>mm3</v>
          </cell>
          <cell r="K384" t="str">
            <v>mm3</v>
          </cell>
          <cell r="L384" t="str">
            <v>mm</v>
          </cell>
          <cell r="N384" t="str">
            <v>mm4</v>
          </cell>
          <cell r="O384" t="str">
            <v>mm3</v>
          </cell>
          <cell r="P384" t="str">
            <v>mm3</v>
          </cell>
          <cell r="Q384" t="str">
            <v>mm</v>
          </cell>
          <cell r="S384" t="str">
            <v>mm4</v>
          </cell>
        </row>
        <row r="385">
          <cell r="A385" t="str">
            <v>K40x40x2,6</v>
          </cell>
          <cell r="C385">
            <v>3.0065499999999998</v>
          </cell>
          <cell r="D385">
            <v>40</v>
          </cell>
          <cell r="E385">
            <v>40</v>
          </cell>
          <cell r="F385">
            <v>2.6</v>
          </cell>
          <cell r="G385">
            <v>2.6</v>
          </cell>
          <cell r="H385">
            <v>383</v>
          </cell>
          <cell r="I385">
            <v>88925</v>
          </cell>
          <cell r="J385">
            <v>4446</v>
          </cell>
          <cell r="K385">
            <v>5351</v>
          </cell>
          <cell r="L385">
            <v>15.2</v>
          </cell>
          <cell r="N385">
            <v>88925</v>
          </cell>
          <cell r="O385">
            <v>4446</v>
          </cell>
          <cell r="P385">
            <v>5351</v>
          </cell>
          <cell r="Q385">
            <v>15.2</v>
          </cell>
          <cell r="S385">
            <v>138652</v>
          </cell>
          <cell r="W385">
            <v>1</v>
          </cell>
          <cell r="X385">
            <v>1</v>
          </cell>
          <cell r="Y385">
            <v>1</v>
          </cell>
          <cell r="Z385">
            <v>1</v>
          </cell>
          <cell r="AA385">
            <v>1</v>
          </cell>
          <cell r="AB385">
            <v>1</v>
          </cell>
        </row>
        <row r="386">
          <cell r="A386" t="str">
            <v>K40x40x2,9</v>
          </cell>
          <cell r="C386">
            <v>3.3205499999999999</v>
          </cell>
          <cell r="D386">
            <v>40</v>
          </cell>
          <cell r="E386">
            <v>40</v>
          </cell>
          <cell r="F386">
            <v>2.9</v>
          </cell>
          <cell r="G386">
            <v>2.9</v>
          </cell>
          <cell r="H386">
            <v>423</v>
          </cell>
          <cell r="I386">
            <v>96623</v>
          </cell>
          <cell r="J386">
            <v>4831</v>
          </cell>
          <cell r="K386">
            <v>5859</v>
          </cell>
          <cell r="L386">
            <v>15.1</v>
          </cell>
          <cell r="N386">
            <v>96623</v>
          </cell>
          <cell r="O386">
            <v>4831</v>
          </cell>
          <cell r="P386">
            <v>5859</v>
          </cell>
          <cell r="Q386">
            <v>15.1</v>
          </cell>
          <cell r="S386">
            <v>151406</v>
          </cell>
          <cell r="W386">
            <v>1</v>
          </cell>
          <cell r="X386">
            <v>1</v>
          </cell>
          <cell r="Y386">
            <v>1</v>
          </cell>
          <cell r="Z386">
            <v>1</v>
          </cell>
          <cell r="AA386">
            <v>1</v>
          </cell>
          <cell r="AB386">
            <v>1</v>
          </cell>
        </row>
        <row r="387">
          <cell r="A387" t="str">
            <v>K40x40x4,0</v>
          </cell>
          <cell r="C387">
            <v>4.4116999999999997</v>
          </cell>
          <cell r="D387">
            <v>40</v>
          </cell>
          <cell r="E387">
            <v>40</v>
          </cell>
          <cell r="F387">
            <v>4</v>
          </cell>
          <cell r="G387">
            <v>4</v>
          </cell>
          <cell r="H387">
            <v>562</v>
          </cell>
          <cell r="I387">
            <v>120930</v>
          </cell>
          <cell r="J387">
            <v>6046</v>
          </cell>
          <cell r="K387">
            <v>7545</v>
          </cell>
          <cell r="L387">
            <v>14.7</v>
          </cell>
          <cell r="N387">
            <v>120930</v>
          </cell>
          <cell r="O387">
            <v>6046</v>
          </cell>
          <cell r="P387">
            <v>7545</v>
          </cell>
          <cell r="Q387">
            <v>14.7</v>
          </cell>
          <cell r="S387">
            <v>193170</v>
          </cell>
          <cell r="W387">
            <v>1</v>
          </cell>
          <cell r="X387">
            <v>1</v>
          </cell>
          <cell r="Y387">
            <v>1</v>
          </cell>
          <cell r="Z387">
            <v>1</v>
          </cell>
          <cell r="AA387">
            <v>1</v>
          </cell>
          <cell r="AB387">
            <v>1</v>
          </cell>
        </row>
        <row r="388">
          <cell r="A388" t="str">
            <v>K40x40x5,0</v>
          </cell>
          <cell r="C388">
            <v>5.3222999999999994</v>
          </cell>
          <cell r="D388">
            <v>40</v>
          </cell>
          <cell r="E388">
            <v>40</v>
          </cell>
          <cell r="F388">
            <v>5</v>
          </cell>
          <cell r="G388">
            <v>5</v>
          </cell>
          <cell r="H388">
            <v>678</v>
          </cell>
          <cell r="I388">
            <v>138162</v>
          </cell>
          <cell r="J388">
            <v>6908</v>
          </cell>
          <cell r="K388">
            <v>8844</v>
          </cell>
          <cell r="L388">
            <v>14.3</v>
          </cell>
          <cell r="N388">
            <v>138162</v>
          </cell>
          <cell r="O388">
            <v>6908</v>
          </cell>
          <cell r="P388">
            <v>8844</v>
          </cell>
          <cell r="Q388">
            <v>14.3</v>
          </cell>
          <cell r="S388">
            <v>224877</v>
          </cell>
          <cell r="W388">
            <v>1</v>
          </cell>
          <cell r="X388">
            <v>1</v>
          </cell>
          <cell r="Y388">
            <v>1</v>
          </cell>
          <cell r="Z388">
            <v>1</v>
          </cell>
          <cell r="AA388">
            <v>1</v>
          </cell>
          <cell r="AB388">
            <v>1</v>
          </cell>
        </row>
        <row r="389">
          <cell r="A389" t="str">
            <v>K50x50x2,6</v>
          </cell>
          <cell r="C389">
            <v>3.8229499999999996</v>
          </cell>
          <cell r="D389">
            <v>50</v>
          </cell>
          <cell r="E389">
            <v>50</v>
          </cell>
          <cell r="F389">
            <v>2.6</v>
          </cell>
          <cell r="G389">
            <v>2.6</v>
          </cell>
          <cell r="H389">
            <v>487</v>
          </cell>
          <cell r="I389">
            <v>181688</v>
          </cell>
          <cell r="J389">
            <v>7267</v>
          </cell>
          <cell r="K389">
            <v>8625</v>
          </cell>
          <cell r="L389">
            <v>19.3</v>
          </cell>
          <cell r="N389">
            <v>181688</v>
          </cell>
          <cell r="O389">
            <v>7267</v>
          </cell>
          <cell r="P389">
            <v>8625</v>
          </cell>
          <cell r="Q389">
            <v>19.3</v>
          </cell>
          <cell r="S389">
            <v>280925</v>
          </cell>
          <cell r="W389">
            <v>1</v>
          </cell>
          <cell r="X389">
            <v>1</v>
          </cell>
          <cell r="Y389">
            <v>1</v>
          </cell>
          <cell r="Z389">
            <v>1</v>
          </cell>
          <cell r="AA389">
            <v>1</v>
          </cell>
          <cell r="AB389">
            <v>1</v>
          </cell>
        </row>
        <row r="390">
          <cell r="A390" t="str">
            <v>K50x50x2,9</v>
          </cell>
          <cell r="C390">
            <v>4.2311499999999995</v>
          </cell>
          <cell r="D390">
            <v>50</v>
          </cell>
          <cell r="E390">
            <v>50</v>
          </cell>
          <cell r="F390">
            <v>2.9</v>
          </cell>
          <cell r="G390">
            <v>2.9</v>
          </cell>
          <cell r="H390">
            <v>539</v>
          </cell>
          <cell r="I390">
            <v>198491</v>
          </cell>
          <cell r="J390">
            <v>7939</v>
          </cell>
          <cell r="K390">
            <v>9486</v>
          </cell>
          <cell r="L390">
            <v>19.2</v>
          </cell>
          <cell r="N390">
            <v>198491</v>
          </cell>
          <cell r="O390">
            <v>7939</v>
          </cell>
          <cell r="P390">
            <v>9486</v>
          </cell>
          <cell r="Q390">
            <v>19.2</v>
          </cell>
          <cell r="S390">
            <v>308082</v>
          </cell>
          <cell r="W390">
            <v>1</v>
          </cell>
          <cell r="X390">
            <v>1</v>
          </cell>
          <cell r="Y390">
            <v>1</v>
          </cell>
          <cell r="Z390">
            <v>1</v>
          </cell>
          <cell r="AA390">
            <v>1</v>
          </cell>
          <cell r="AB390">
            <v>1</v>
          </cell>
        </row>
        <row r="391">
          <cell r="A391" t="str">
            <v>K50x50x4,0</v>
          </cell>
          <cell r="C391">
            <v>5.6677</v>
          </cell>
          <cell r="D391">
            <v>50</v>
          </cell>
          <cell r="E391">
            <v>50</v>
          </cell>
          <cell r="F391">
            <v>4</v>
          </cell>
          <cell r="G391">
            <v>4</v>
          </cell>
          <cell r="H391">
            <v>722</v>
          </cell>
          <cell r="I391">
            <v>253536</v>
          </cell>
          <cell r="J391">
            <v>10141</v>
          </cell>
          <cell r="K391">
            <v>12396</v>
          </cell>
          <cell r="L391">
            <v>18.7</v>
          </cell>
          <cell r="N391">
            <v>253536</v>
          </cell>
          <cell r="O391">
            <v>10141</v>
          </cell>
          <cell r="P391">
            <v>12396</v>
          </cell>
          <cell r="Q391">
            <v>18.7</v>
          </cell>
          <cell r="S391">
            <v>399313</v>
          </cell>
          <cell r="W391">
            <v>1</v>
          </cell>
          <cell r="X391">
            <v>1</v>
          </cell>
          <cell r="Y391">
            <v>1</v>
          </cell>
          <cell r="Z391">
            <v>1</v>
          </cell>
          <cell r="AA391">
            <v>1</v>
          </cell>
          <cell r="AB391">
            <v>1</v>
          </cell>
        </row>
        <row r="392">
          <cell r="A392" t="str">
            <v>K50x50x5,0</v>
          </cell>
          <cell r="C392">
            <v>6.8922999999999996</v>
          </cell>
          <cell r="D392">
            <v>50</v>
          </cell>
          <cell r="E392">
            <v>50</v>
          </cell>
          <cell r="F392">
            <v>5</v>
          </cell>
          <cell r="G392">
            <v>5</v>
          </cell>
          <cell r="H392">
            <v>878</v>
          </cell>
          <cell r="I392">
            <v>295240</v>
          </cell>
          <cell r="J392">
            <v>11809</v>
          </cell>
          <cell r="K392">
            <v>14737</v>
          </cell>
          <cell r="L392">
            <v>18.3</v>
          </cell>
          <cell r="N392">
            <v>295240</v>
          </cell>
          <cell r="O392">
            <v>11809</v>
          </cell>
          <cell r="P392">
            <v>14737</v>
          </cell>
          <cell r="Q392">
            <v>18.3</v>
          </cell>
          <cell r="S392">
            <v>471606</v>
          </cell>
          <cell r="W392">
            <v>1</v>
          </cell>
          <cell r="X392">
            <v>1</v>
          </cell>
          <cell r="Y392">
            <v>1</v>
          </cell>
          <cell r="Z392">
            <v>1</v>
          </cell>
          <cell r="AA392">
            <v>1</v>
          </cell>
          <cell r="AB392">
            <v>1</v>
          </cell>
        </row>
        <row r="393">
          <cell r="A393" t="str">
            <v>K60x60x2,9</v>
          </cell>
          <cell r="C393">
            <v>5.14175</v>
          </cell>
          <cell r="D393">
            <v>60</v>
          </cell>
          <cell r="E393">
            <v>60</v>
          </cell>
          <cell r="F393">
            <v>2.9</v>
          </cell>
          <cell r="G393">
            <v>2.9</v>
          </cell>
          <cell r="H393">
            <v>655</v>
          </cell>
          <cell r="I393">
            <v>354634</v>
          </cell>
          <cell r="J393">
            <v>11821</v>
          </cell>
          <cell r="K393">
            <v>13983</v>
          </cell>
          <cell r="L393">
            <v>23.3</v>
          </cell>
          <cell r="N393">
            <v>354634</v>
          </cell>
          <cell r="O393">
            <v>11821</v>
          </cell>
          <cell r="P393">
            <v>13983</v>
          </cell>
          <cell r="Q393">
            <v>23.3</v>
          </cell>
          <cell r="S393">
            <v>547073</v>
          </cell>
          <cell r="W393">
            <v>1</v>
          </cell>
          <cell r="X393">
            <v>1</v>
          </cell>
          <cell r="Y393">
            <v>1</v>
          </cell>
          <cell r="Z393">
            <v>1</v>
          </cell>
          <cell r="AA393">
            <v>1</v>
          </cell>
          <cell r="AB393">
            <v>1</v>
          </cell>
        </row>
        <row r="394">
          <cell r="A394" t="str">
            <v>K60x60x4,0</v>
          </cell>
          <cell r="C394">
            <v>6.9236999999999993</v>
          </cell>
          <cell r="D394">
            <v>60</v>
          </cell>
          <cell r="E394">
            <v>60</v>
          </cell>
          <cell r="F394">
            <v>4</v>
          </cell>
          <cell r="G394">
            <v>4</v>
          </cell>
          <cell r="H394">
            <v>882</v>
          </cell>
          <cell r="I394">
            <v>459055</v>
          </cell>
          <cell r="J394">
            <v>15301</v>
          </cell>
          <cell r="K394">
            <v>18448</v>
          </cell>
          <cell r="L394">
            <v>22.8</v>
          </cell>
          <cell r="N394">
            <v>459055</v>
          </cell>
          <cell r="O394">
            <v>15301</v>
          </cell>
          <cell r="P394">
            <v>18448</v>
          </cell>
          <cell r="Q394">
            <v>22.8</v>
          </cell>
          <cell r="S394">
            <v>716544</v>
          </cell>
          <cell r="W394">
            <v>1</v>
          </cell>
          <cell r="X394">
            <v>1</v>
          </cell>
          <cell r="Y394">
            <v>1</v>
          </cell>
          <cell r="Z394">
            <v>1</v>
          </cell>
          <cell r="AA394">
            <v>1</v>
          </cell>
          <cell r="AB394">
            <v>1</v>
          </cell>
        </row>
        <row r="395">
          <cell r="A395" t="str">
            <v>K60x60x5,0</v>
          </cell>
          <cell r="C395">
            <v>8.462299999999999</v>
          </cell>
          <cell r="D395">
            <v>60</v>
          </cell>
          <cell r="E395">
            <v>60</v>
          </cell>
          <cell r="F395">
            <v>5</v>
          </cell>
          <cell r="G395">
            <v>5</v>
          </cell>
          <cell r="H395">
            <v>1078</v>
          </cell>
          <cell r="I395">
            <v>541245</v>
          </cell>
          <cell r="J395">
            <v>18041</v>
          </cell>
          <cell r="K395">
            <v>22130</v>
          </cell>
          <cell r="L395">
            <v>22.4</v>
          </cell>
          <cell r="N395">
            <v>541245</v>
          </cell>
          <cell r="O395">
            <v>18041</v>
          </cell>
          <cell r="P395">
            <v>22130</v>
          </cell>
          <cell r="Q395">
            <v>22.4</v>
          </cell>
          <cell r="S395">
            <v>854408</v>
          </cell>
          <cell r="W395">
            <v>1</v>
          </cell>
          <cell r="X395">
            <v>1</v>
          </cell>
          <cell r="Y395">
            <v>1</v>
          </cell>
          <cell r="Z395">
            <v>1</v>
          </cell>
          <cell r="AA395">
            <v>1</v>
          </cell>
          <cell r="AB395">
            <v>1</v>
          </cell>
        </row>
        <row r="396">
          <cell r="A396" t="str">
            <v>K60x60x6,3</v>
          </cell>
          <cell r="C396">
            <v>10.354149999999999</v>
          </cell>
          <cell r="D396">
            <v>60</v>
          </cell>
          <cell r="E396">
            <v>60</v>
          </cell>
          <cell r="F396">
            <v>6.3</v>
          </cell>
          <cell r="G396">
            <v>6.3</v>
          </cell>
          <cell r="H396">
            <v>1319</v>
          </cell>
          <cell r="I396">
            <v>631437</v>
          </cell>
          <cell r="J396">
            <v>21047</v>
          </cell>
          <cell r="K396">
            <v>26401</v>
          </cell>
          <cell r="L396">
            <v>21.9</v>
          </cell>
          <cell r="N396">
            <v>631437</v>
          </cell>
          <cell r="O396">
            <v>21047</v>
          </cell>
          <cell r="P396">
            <v>26401</v>
          </cell>
          <cell r="Q396">
            <v>21.9</v>
          </cell>
          <cell r="S396">
            <v>1012327</v>
          </cell>
          <cell r="W396">
            <v>1</v>
          </cell>
          <cell r="X396">
            <v>1</v>
          </cell>
          <cell r="Y396">
            <v>1</v>
          </cell>
          <cell r="Z396">
            <v>1</v>
          </cell>
          <cell r="AA396">
            <v>1</v>
          </cell>
          <cell r="AB396">
            <v>1</v>
          </cell>
        </row>
        <row r="397">
          <cell r="A397" t="str">
            <v>K60x60x7,1</v>
          </cell>
          <cell r="C397">
            <v>11.453149999999999</v>
          </cell>
          <cell r="D397">
            <v>60</v>
          </cell>
          <cell r="E397">
            <v>60</v>
          </cell>
          <cell r="F397">
            <v>7.1</v>
          </cell>
          <cell r="G397">
            <v>7.1</v>
          </cell>
          <cell r="H397">
            <v>1459</v>
          </cell>
          <cell r="I397">
            <v>678310</v>
          </cell>
          <cell r="J397">
            <v>22610</v>
          </cell>
          <cell r="K397">
            <v>28952</v>
          </cell>
          <cell r="L397">
            <v>21.6</v>
          </cell>
          <cell r="N397">
            <v>678310</v>
          </cell>
          <cell r="O397">
            <v>22610</v>
          </cell>
          <cell r="P397">
            <v>28952</v>
          </cell>
          <cell r="Q397">
            <v>21.6</v>
          </cell>
          <cell r="S397">
            <v>1098400</v>
          </cell>
          <cell r="W397">
            <v>1</v>
          </cell>
          <cell r="X397">
            <v>1</v>
          </cell>
          <cell r="Y397">
            <v>1</v>
          </cell>
          <cell r="Z397">
            <v>1</v>
          </cell>
          <cell r="AA397">
            <v>1</v>
          </cell>
          <cell r="AB397">
            <v>1</v>
          </cell>
        </row>
        <row r="398">
          <cell r="A398" t="str">
            <v>K60x60x8,0</v>
          </cell>
          <cell r="C398">
            <v>12.63</v>
          </cell>
          <cell r="D398">
            <v>60</v>
          </cell>
          <cell r="E398">
            <v>60</v>
          </cell>
          <cell r="F398">
            <v>8</v>
          </cell>
          <cell r="G398">
            <v>8</v>
          </cell>
          <cell r="H398">
            <v>1609</v>
          </cell>
          <cell r="I398">
            <v>723800</v>
          </cell>
          <cell r="J398">
            <v>24130</v>
          </cell>
          <cell r="K398">
            <v>31150</v>
          </cell>
          <cell r="L398">
            <v>21.21</v>
          </cell>
          <cell r="N398">
            <v>723800</v>
          </cell>
          <cell r="O398">
            <v>24130</v>
          </cell>
          <cell r="P398">
            <v>31150</v>
          </cell>
          <cell r="Q398">
            <v>21.21</v>
          </cell>
          <cell r="S398">
            <v>1151500</v>
          </cell>
          <cell r="W398">
            <v>1</v>
          </cell>
          <cell r="X398">
            <v>1</v>
          </cell>
          <cell r="Y398">
            <v>1</v>
          </cell>
          <cell r="Z398">
            <v>1</v>
          </cell>
          <cell r="AA398">
            <v>1</v>
          </cell>
          <cell r="AB398">
            <v>1</v>
          </cell>
        </row>
        <row r="399">
          <cell r="A399" t="str">
            <v>K70x70x3,2</v>
          </cell>
          <cell r="C399">
            <v>6.6410999999999998</v>
          </cell>
          <cell r="D399">
            <v>70</v>
          </cell>
          <cell r="E399">
            <v>70</v>
          </cell>
          <cell r="F399">
            <v>3.2</v>
          </cell>
          <cell r="G399">
            <v>3.2</v>
          </cell>
          <cell r="H399">
            <v>846</v>
          </cell>
          <cell r="I399">
            <v>627022</v>
          </cell>
          <cell r="J399">
            <v>17914</v>
          </cell>
          <cell r="K399">
            <v>21133</v>
          </cell>
          <cell r="L399">
            <v>27.2</v>
          </cell>
          <cell r="N399">
            <v>627022</v>
          </cell>
          <cell r="O399">
            <v>17914</v>
          </cell>
          <cell r="P399">
            <v>21133</v>
          </cell>
          <cell r="Q399">
            <v>27.2</v>
          </cell>
          <cell r="S399">
            <v>965696</v>
          </cell>
          <cell r="W399">
            <v>1</v>
          </cell>
          <cell r="X399">
            <v>1</v>
          </cell>
          <cell r="Y399">
            <v>1</v>
          </cell>
          <cell r="Z399">
            <v>1</v>
          </cell>
          <cell r="AA399">
            <v>1</v>
          </cell>
          <cell r="AB399">
            <v>1</v>
          </cell>
        </row>
        <row r="400">
          <cell r="A400" t="str">
            <v>K70x70x4,0</v>
          </cell>
          <cell r="C400">
            <v>8.1797000000000004</v>
          </cell>
          <cell r="D400">
            <v>70</v>
          </cell>
          <cell r="E400">
            <v>70</v>
          </cell>
          <cell r="F400">
            <v>4</v>
          </cell>
          <cell r="G400">
            <v>4</v>
          </cell>
          <cell r="H400">
            <v>1042</v>
          </cell>
          <cell r="I400">
            <v>753487</v>
          </cell>
          <cell r="J400">
            <v>21528</v>
          </cell>
          <cell r="K400">
            <v>25699</v>
          </cell>
          <cell r="L400">
            <v>26.9</v>
          </cell>
          <cell r="N400">
            <v>753487</v>
          </cell>
          <cell r="O400">
            <v>21528</v>
          </cell>
          <cell r="P400">
            <v>25699</v>
          </cell>
          <cell r="Q400">
            <v>26.9</v>
          </cell>
          <cell r="S400">
            <v>1168861</v>
          </cell>
          <cell r="W400">
            <v>1</v>
          </cell>
          <cell r="X400">
            <v>1</v>
          </cell>
          <cell r="Y400">
            <v>1</v>
          </cell>
          <cell r="Z400">
            <v>1</v>
          </cell>
          <cell r="AA400">
            <v>1</v>
          </cell>
          <cell r="AB400">
            <v>1</v>
          </cell>
        </row>
        <row r="401">
          <cell r="A401" t="str">
            <v>K70x70x5,0</v>
          </cell>
          <cell r="C401">
            <v>10.032299999999999</v>
          </cell>
          <cell r="D401">
            <v>70</v>
          </cell>
          <cell r="E401">
            <v>70</v>
          </cell>
          <cell r="F401">
            <v>5</v>
          </cell>
          <cell r="G401">
            <v>5</v>
          </cell>
          <cell r="H401">
            <v>1278</v>
          </cell>
          <cell r="I401">
            <v>896176</v>
          </cell>
          <cell r="J401">
            <v>25605</v>
          </cell>
          <cell r="K401">
            <v>31022</v>
          </cell>
          <cell r="L401">
            <v>26.5</v>
          </cell>
          <cell r="N401">
            <v>896176</v>
          </cell>
          <cell r="O401">
            <v>25605</v>
          </cell>
          <cell r="P401">
            <v>31022</v>
          </cell>
          <cell r="Q401">
            <v>26.5</v>
          </cell>
          <cell r="S401">
            <v>1403284</v>
          </cell>
          <cell r="W401">
            <v>1</v>
          </cell>
          <cell r="X401">
            <v>1</v>
          </cell>
          <cell r="Y401">
            <v>1</v>
          </cell>
          <cell r="Z401">
            <v>1</v>
          </cell>
          <cell r="AA401">
            <v>1</v>
          </cell>
          <cell r="AB401">
            <v>1</v>
          </cell>
        </row>
        <row r="402">
          <cell r="A402" t="str">
            <v>K70x70x6,3</v>
          </cell>
          <cell r="C402">
            <v>12.33235</v>
          </cell>
          <cell r="D402">
            <v>70</v>
          </cell>
          <cell r="E402">
            <v>70</v>
          </cell>
          <cell r="F402">
            <v>6.3</v>
          </cell>
          <cell r="G402">
            <v>6.3</v>
          </cell>
          <cell r="H402">
            <v>1571</v>
          </cell>
          <cell r="I402">
            <v>1050000</v>
          </cell>
          <cell r="J402">
            <v>30220</v>
          </cell>
          <cell r="K402">
            <v>37325</v>
          </cell>
          <cell r="L402">
            <v>25.9</v>
          </cell>
          <cell r="N402">
            <v>1050000</v>
          </cell>
          <cell r="O402">
            <v>30220</v>
          </cell>
          <cell r="P402">
            <v>37325</v>
          </cell>
          <cell r="Q402">
            <v>25.9</v>
          </cell>
          <cell r="S402">
            <v>1670000</v>
          </cell>
          <cell r="W402">
            <v>1</v>
          </cell>
          <cell r="X402">
            <v>1</v>
          </cell>
          <cell r="Y402">
            <v>1</v>
          </cell>
          <cell r="Z402">
            <v>1</v>
          </cell>
          <cell r="AA402">
            <v>1</v>
          </cell>
          <cell r="AB402">
            <v>1</v>
          </cell>
        </row>
        <row r="403">
          <cell r="A403" t="str">
            <v>K80x80x3,2</v>
          </cell>
          <cell r="C403">
            <v>7.6458999999999993</v>
          </cell>
          <cell r="D403">
            <v>80</v>
          </cell>
          <cell r="E403">
            <v>80</v>
          </cell>
          <cell r="F403">
            <v>3.2</v>
          </cell>
          <cell r="G403">
            <v>3.2</v>
          </cell>
          <cell r="H403">
            <v>974</v>
          </cell>
          <cell r="I403">
            <v>954476</v>
          </cell>
          <cell r="J403">
            <v>23861</v>
          </cell>
          <cell r="K403">
            <v>27982</v>
          </cell>
          <cell r="L403">
            <v>31.3</v>
          </cell>
          <cell r="N403">
            <v>954476</v>
          </cell>
          <cell r="O403">
            <v>23861</v>
          </cell>
          <cell r="P403">
            <v>27982</v>
          </cell>
          <cell r="Q403">
            <v>31.3</v>
          </cell>
          <cell r="S403">
            <v>1464866</v>
          </cell>
          <cell r="W403">
            <v>1</v>
          </cell>
          <cell r="X403">
            <v>1</v>
          </cell>
          <cell r="Y403">
            <v>1</v>
          </cell>
          <cell r="Z403">
            <v>1</v>
          </cell>
          <cell r="AA403">
            <v>1</v>
          </cell>
          <cell r="AB403">
            <v>1</v>
          </cell>
        </row>
        <row r="404">
          <cell r="A404" t="str">
            <v>K80x80x3,6</v>
          </cell>
          <cell r="C404">
            <v>8.5486500000000003</v>
          </cell>
          <cell r="D404">
            <v>80</v>
          </cell>
          <cell r="E404">
            <v>80</v>
          </cell>
          <cell r="F404">
            <v>3.6</v>
          </cell>
          <cell r="G404">
            <v>3.6</v>
          </cell>
          <cell r="H404">
            <v>1089</v>
          </cell>
          <cell r="I404">
            <v>1050000</v>
          </cell>
          <cell r="J404">
            <v>26388</v>
          </cell>
          <cell r="K404">
            <v>31106</v>
          </cell>
          <cell r="L404">
            <v>31.1</v>
          </cell>
          <cell r="N404">
            <v>1050000</v>
          </cell>
          <cell r="O404">
            <v>26388</v>
          </cell>
          <cell r="P404">
            <v>31106</v>
          </cell>
          <cell r="Q404">
            <v>31.1</v>
          </cell>
          <cell r="S404">
            <v>1620000</v>
          </cell>
          <cell r="W404">
            <v>1</v>
          </cell>
          <cell r="X404">
            <v>1</v>
          </cell>
          <cell r="Y404">
            <v>1</v>
          </cell>
          <cell r="Z404">
            <v>1</v>
          </cell>
          <cell r="AA404">
            <v>1</v>
          </cell>
          <cell r="AB404">
            <v>1</v>
          </cell>
        </row>
        <row r="405">
          <cell r="A405" t="str">
            <v>K80x80x4,0</v>
          </cell>
          <cell r="C405">
            <v>9.4356999999999989</v>
          </cell>
          <cell r="D405">
            <v>80</v>
          </cell>
          <cell r="E405">
            <v>80</v>
          </cell>
          <cell r="F405">
            <v>4</v>
          </cell>
          <cell r="G405">
            <v>4</v>
          </cell>
          <cell r="H405">
            <v>1202</v>
          </cell>
          <cell r="I405">
            <v>1150000</v>
          </cell>
          <cell r="J405">
            <v>28820</v>
          </cell>
          <cell r="K405">
            <v>34150</v>
          </cell>
          <cell r="L405">
            <v>31</v>
          </cell>
          <cell r="N405">
            <v>1150000</v>
          </cell>
          <cell r="O405">
            <v>28820</v>
          </cell>
          <cell r="P405">
            <v>34150</v>
          </cell>
          <cell r="Q405">
            <v>31</v>
          </cell>
          <cell r="S405">
            <v>1780000</v>
          </cell>
          <cell r="W405">
            <v>1</v>
          </cell>
          <cell r="X405">
            <v>1</v>
          </cell>
          <cell r="Y405">
            <v>1</v>
          </cell>
          <cell r="Z405">
            <v>1</v>
          </cell>
          <cell r="AA405">
            <v>1</v>
          </cell>
          <cell r="AB405">
            <v>1</v>
          </cell>
        </row>
        <row r="406">
          <cell r="A406" t="str">
            <v>K80x80x4,5</v>
          </cell>
          <cell r="C406">
            <v>10.52685</v>
          </cell>
          <cell r="D406">
            <v>80</v>
          </cell>
          <cell r="E406">
            <v>80</v>
          </cell>
          <cell r="F406">
            <v>4.5</v>
          </cell>
          <cell r="G406">
            <v>4.5</v>
          </cell>
          <cell r="H406">
            <v>1341</v>
          </cell>
          <cell r="I406">
            <v>1260000</v>
          </cell>
          <cell r="J406">
            <v>31731</v>
          </cell>
          <cell r="K406">
            <v>37844</v>
          </cell>
          <cell r="L406">
            <v>30.8</v>
          </cell>
          <cell r="N406">
            <v>1260000</v>
          </cell>
          <cell r="O406">
            <v>31731</v>
          </cell>
          <cell r="P406">
            <v>37844</v>
          </cell>
          <cell r="Q406">
            <v>31.8</v>
          </cell>
          <cell r="S406">
            <v>1960000</v>
          </cell>
          <cell r="W406">
            <v>1</v>
          </cell>
          <cell r="X406">
            <v>1</v>
          </cell>
          <cell r="Y406">
            <v>1</v>
          </cell>
          <cell r="Z406">
            <v>1</v>
          </cell>
          <cell r="AA406">
            <v>1</v>
          </cell>
          <cell r="AB406">
            <v>1</v>
          </cell>
        </row>
        <row r="407">
          <cell r="A407" t="str">
            <v>K80x80x5,0</v>
          </cell>
          <cell r="C407">
            <v>11.6023</v>
          </cell>
          <cell r="D407">
            <v>80</v>
          </cell>
          <cell r="E407">
            <v>80</v>
          </cell>
          <cell r="F407">
            <v>5</v>
          </cell>
          <cell r="G407">
            <v>5</v>
          </cell>
          <cell r="H407">
            <v>1478</v>
          </cell>
          <cell r="I407">
            <v>1380000</v>
          </cell>
          <cell r="J407">
            <v>34500</v>
          </cell>
          <cell r="K407">
            <v>41415</v>
          </cell>
          <cell r="L407">
            <v>30.6</v>
          </cell>
          <cell r="N407">
            <v>1380000</v>
          </cell>
          <cell r="O407">
            <v>34500</v>
          </cell>
          <cell r="P407">
            <v>41415</v>
          </cell>
          <cell r="Q407">
            <v>30.6</v>
          </cell>
          <cell r="S407">
            <v>2140000</v>
          </cell>
          <cell r="W407">
            <v>1</v>
          </cell>
          <cell r="X407">
            <v>1</v>
          </cell>
          <cell r="Y407">
            <v>1</v>
          </cell>
          <cell r="Z407">
            <v>1</v>
          </cell>
          <cell r="AA407">
            <v>1</v>
          </cell>
          <cell r="AB407">
            <v>1</v>
          </cell>
        </row>
        <row r="408">
          <cell r="A408" t="str">
            <v>K80x80x5,6</v>
          </cell>
          <cell r="C408">
            <v>12.866149999999999</v>
          </cell>
          <cell r="D408">
            <v>80</v>
          </cell>
          <cell r="E408">
            <v>80</v>
          </cell>
          <cell r="F408">
            <v>5.6</v>
          </cell>
          <cell r="G408">
            <v>5.6</v>
          </cell>
          <cell r="H408">
            <v>1639</v>
          </cell>
          <cell r="I408">
            <v>1500000</v>
          </cell>
          <cell r="J408">
            <v>37644</v>
          </cell>
          <cell r="K408">
            <v>45541</v>
          </cell>
          <cell r="L408">
            <v>30.3</v>
          </cell>
          <cell r="N408">
            <v>1500000</v>
          </cell>
          <cell r="O408">
            <v>37644</v>
          </cell>
          <cell r="P408">
            <v>45541</v>
          </cell>
          <cell r="Q408">
            <v>31.3</v>
          </cell>
          <cell r="S408">
            <v>2350000</v>
          </cell>
          <cell r="W408">
            <v>1</v>
          </cell>
          <cell r="X408">
            <v>1</v>
          </cell>
          <cell r="Y408">
            <v>1</v>
          </cell>
          <cell r="Z408">
            <v>1</v>
          </cell>
          <cell r="AA408">
            <v>1</v>
          </cell>
          <cell r="AB408">
            <v>1</v>
          </cell>
        </row>
        <row r="409">
          <cell r="A409" t="str">
            <v>K80x80x6,3</v>
          </cell>
          <cell r="C409">
            <v>14.310549999999999</v>
          </cell>
          <cell r="D409">
            <v>80</v>
          </cell>
          <cell r="E409">
            <v>80</v>
          </cell>
          <cell r="F409">
            <v>6.3</v>
          </cell>
          <cell r="G409">
            <v>6.3</v>
          </cell>
          <cell r="H409">
            <v>1823</v>
          </cell>
          <cell r="I409">
            <v>1640000</v>
          </cell>
          <cell r="J409">
            <v>41070</v>
          </cell>
          <cell r="K409">
            <v>50139</v>
          </cell>
          <cell r="L409">
            <v>30</v>
          </cell>
          <cell r="N409">
            <v>1640000</v>
          </cell>
          <cell r="O409">
            <v>41070</v>
          </cell>
          <cell r="P409">
            <v>50139</v>
          </cell>
          <cell r="Q409">
            <v>30</v>
          </cell>
          <cell r="S409">
            <v>2580000</v>
          </cell>
          <cell r="W409">
            <v>1</v>
          </cell>
          <cell r="X409">
            <v>1</v>
          </cell>
          <cell r="Y409">
            <v>1</v>
          </cell>
          <cell r="Z409">
            <v>1</v>
          </cell>
          <cell r="AA409">
            <v>1</v>
          </cell>
          <cell r="AB409">
            <v>1</v>
          </cell>
        </row>
        <row r="410">
          <cell r="A410" t="str">
            <v>K80x80x7,1</v>
          </cell>
          <cell r="C410">
            <v>15.911949999999999</v>
          </cell>
          <cell r="D410">
            <v>80</v>
          </cell>
          <cell r="E410">
            <v>80</v>
          </cell>
          <cell r="F410">
            <v>7.1</v>
          </cell>
          <cell r="G410">
            <v>7.1</v>
          </cell>
          <cell r="H410">
            <v>2027</v>
          </cell>
          <cell r="I410">
            <v>1780000</v>
          </cell>
          <cell r="J410">
            <v>44681</v>
          </cell>
          <cell r="K410">
            <v>55115</v>
          </cell>
          <cell r="L410">
            <v>29.7</v>
          </cell>
          <cell r="N410">
            <v>1780000</v>
          </cell>
          <cell r="O410">
            <v>44681</v>
          </cell>
          <cell r="P410">
            <v>55115</v>
          </cell>
          <cell r="Q410">
            <v>29.7</v>
          </cell>
          <cell r="S410">
            <v>2830000</v>
          </cell>
          <cell r="W410">
            <v>1</v>
          </cell>
          <cell r="X410">
            <v>1</v>
          </cell>
          <cell r="Y410">
            <v>1</v>
          </cell>
          <cell r="Z410">
            <v>1</v>
          </cell>
          <cell r="AA410">
            <v>1</v>
          </cell>
          <cell r="AB410">
            <v>1</v>
          </cell>
        </row>
        <row r="411">
          <cell r="A411" t="str">
            <v>K80x80x8,0</v>
          </cell>
          <cell r="C411">
            <v>17.65465</v>
          </cell>
          <cell r="D411">
            <v>80</v>
          </cell>
          <cell r="E411">
            <v>80</v>
          </cell>
          <cell r="F411">
            <v>8</v>
          </cell>
          <cell r="G411">
            <v>8</v>
          </cell>
          <cell r="H411">
            <v>2249</v>
          </cell>
          <cell r="I411">
            <v>1930000</v>
          </cell>
          <cell r="J411">
            <v>48372</v>
          </cell>
          <cell r="K411">
            <v>60364</v>
          </cell>
          <cell r="L411">
            <v>29.3</v>
          </cell>
          <cell r="N411">
            <v>1930000</v>
          </cell>
          <cell r="O411">
            <v>48372</v>
          </cell>
          <cell r="P411">
            <v>60364</v>
          </cell>
          <cell r="Q411">
            <v>29.3</v>
          </cell>
          <cell r="S411">
            <v>3090000</v>
          </cell>
          <cell r="W411">
            <v>1</v>
          </cell>
          <cell r="X411">
            <v>1</v>
          </cell>
          <cell r="Y411">
            <v>1</v>
          </cell>
          <cell r="Z411">
            <v>1</v>
          </cell>
          <cell r="AA411">
            <v>1</v>
          </cell>
          <cell r="AB411">
            <v>1</v>
          </cell>
        </row>
        <row r="412">
          <cell r="A412" t="str">
            <v>K80x80x8,8</v>
          </cell>
          <cell r="C412">
            <v>19.146149999999999</v>
          </cell>
          <cell r="D412">
            <v>80</v>
          </cell>
          <cell r="E412">
            <v>80</v>
          </cell>
          <cell r="F412">
            <v>8.8000000000000007</v>
          </cell>
          <cell r="G412">
            <v>8.8000000000000007</v>
          </cell>
          <cell r="H412">
            <v>2439</v>
          </cell>
          <cell r="I412">
            <v>2050000</v>
          </cell>
          <cell r="J412">
            <v>51338</v>
          </cell>
          <cell r="K412">
            <v>64729</v>
          </cell>
          <cell r="L412">
            <v>29</v>
          </cell>
          <cell r="N412">
            <v>2050000</v>
          </cell>
          <cell r="O412">
            <v>51338</v>
          </cell>
          <cell r="P412">
            <v>64729</v>
          </cell>
          <cell r="Q412">
            <v>29</v>
          </cell>
          <cell r="S412">
            <v>3300000</v>
          </cell>
          <cell r="W412">
            <v>1</v>
          </cell>
          <cell r="X412">
            <v>1</v>
          </cell>
          <cell r="Y412">
            <v>1</v>
          </cell>
          <cell r="Z412">
            <v>1</v>
          </cell>
          <cell r="AA412">
            <v>1</v>
          </cell>
          <cell r="AB412">
            <v>1</v>
          </cell>
        </row>
        <row r="413">
          <cell r="A413" t="str">
            <v>K90x90x3,6</v>
          </cell>
          <cell r="C413">
            <v>9.6790500000000002</v>
          </cell>
          <cell r="D413">
            <v>90</v>
          </cell>
          <cell r="E413">
            <v>90</v>
          </cell>
          <cell r="F413">
            <v>3.6</v>
          </cell>
          <cell r="G413">
            <v>3.6</v>
          </cell>
          <cell r="H413">
            <v>1233</v>
          </cell>
          <cell r="I413">
            <v>1520000</v>
          </cell>
          <cell r="J413">
            <v>33975</v>
          </cell>
          <cell r="K413">
            <v>39842</v>
          </cell>
          <cell r="L413">
            <v>35.200000000000003</v>
          </cell>
          <cell r="N413">
            <v>1520000</v>
          </cell>
          <cell r="O413">
            <v>33975</v>
          </cell>
          <cell r="P413">
            <v>39842</v>
          </cell>
          <cell r="Q413">
            <v>35.200000000000003</v>
          </cell>
          <cell r="S413">
            <v>2340000</v>
          </cell>
          <cell r="W413">
            <v>1</v>
          </cell>
          <cell r="X413">
            <v>1</v>
          </cell>
          <cell r="Y413">
            <v>1</v>
          </cell>
          <cell r="Z413">
            <v>1</v>
          </cell>
          <cell r="AA413">
            <v>1</v>
          </cell>
          <cell r="AB413">
            <v>1</v>
          </cell>
        </row>
        <row r="414">
          <cell r="A414" t="str">
            <v>K90x90x4,0</v>
          </cell>
          <cell r="C414">
            <v>10.691699999999999</v>
          </cell>
          <cell r="D414">
            <v>90</v>
          </cell>
          <cell r="E414">
            <v>90</v>
          </cell>
          <cell r="F414">
            <v>4</v>
          </cell>
          <cell r="G414">
            <v>4</v>
          </cell>
          <cell r="H414">
            <v>1362</v>
          </cell>
          <cell r="I414">
            <v>1670000</v>
          </cell>
          <cell r="J414">
            <v>37179</v>
          </cell>
          <cell r="K414">
            <v>43802</v>
          </cell>
          <cell r="L414">
            <v>35</v>
          </cell>
          <cell r="N414">
            <v>1670000</v>
          </cell>
          <cell r="O414">
            <v>37179</v>
          </cell>
          <cell r="P414">
            <v>43802</v>
          </cell>
          <cell r="Q414">
            <v>35</v>
          </cell>
          <cell r="S414">
            <v>2570000</v>
          </cell>
          <cell r="W414">
            <v>1</v>
          </cell>
          <cell r="X414">
            <v>1</v>
          </cell>
          <cell r="Y414">
            <v>1</v>
          </cell>
          <cell r="Z414">
            <v>1</v>
          </cell>
          <cell r="AA414">
            <v>1</v>
          </cell>
          <cell r="AB414">
            <v>1</v>
          </cell>
        </row>
        <row r="415">
          <cell r="A415" t="str">
            <v>K90x90x4,5</v>
          </cell>
          <cell r="C415">
            <v>11.93985</v>
          </cell>
          <cell r="D415">
            <v>90</v>
          </cell>
          <cell r="E415">
            <v>90</v>
          </cell>
          <cell r="F415">
            <v>4.5</v>
          </cell>
          <cell r="G415">
            <v>4.5</v>
          </cell>
          <cell r="H415">
            <v>1521</v>
          </cell>
          <cell r="I415">
            <v>1840000</v>
          </cell>
          <cell r="J415">
            <v>41035</v>
          </cell>
          <cell r="K415">
            <v>48625</v>
          </cell>
          <cell r="L415">
            <v>34.799999999999997</v>
          </cell>
          <cell r="N415">
            <v>1840000</v>
          </cell>
          <cell r="O415">
            <v>41035</v>
          </cell>
          <cell r="P415">
            <v>48625</v>
          </cell>
          <cell r="Q415">
            <v>34.799999999999997</v>
          </cell>
          <cell r="S415">
            <v>2850000</v>
          </cell>
          <cell r="W415">
            <v>1</v>
          </cell>
          <cell r="X415">
            <v>1</v>
          </cell>
          <cell r="Y415">
            <v>1</v>
          </cell>
          <cell r="Z415">
            <v>1</v>
          </cell>
          <cell r="AA415">
            <v>1</v>
          </cell>
          <cell r="AB415">
            <v>1</v>
          </cell>
        </row>
        <row r="416">
          <cell r="A416" t="str">
            <v>K90x90x5,0</v>
          </cell>
          <cell r="C416">
            <v>13.1723</v>
          </cell>
          <cell r="D416">
            <v>90</v>
          </cell>
          <cell r="E416">
            <v>90</v>
          </cell>
          <cell r="F416">
            <v>5</v>
          </cell>
          <cell r="G416">
            <v>5</v>
          </cell>
          <cell r="H416">
            <v>1678</v>
          </cell>
          <cell r="I416">
            <v>2010000</v>
          </cell>
          <cell r="J416">
            <v>44729</v>
          </cell>
          <cell r="K416">
            <v>53308</v>
          </cell>
          <cell r="L416">
            <v>34.6</v>
          </cell>
          <cell r="N416">
            <v>2010000</v>
          </cell>
          <cell r="O416">
            <v>44729</v>
          </cell>
          <cell r="P416">
            <v>53308</v>
          </cell>
          <cell r="Q416">
            <v>34.6</v>
          </cell>
          <cell r="S416">
            <v>3110000</v>
          </cell>
          <cell r="W416">
            <v>1</v>
          </cell>
          <cell r="X416">
            <v>1</v>
          </cell>
          <cell r="Y416">
            <v>1</v>
          </cell>
          <cell r="Z416">
            <v>1</v>
          </cell>
          <cell r="AA416">
            <v>1</v>
          </cell>
          <cell r="AB416">
            <v>1</v>
          </cell>
        </row>
        <row r="417">
          <cell r="A417" t="str">
            <v>K90x90x5,6</v>
          </cell>
          <cell r="C417">
            <v>14.624549999999999</v>
          </cell>
          <cell r="D417">
            <v>90</v>
          </cell>
          <cell r="E417">
            <v>90</v>
          </cell>
          <cell r="F417">
            <v>5.6</v>
          </cell>
          <cell r="G417">
            <v>5.6</v>
          </cell>
          <cell r="H417">
            <v>1863</v>
          </cell>
          <cell r="I417">
            <v>2200000</v>
          </cell>
          <cell r="J417">
            <v>48952</v>
          </cell>
          <cell r="K417">
            <v>58746</v>
          </cell>
          <cell r="L417">
            <v>34.4</v>
          </cell>
          <cell r="N417">
            <v>2200000</v>
          </cell>
          <cell r="O417">
            <v>48952</v>
          </cell>
          <cell r="P417">
            <v>58746</v>
          </cell>
          <cell r="Q417">
            <v>34.4</v>
          </cell>
          <cell r="S417">
            <v>3420000</v>
          </cell>
          <cell r="W417">
            <v>1</v>
          </cell>
          <cell r="X417">
            <v>1</v>
          </cell>
          <cell r="Y417">
            <v>1</v>
          </cell>
          <cell r="Z417">
            <v>1</v>
          </cell>
          <cell r="AA417">
            <v>1</v>
          </cell>
          <cell r="AB417">
            <v>1</v>
          </cell>
        </row>
        <row r="418">
          <cell r="A418" t="str">
            <v>K90x90x7,1</v>
          </cell>
          <cell r="C418">
            <v>18.141349999999999</v>
          </cell>
          <cell r="D418">
            <v>90</v>
          </cell>
          <cell r="E418">
            <v>90</v>
          </cell>
          <cell r="F418">
            <v>7.1</v>
          </cell>
          <cell r="G418">
            <v>7.1</v>
          </cell>
          <cell r="H418">
            <v>2311</v>
          </cell>
          <cell r="I418">
            <v>2630000</v>
          </cell>
          <cell r="J418">
            <v>58551</v>
          </cell>
          <cell r="K418">
            <v>71491</v>
          </cell>
          <cell r="L418">
            <v>33.799999999999997</v>
          </cell>
          <cell r="N418">
            <v>2630000</v>
          </cell>
          <cell r="O418">
            <v>58551</v>
          </cell>
          <cell r="P418">
            <v>71491</v>
          </cell>
          <cell r="Q418">
            <v>33.799999999999997</v>
          </cell>
          <cell r="S418">
            <v>4140000</v>
          </cell>
          <cell r="W418">
            <v>1</v>
          </cell>
          <cell r="X418">
            <v>1</v>
          </cell>
          <cell r="Y418">
            <v>1</v>
          </cell>
          <cell r="Z418">
            <v>1</v>
          </cell>
          <cell r="AA418">
            <v>1</v>
          </cell>
          <cell r="AB418">
            <v>1</v>
          </cell>
        </row>
        <row r="419">
          <cell r="A419" t="str">
            <v>K90x90x8,0</v>
          </cell>
          <cell r="C419">
            <v>20.166650000000001</v>
          </cell>
          <cell r="D419">
            <v>90</v>
          </cell>
          <cell r="E419">
            <v>90</v>
          </cell>
          <cell r="F419">
            <v>8</v>
          </cell>
          <cell r="G419">
            <v>8</v>
          </cell>
          <cell r="H419">
            <v>2569</v>
          </cell>
          <cell r="I419">
            <v>2860000</v>
          </cell>
          <cell r="J419">
            <v>63686</v>
          </cell>
          <cell r="K419">
            <v>78569</v>
          </cell>
          <cell r="L419">
            <v>33.4</v>
          </cell>
          <cell r="N419">
            <v>2860000</v>
          </cell>
          <cell r="O419">
            <v>63686</v>
          </cell>
          <cell r="P419">
            <v>78569</v>
          </cell>
          <cell r="Q419">
            <v>33.4</v>
          </cell>
          <cell r="S419">
            <v>4540000</v>
          </cell>
          <cell r="W419">
            <v>1</v>
          </cell>
          <cell r="X419">
            <v>1</v>
          </cell>
          <cell r="Y419">
            <v>1</v>
          </cell>
          <cell r="Z419">
            <v>1</v>
          </cell>
          <cell r="AA419">
            <v>1</v>
          </cell>
          <cell r="AB419">
            <v>1</v>
          </cell>
        </row>
        <row r="420">
          <cell r="A420" t="str">
            <v>K90x90x8,8</v>
          </cell>
          <cell r="C420">
            <v>21.90935</v>
          </cell>
          <cell r="D420">
            <v>90</v>
          </cell>
          <cell r="E420">
            <v>90</v>
          </cell>
          <cell r="F420">
            <v>8.8000000000000007</v>
          </cell>
          <cell r="G420">
            <v>8.8000000000000007</v>
          </cell>
          <cell r="H420">
            <v>2791</v>
          </cell>
          <cell r="I420">
            <v>3050000</v>
          </cell>
          <cell r="J420">
            <v>67878</v>
          </cell>
          <cell r="K420">
            <v>84513</v>
          </cell>
          <cell r="L420">
            <v>33.1</v>
          </cell>
          <cell r="N420">
            <v>3050000</v>
          </cell>
          <cell r="O420">
            <v>67878</v>
          </cell>
          <cell r="P420">
            <v>84513</v>
          </cell>
          <cell r="Q420">
            <v>33.1</v>
          </cell>
          <cell r="S420">
            <v>4870000</v>
          </cell>
          <cell r="W420">
            <v>1</v>
          </cell>
          <cell r="X420">
            <v>1</v>
          </cell>
          <cell r="Y420">
            <v>1</v>
          </cell>
          <cell r="Z420">
            <v>1</v>
          </cell>
          <cell r="AA420">
            <v>1</v>
          </cell>
          <cell r="AB420">
            <v>1</v>
          </cell>
        </row>
        <row r="421">
          <cell r="A421" t="str">
            <v>K90x90x10,0</v>
          </cell>
          <cell r="D421">
            <v>90</v>
          </cell>
          <cell r="E421">
            <v>90</v>
          </cell>
          <cell r="F421">
            <v>10</v>
          </cell>
          <cell r="G421">
            <v>10</v>
          </cell>
          <cell r="H421">
            <v>3114</v>
          </cell>
          <cell r="I421">
            <v>3300000</v>
          </cell>
          <cell r="J421">
            <v>73541</v>
          </cell>
          <cell r="K421">
            <v>92828</v>
          </cell>
          <cell r="L421">
            <v>32.6</v>
          </cell>
          <cell r="N421">
            <v>3300000</v>
          </cell>
          <cell r="O421">
            <v>73541</v>
          </cell>
          <cell r="P421">
            <v>92828</v>
          </cell>
          <cell r="Q421">
            <v>32.6</v>
          </cell>
          <cell r="S421">
            <v>5330000</v>
          </cell>
          <cell r="W421">
            <v>1</v>
          </cell>
          <cell r="X421">
            <v>1</v>
          </cell>
          <cell r="Y421">
            <v>1</v>
          </cell>
          <cell r="Z421">
            <v>1</v>
          </cell>
          <cell r="AA421">
            <v>1</v>
          </cell>
          <cell r="AB421">
            <v>1</v>
          </cell>
        </row>
        <row r="422">
          <cell r="A422" t="str">
            <v>K100x100x3,6</v>
          </cell>
          <cell r="C422">
            <v>10.80945</v>
          </cell>
          <cell r="D422">
            <v>100</v>
          </cell>
          <cell r="E422">
            <v>100</v>
          </cell>
          <cell r="F422">
            <v>3.6</v>
          </cell>
          <cell r="G422">
            <v>3.6</v>
          </cell>
          <cell r="H422">
            <v>1377</v>
          </cell>
          <cell r="I422">
            <v>2120000</v>
          </cell>
          <cell r="J422">
            <v>42521</v>
          </cell>
          <cell r="K422">
            <v>49658</v>
          </cell>
          <cell r="L422">
            <v>39.299999999999997</v>
          </cell>
          <cell r="N422">
            <v>2120000</v>
          </cell>
          <cell r="O422">
            <v>42521</v>
          </cell>
          <cell r="P422">
            <v>49658</v>
          </cell>
          <cell r="Q422">
            <v>39.299999999999997</v>
          </cell>
          <cell r="S422">
            <v>3250000</v>
          </cell>
          <cell r="W422">
            <v>1</v>
          </cell>
          <cell r="X422">
            <v>1</v>
          </cell>
          <cell r="Y422">
            <v>1</v>
          </cell>
          <cell r="Z422">
            <v>1</v>
          </cell>
          <cell r="AA422">
            <v>1</v>
          </cell>
          <cell r="AB422">
            <v>1</v>
          </cell>
        </row>
        <row r="423">
          <cell r="A423" t="str">
            <v>K100x100x4,0</v>
          </cell>
          <cell r="C423">
            <v>11.947699999999999</v>
          </cell>
          <cell r="D423">
            <v>100</v>
          </cell>
          <cell r="E423">
            <v>100</v>
          </cell>
          <cell r="F423">
            <v>4</v>
          </cell>
          <cell r="G423">
            <v>4</v>
          </cell>
          <cell r="H423">
            <v>1522</v>
          </cell>
          <cell r="I423">
            <v>2330000</v>
          </cell>
          <cell r="J423">
            <v>46605</v>
          </cell>
          <cell r="K423">
            <v>54653</v>
          </cell>
          <cell r="L423">
            <v>39.1</v>
          </cell>
          <cell r="N423">
            <v>2330000</v>
          </cell>
          <cell r="O423">
            <v>46605</v>
          </cell>
          <cell r="P423">
            <v>54653</v>
          </cell>
          <cell r="Q423">
            <v>39.1</v>
          </cell>
          <cell r="S423">
            <v>3570000</v>
          </cell>
          <cell r="W423">
            <v>1</v>
          </cell>
          <cell r="X423">
            <v>1</v>
          </cell>
          <cell r="Y423">
            <v>1</v>
          </cell>
          <cell r="Z423">
            <v>1</v>
          </cell>
          <cell r="AA423">
            <v>1</v>
          </cell>
          <cell r="AB423">
            <v>1</v>
          </cell>
        </row>
        <row r="424">
          <cell r="A424" t="str">
            <v>K100x100x5,0</v>
          </cell>
          <cell r="C424">
            <v>14.7423</v>
          </cell>
          <cell r="D424">
            <v>100</v>
          </cell>
          <cell r="E424">
            <v>100</v>
          </cell>
          <cell r="F424">
            <v>5</v>
          </cell>
          <cell r="G424">
            <v>5</v>
          </cell>
          <cell r="H424">
            <v>1878</v>
          </cell>
          <cell r="I424">
            <v>2810000</v>
          </cell>
          <cell r="J424">
            <v>56290</v>
          </cell>
          <cell r="K424">
            <v>66701</v>
          </cell>
          <cell r="L424">
            <v>38.700000000000003</v>
          </cell>
          <cell r="N424">
            <v>2810000</v>
          </cell>
          <cell r="O424">
            <v>56290</v>
          </cell>
          <cell r="P424">
            <v>66701</v>
          </cell>
          <cell r="Q424">
            <v>38.700000000000003</v>
          </cell>
          <cell r="S424">
            <v>4340000</v>
          </cell>
          <cell r="W424">
            <v>1</v>
          </cell>
          <cell r="X424">
            <v>1</v>
          </cell>
          <cell r="Y424">
            <v>1</v>
          </cell>
          <cell r="Z424">
            <v>1</v>
          </cell>
          <cell r="AA424">
            <v>1</v>
          </cell>
          <cell r="AB424">
            <v>1</v>
          </cell>
        </row>
        <row r="425">
          <cell r="A425" t="str">
            <v>K100x100x6,3</v>
          </cell>
          <cell r="C425">
            <v>18.266949999999998</v>
          </cell>
          <cell r="D425">
            <v>100</v>
          </cell>
          <cell r="E425">
            <v>100</v>
          </cell>
          <cell r="F425">
            <v>6.3</v>
          </cell>
          <cell r="G425">
            <v>6.3</v>
          </cell>
          <cell r="H425">
            <v>2327</v>
          </cell>
          <cell r="I425">
            <v>3390000</v>
          </cell>
          <cell r="J425">
            <v>67805</v>
          </cell>
          <cell r="K425">
            <v>81437</v>
          </cell>
          <cell r="L425">
            <v>38.200000000000003</v>
          </cell>
          <cell r="N425">
            <v>3390000</v>
          </cell>
          <cell r="O425">
            <v>67805</v>
          </cell>
          <cell r="P425">
            <v>81437</v>
          </cell>
          <cell r="Q425">
            <v>38.200000000000003</v>
          </cell>
          <cell r="S425">
            <v>5270000</v>
          </cell>
          <cell r="W425">
            <v>1</v>
          </cell>
          <cell r="X425">
            <v>1</v>
          </cell>
          <cell r="Y425">
            <v>1</v>
          </cell>
          <cell r="Z425">
            <v>1</v>
          </cell>
          <cell r="AA425">
            <v>1</v>
          </cell>
          <cell r="AB425">
            <v>1</v>
          </cell>
        </row>
        <row r="426">
          <cell r="A426" t="str">
            <v>K100x100x8,0</v>
          </cell>
          <cell r="C426">
            <v>22.678649999999998</v>
          </cell>
          <cell r="D426">
            <v>100</v>
          </cell>
          <cell r="E426">
            <v>100</v>
          </cell>
          <cell r="F426">
            <v>8</v>
          </cell>
          <cell r="G426">
            <v>8</v>
          </cell>
          <cell r="H426">
            <v>2889</v>
          </cell>
          <cell r="I426">
            <v>4050000</v>
          </cell>
          <cell r="J426">
            <v>81131</v>
          </cell>
          <cell r="K426">
            <v>99175</v>
          </cell>
          <cell r="L426">
            <v>37.5</v>
          </cell>
          <cell r="N426">
            <v>4050000</v>
          </cell>
          <cell r="O426">
            <v>81131</v>
          </cell>
          <cell r="P426">
            <v>99175</v>
          </cell>
          <cell r="Q426">
            <v>37.5</v>
          </cell>
          <cell r="S426">
            <v>6380000</v>
          </cell>
          <cell r="W426">
            <v>1</v>
          </cell>
          <cell r="X426">
            <v>1</v>
          </cell>
          <cell r="Y426">
            <v>1</v>
          </cell>
          <cell r="Z426">
            <v>1</v>
          </cell>
          <cell r="AA426">
            <v>1</v>
          </cell>
          <cell r="AB426">
            <v>1</v>
          </cell>
        </row>
        <row r="427">
          <cell r="A427" t="str">
            <v>K100x100x10,0</v>
          </cell>
          <cell r="C427">
            <v>27.584899999999998</v>
          </cell>
          <cell r="D427">
            <v>100</v>
          </cell>
          <cell r="E427">
            <v>100</v>
          </cell>
          <cell r="F427">
            <v>10</v>
          </cell>
          <cell r="G427">
            <v>10</v>
          </cell>
          <cell r="H427">
            <v>3514</v>
          </cell>
          <cell r="I427">
            <v>4720000</v>
          </cell>
          <cell r="J427">
            <v>94476</v>
          </cell>
          <cell r="K427">
            <v>117899</v>
          </cell>
          <cell r="L427">
            <v>36.700000000000003</v>
          </cell>
          <cell r="N427">
            <v>4720000</v>
          </cell>
          <cell r="O427">
            <v>94476</v>
          </cell>
          <cell r="P427">
            <v>117899</v>
          </cell>
          <cell r="Q427">
            <v>36.700000000000003</v>
          </cell>
          <cell r="S427">
            <v>7540000</v>
          </cell>
          <cell r="W427">
            <v>1</v>
          </cell>
          <cell r="X427">
            <v>1</v>
          </cell>
          <cell r="Y427">
            <v>1</v>
          </cell>
          <cell r="Z427">
            <v>1</v>
          </cell>
          <cell r="AA427">
            <v>1</v>
          </cell>
          <cell r="AB427">
            <v>1</v>
          </cell>
        </row>
        <row r="428">
          <cell r="A428" t="str">
            <v>K110x110x4,0</v>
          </cell>
          <cell r="C428">
            <v>13.11735</v>
          </cell>
          <cell r="D428">
            <v>110</v>
          </cell>
          <cell r="E428">
            <v>110</v>
          </cell>
          <cell r="F428">
            <v>4</v>
          </cell>
          <cell r="G428">
            <v>4</v>
          </cell>
          <cell r="H428">
            <v>1671</v>
          </cell>
          <cell r="I428">
            <v>3100000</v>
          </cell>
          <cell r="J428">
            <v>56516</v>
          </cell>
          <cell r="K428">
            <v>66112</v>
          </cell>
          <cell r="L428">
            <v>43.1</v>
          </cell>
          <cell r="N428">
            <v>3100000</v>
          </cell>
          <cell r="O428">
            <v>56516</v>
          </cell>
          <cell r="P428">
            <v>66112</v>
          </cell>
          <cell r="Q428">
            <v>43.1</v>
          </cell>
          <cell r="S428">
            <v>4830000</v>
          </cell>
          <cell r="W428">
            <v>1</v>
          </cell>
          <cell r="X428">
            <v>1</v>
          </cell>
          <cell r="Y428">
            <v>1</v>
          </cell>
          <cell r="Z428">
            <v>1</v>
          </cell>
          <cell r="AA428">
            <v>1</v>
          </cell>
          <cell r="AB428">
            <v>1</v>
          </cell>
        </row>
        <row r="429">
          <cell r="A429" t="str">
            <v>K110x110x5,0</v>
          </cell>
          <cell r="C429">
            <v>16.178850000000001</v>
          </cell>
          <cell r="D429">
            <v>110</v>
          </cell>
          <cell r="E429">
            <v>110</v>
          </cell>
          <cell r="F429">
            <v>5</v>
          </cell>
          <cell r="G429">
            <v>5</v>
          </cell>
          <cell r="H429">
            <v>2061</v>
          </cell>
          <cell r="I429">
            <v>3750000</v>
          </cell>
          <cell r="J429">
            <v>68286</v>
          </cell>
          <cell r="K429">
            <v>80672</v>
          </cell>
          <cell r="L429">
            <v>42.7</v>
          </cell>
          <cell r="N429">
            <v>3750000</v>
          </cell>
          <cell r="O429">
            <v>68286</v>
          </cell>
          <cell r="P429">
            <v>80672</v>
          </cell>
          <cell r="Q429">
            <v>42.7</v>
          </cell>
          <cell r="S429">
            <v>5890000</v>
          </cell>
          <cell r="W429">
            <v>1</v>
          </cell>
          <cell r="X429">
            <v>1</v>
          </cell>
          <cell r="Y429">
            <v>1</v>
          </cell>
          <cell r="Z429">
            <v>1</v>
          </cell>
          <cell r="AA429">
            <v>1</v>
          </cell>
          <cell r="AB429">
            <v>1</v>
          </cell>
        </row>
        <row r="430">
          <cell r="A430" t="str">
            <v>K110x110x6,3</v>
          </cell>
          <cell r="C430">
            <v>20.02535</v>
          </cell>
          <cell r="D430">
            <v>110</v>
          </cell>
          <cell r="E430">
            <v>110</v>
          </cell>
          <cell r="F430">
            <v>6.3</v>
          </cell>
          <cell r="G430">
            <v>6.3</v>
          </cell>
          <cell r="H430">
            <v>2551</v>
          </cell>
          <cell r="I430">
            <v>4520000</v>
          </cell>
          <cell r="J430">
            <v>82283</v>
          </cell>
          <cell r="K430">
            <v>98468</v>
          </cell>
          <cell r="L430">
            <v>42.1</v>
          </cell>
          <cell r="N430">
            <v>4520000</v>
          </cell>
          <cell r="O430">
            <v>82283</v>
          </cell>
          <cell r="P430">
            <v>98468</v>
          </cell>
          <cell r="Q430">
            <v>42.1</v>
          </cell>
          <cell r="S430">
            <v>7190000</v>
          </cell>
          <cell r="W430">
            <v>1</v>
          </cell>
          <cell r="X430">
            <v>1</v>
          </cell>
          <cell r="Y430">
            <v>1</v>
          </cell>
          <cell r="Z430">
            <v>1</v>
          </cell>
          <cell r="AA430">
            <v>1</v>
          </cell>
          <cell r="AB430">
            <v>1</v>
          </cell>
        </row>
        <row r="431">
          <cell r="A431" t="str">
            <v>K110x110x8,0</v>
          </cell>
          <cell r="C431">
            <v>24.84525</v>
          </cell>
          <cell r="D431">
            <v>110</v>
          </cell>
          <cell r="E431">
            <v>110</v>
          </cell>
          <cell r="F431">
            <v>8</v>
          </cell>
          <cell r="G431">
            <v>8</v>
          </cell>
          <cell r="H431">
            <v>3165</v>
          </cell>
          <cell r="I431">
            <v>5410000</v>
          </cell>
          <cell r="J431">
            <v>98475</v>
          </cell>
          <cell r="K431">
            <v>119857</v>
          </cell>
          <cell r="L431">
            <v>41.4</v>
          </cell>
          <cell r="N431">
            <v>5410000</v>
          </cell>
          <cell r="O431">
            <v>98475</v>
          </cell>
          <cell r="P431">
            <v>119857</v>
          </cell>
          <cell r="Q431">
            <v>41.1</v>
          </cell>
          <cell r="S431">
            <v>8740000</v>
          </cell>
          <cell r="W431">
            <v>1</v>
          </cell>
          <cell r="X431">
            <v>1</v>
          </cell>
          <cell r="Y431">
            <v>1</v>
          </cell>
          <cell r="Z431">
            <v>1</v>
          </cell>
          <cell r="AA431">
            <v>1</v>
          </cell>
          <cell r="AB431">
            <v>1</v>
          </cell>
        </row>
        <row r="432">
          <cell r="A432" t="str">
            <v>K110x110x10,0</v>
          </cell>
          <cell r="C432">
            <v>30.183249999999997</v>
          </cell>
          <cell r="D432">
            <v>110</v>
          </cell>
          <cell r="E432">
            <v>110</v>
          </cell>
          <cell r="F432">
            <v>10</v>
          </cell>
          <cell r="G432">
            <v>10</v>
          </cell>
          <cell r="H432">
            <v>3845</v>
          </cell>
          <cell r="I432">
            <v>6300000</v>
          </cell>
          <cell r="J432">
            <v>114657</v>
          </cell>
          <cell r="K432">
            <v>142378</v>
          </cell>
          <cell r="L432">
            <v>40.5</v>
          </cell>
          <cell r="N432">
            <v>6300000</v>
          </cell>
          <cell r="O432">
            <v>114657</v>
          </cell>
          <cell r="P432">
            <v>142378</v>
          </cell>
          <cell r="Q432">
            <v>40.5</v>
          </cell>
          <cell r="S432">
            <v>10380000</v>
          </cell>
          <cell r="W432">
            <v>1</v>
          </cell>
          <cell r="X432">
            <v>1</v>
          </cell>
          <cell r="Y432">
            <v>1</v>
          </cell>
          <cell r="Z432">
            <v>1</v>
          </cell>
          <cell r="AA432">
            <v>1</v>
          </cell>
          <cell r="AB432">
            <v>1</v>
          </cell>
        </row>
        <row r="433">
          <cell r="A433" t="str">
            <v>K120x120x4,0</v>
          </cell>
          <cell r="C433">
            <v>14.373349999999999</v>
          </cell>
          <cell r="D433">
            <v>120</v>
          </cell>
          <cell r="E433">
            <v>120</v>
          </cell>
          <cell r="F433">
            <v>4</v>
          </cell>
          <cell r="G433">
            <v>4</v>
          </cell>
          <cell r="H433">
            <v>1831</v>
          </cell>
          <cell r="I433">
            <v>4080000</v>
          </cell>
          <cell r="J433">
            <v>68020</v>
          </cell>
          <cell r="K433">
            <v>79308</v>
          </cell>
          <cell r="L433">
            <v>47.2</v>
          </cell>
          <cell r="N433">
            <v>4080000</v>
          </cell>
          <cell r="O433">
            <v>68020</v>
          </cell>
          <cell r="P433">
            <v>79308</v>
          </cell>
          <cell r="Q433">
            <v>47.2</v>
          </cell>
          <cell r="S433">
            <v>6320000</v>
          </cell>
          <cell r="W433">
            <v>1</v>
          </cell>
          <cell r="X433">
            <v>1</v>
          </cell>
          <cell r="Y433">
            <v>1</v>
          </cell>
          <cell r="Z433">
            <v>1</v>
          </cell>
          <cell r="AA433">
            <v>1</v>
          </cell>
          <cell r="AB433">
            <v>2</v>
          </cell>
        </row>
        <row r="434">
          <cell r="A434" t="str">
            <v>K120x120x4,5</v>
          </cell>
          <cell r="C434">
            <v>16.068950000000001</v>
          </cell>
          <cell r="D434">
            <v>120</v>
          </cell>
          <cell r="E434">
            <v>120</v>
          </cell>
          <cell r="F434">
            <v>4.5</v>
          </cell>
          <cell r="G434">
            <v>4.5</v>
          </cell>
          <cell r="H434">
            <v>2047</v>
          </cell>
          <cell r="I434">
            <v>4520000</v>
          </cell>
          <cell r="J434">
            <v>75347</v>
          </cell>
          <cell r="K434">
            <v>88249</v>
          </cell>
          <cell r="L434">
            <v>47</v>
          </cell>
          <cell r="N434">
            <v>4520000</v>
          </cell>
          <cell r="O434">
            <v>76347</v>
          </cell>
          <cell r="P434">
            <v>88249</v>
          </cell>
          <cell r="Q434">
            <v>47</v>
          </cell>
          <cell r="S434">
            <v>7030000</v>
          </cell>
          <cell r="W434">
            <v>1</v>
          </cell>
          <cell r="X434">
            <v>1</v>
          </cell>
          <cell r="Y434">
            <v>1</v>
          </cell>
          <cell r="Z434">
            <v>1</v>
          </cell>
          <cell r="AA434">
            <v>1</v>
          </cell>
          <cell r="AB434">
            <v>1</v>
          </cell>
        </row>
        <row r="435">
          <cell r="A435" t="str">
            <v>K120x120x5,0</v>
          </cell>
          <cell r="C435">
            <v>17.748850000000001</v>
          </cell>
          <cell r="D435">
            <v>120</v>
          </cell>
          <cell r="E435">
            <v>120</v>
          </cell>
          <cell r="F435">
            <v>5</v>
          </cell>
          <cell r="G435">
            <v>5</v>
          </cell>
          <cell r="H435">
            <v>2261</v>
          </cell>
          <cell r="I435">
            <v>4940000</v>
          </cell>
          <cell r="J435">
            <v>82428</v>
          </cell>
          <cell r="K435">
            <v>96979</v>
          </cell>
          <cell r="L435">
            <v>46.8</v>
          </cell>
          <cell r="N435">
            <v>4940000</v>
          </cell>
          <cell r="O435">
            <v>82428</v>
          </cell>
          <cell r="P435">
            <v>96979</v>
          </cell>
          <cell r="Q435">
            <v>46.8</v>
          </cell>
          <cell r="S435">
            <v>7730000</v>
          </cell>
          <cell r="W435">
            <v>1</v>
          </cell>
          <cell r="X435">
            <v>1</v>
          </cell>
          <cell r="Y435">
            <v>1</v>
          </cell>
          <cell r="Z435">
            <v>1</v>
          </cell>
          <cell r="AA435">
            <v>1</v>
          </cell>
          <cell r="AB435">
            <v>1</v>
          </cell>
        </row>
        <row r="436">
          <cell r="A436" t="str">
            <v>K120x120x5,6</v>
          </cell>
          <cell r="C436">
            <v>19.7349</v>
          </cell>
          <cell r="D436">
            <v>120</v>
          </cell>
          <cell r="E436">
            <v>120</v>
          </cell>
          <cell r="F436">
            <v>5.6</v>
          </cell>
          <cell r="G436">
            <v>5.6</v>
          </cell>
          <cell r="H436">
            <v>2514</v>
          </cell>
          <cell r="I436">
            <v>5430000</v>
          </cell>
          <cell r="J436">
            <v>90604</v>
          </cell>
          <cell r="K436">
            <v>107180</v>
          </cell>
          <cell r="L436">
            <v>46.5</v>
          </cell>
          <cell r="N436">
            <v>5430000</v>
          </cell>
          <cell r="O436">
            <v>90604</v>
          </cell>
          <cell r="P436">
            <v>107180</v>
          </cell>
          <cell r="Q436">
            <v>46.5</v>
          </cell>
          <cell r="S436">
            <v>8540000</v>
          </cell>
          <cell r="W436">
            <v>1</v>
          </cell>
          <cell r="X436">
            <v>1</v>
          </cell>
          <cell r="Y436">
            <v>1</v>
          </cell>
          <cell r="Z436">
            <v>1</v>
          </cell>
          <cell r="AA436">
            <v>1</v>
          </cell>
          <cell r="AB436">
            <v>1</v>
          </cell>
        </row>
        <row r="437">
          <cell r="A437" t="str">
            <v>K120x120x6,3</v>
          </cell>
          <cell r="C437">
            <v>22.003550000000001</v>
          </cell>
          <cell r="D437">
            <v>120</v>
          </cell>
          <cell r="E437">
            <v>120</v>
          </cell>
          <cell r="F437">
            <v>6.3</v>
          </cell>
          <cell r="G437">
            <v>6.3</v>
          </cell>
          <cell r="H437">
            <v>2803</v>
          </cell>
          <cell r="I437">
            <v>5980000</v>
          </cell>
          <cell r="J437">
            <v>99713</v>
          </cell>
          <cell r="K437">
            <v>118706</v>
          </cell>
          <cell r="L437">
            <v>46.2</v>
          </cell>
          <cell r="N437">
            <v>5980000</v>
          </cell>
          <cell r="O437">
            <v>99713</v>
          </cell>
          <cell r="P437">
            <v>118706</v>
          </cell>
          <cell r="Q437">
            <v>46.2</v>
          </cell>
          <cell r="S437">
            <v>9460000</v>
          </cell>
          <cell r="W437">
            <v>1</v>
          </cell>
          <cell r="X437">
            <v>1</v>
          </cell>
          <cell r="Y437">
            <v>1</v>
          </cell>
          <cell r="Z437">
            <v>1</v>
          </cell>
          <cell r="AA437">
            <v>1</v>
          </cell>
          <cell r="AB437">
            <v>1</v>
          </cell>
        </row>
        <row r="438">
          <cell r="A438" t="str">
            <v>K120x120x7,1</v>
          </cell>
          <cell r="C438">
            <v>24.5548</v>
          </cell>
          <cell r="D438">
            <v>120</v>
          </cell>
          <cell r="E438">
            <v>120</v>
          </cell>
          <cell r="F438">
            <v>7.1</v>
          </cell>
          <cell r="G438">
            <v>7.1</v>
          </cell>
          <cell r="H438">
            <v>3128</v>
          </cell>
          <cell r="I438">
            <v>6570000</v>
          </cell>
          <cell r="J438">
            <v>109566</v>
          </cell>
          <cell r="K438">
            <v>131389</v>
          </cell>
          <cell r="L438">
            <v>45.8</v>
          </cell>
          <cell r="N438">
            <v>6570000</v>
          </cell>
          <cell r="O438">
            <v>109566</v>
          </cell>
          <cell r="P438">
            <v>131389</v>
          </cell>
          <cell r="Q438">
            <v>45.8</v>
          </cell>
          <cell r="S438">
            <v>10460000</v>
          </cell>
          <cell r="W438">
            <v>1</v>
          </cell>
          <cell r="X438">
            <v>1</v>
          </cell>
          <cell r="Y438">
            <v>1</v>
          </cell>
          <cell r="Z438">
            <v>1</v>
          </cell>
          <cell r="AA438">
            <v>1</v>
          </cell>
          <cell r="AB438">
            <v>1</v>
          </cell>
        </row>
        <row r="439">
          <cell r="A439" t="str">
            <v>K120x120x8,0</v>
          </cell>
          <cell r="C439">
            <v>27.357250000000001</v>
          </cell>
          <cell r="D439">
            <v>120</v>
          </cell>
          <cell r="E439">
            <v>120</v>
          </cell>
          <cell r="F439">
            <v>8</v>
          </cell>
          <cell r="G439">
            <v>8</v>
          </cell>
          <cell r="H439">
            <v>3485</v>
          </cell>
          <cell r="I439">
            <v>7190000</v>
          </cell>
          <cell r="J439">
            <v>119963</v>
          </cell>
          <cell r="K439">
            <v>145043</v>
          </cell>
          <cell r="L439">
            <v>45.4</v>
          </cell>
          <cell r="N439">
            <v>7190000</v>
          </cell>
          <cell r="O439">
            <v>119963</v>
          </cell>
          <cell r="P439">
            <v>145043</v>
          </cell>
          <cell r="Q439">
            <v>45.4</v>
          </cell>
          <cell r="S439">
            <v>11550000</v>
          </cell>
          <cell r="W439">
            <v>1</v>
          </cell>
          <cell r="X439">
            <v>1</v>
          </cell>
          <cell r="Y439">
            <v>1</v>
          </cell>
          <cell r="Z439">
            <v>1</v>
          </cell>
          <cell r="AA439">
            <v>1</v>
          </cell>
          <cell r="AB439">
            <v>1</v>
          </cell>
        </row>
        <row r="440">
          <cell r="A440" t="str">
            <v>K120x120x10,0</v>
          </cell>
          <cell r="C440">
            <v>33.323250000000002</v>
          </cell>
          <cell r="D440">
            <v>120</v>
          </cell>
          <cell r="E440">
            <v>120</v>
          </cell>
          <cell r="F440">
            <v>10</v>
          </cell>
          <cell r="G440">
            <v>10</v>
          </cell>
          <cell r="H440">
            <v>4245</v>
          </cell>
          <cell r="I440">
            <v>8430000</v>
          </cell>
          <cell r="J440">
            <v>140573</v>
          </cell>
          <cell r="K440">
            <v>173105</v>
          </cell>
          <cell r="L440">
            <v>44.6</v>
          </cell>
          <cell r="N440">
            <v>8430000</v>
          </cell>
          <cell r="O440">
            <v>140573</v>
          </cell>
          <cell r="P440">
            <v>173105</v>
          </cell>
          <cell r="Q440">
            <v>44.6</v>
          </cell>
          <cell r="S440">
            <v>13770000</v>
          </cell>
          <cell r="W440">
            <v>1</v>
          </cell>
          <cell r="X440">
            <v>1</v>
          </cell>
          <cell r="Y440">
            <v>1</v>
          </cell>
          <cell r="Z440">
            <v>1</v>
          </cell>
          <cell r="AA440">
            <v>1</v>
          </cell>
          <cell r="AB440">
            <v>1</v>
          </cell>
        </row>
        <row r="441">
          <cell r="A441" t="str">
            <v>K140x140x4,0</v>
          </cell>
          <cell r="C441">
            <v>17.113</v>
          </cell>
          <cell r="D441">
            <v>140</v>
          </cell>
          <cell r="E441">
            <v>140</v>
          </cell>
          <cell r="F441">
            <v>4</v>
          </cell>
          <cell r="G441">
            <v>4</v>
          </cell>
          <cell r="H441">
            <v>2180</v>
          </cell>
          <cell r="I441">
            <v>6710000</v>
          </cell>
          <cell r="J441">
            <v>95900</v>
          </cell>
          <cell r="K441">
            <v>110993.4</v>
          </cell>
          <cell r="L441">
            <v>55.48</v>
          </cell>
          <cell r="N441">
            <v>6710000</v>
          </cell>
          <cell r="O441">
            <v>95900</v>
          </cell>
          <cell r="P441">
            <v>110993.4</v>
          </cell>
          <cell r="Q441">
            <v>55.48</v>
          </cell>
          <cell r="S441">
            <v>10200000</v>
          </cell>
          <cell r="W441">
            <v>1</v>
          </cell>
          <cell r="X441">
            <v>1</v>
          </cell>
          <cell r="Y441">
            <v>1</v>
          </cell>
          <cell r="Z441">
            <v>1</v>
          </cell>
          <cell r="AA441">
            <v>2</v>
          </cell>
          <cell r="AB441">
            <v>3</v>
          </cell>
        </row>
        <row r="442">
          <cell r="A442" t="str">
            <v>K140x140x5,0</v>
          </cell>
          <cell r="C442">
            <v>20.888849999999998</v>
          </cell>
          <cell r="D442">
            <v>140</v>
          </cell>
          <cell r="E442">
            <v>140</v>
          </cell>
          <cell r="F442">
            <v>5</v>
          </cell>
          <cell r="G442">
            <v>5</v>
          </cell>
          <cell r="H442">
            <v>2661</v>
          </cell>
          <cell r="I442">
            <v>8030000</v>
          </cell>
          <cell r="J442">
            <v>114710</v>
          </cell>
          <cell r="K442">
            <v>134093</v>
          </cell>
          <cell r="L442">
            <v>54.9</v>
          </cell>
          <cell r="N442">
            <v>8030000</v>
          </cell>
          <cell r="O442">
            <v>114710</v>
          </cell>
          <cell r="P442">
            <v>134093</v>
          </cell>
          <cell r="Q442">
            <v>54.9</v>
          </cell>
          <cell r="S442">
            <v>12470000</v>
          </cell>
          <cell r="W442">
            <v>1</v>
          </cell>
          <cell r="X442">
            <v>1</v>
          </cell>
          <cell r="Y442">
            <v>1</v>
          </cell>
          <cell r="Z442">
            <v>1</v>
          </cell>
          <cell r="AA442">
            <v>1</v>
          </cell>
          <cell r="AB442">
            <v>1</v>
          </cell>
        </row>
        <row r="443">
          <cell r="A443" t="str">
            <v>K140x140x5,6</v>
          </cell>
          <cell r="C443">
            <v>23.2517</v>
          </cell>
          <cell r="D443">
            <v>140</v>
          </cell>
          <cell r="E443">
            <v>140</v>
          </cell>
          <cell r="F443">
            <v>5.6</v>
          </cell>
          <cell r="G443">
            <v>5.6</v>
          </cell>
          <cell r="H443">
            <v>2962</v>
          </cell>
          <cell r="I443">
            <v>8850000</v>
          </cell>
          <cell r="J443">
            <v>126441</v>
          </cell>
          <cell r="K443">
            <v>148494</v>
          </cell>
          <cell r="L443">
            <v>54.7</v>
          </cell>
          <cell r="N443">
            <v>8850000</v>
          </cell>
          <cell r="O443">
            <v>126441</v>
          </cell>
          <cell r="P443">
            <v>148494</v>
          </cell>
          <cell r="Q443">
            <v>54.7</v>
          </cell>
          <cell r="S443">
            <v>13810000</v>
          </cell>
          <cell r="W443">
            <v>1</v>
          </cell>
          <cell r="X443">
            <v>1</v>
          </cell>
          <cell r="Y443">
            <v>1</v>
          </cell>
          <cell r="Z443">
            <v>1</v>
          </cell>
          <cell r="AA443">
            <v>1</v>
          </cell>
          <cell r="AB443">
            <v>1</v>
          </cell>
        </row>
        <row r="444">
          <cell r="A444" t="str">
            <v>K140x140x6,3</v>
          </cell>
          <cell r="C444">
            <v>25.959949999999999</v>
          </cell>
          <cell r="D444">
            <v>140</v>
          </cell>
          <cell r="E444">
            <v>140</v>
          </cell>
          <cell r="F444">
            <v>6.3</v>
          </cell>
          <cell r="G444">
            <v>6.3</v>
          </cell>
          <cell r="H444">
            <v>3307</v>
          </cell>
          <cell r="I444">
            <v>9770000</v>
          </cell>
          <cell r="J444">
            <v>139610</v>
          </cell>
          <cell r="K444">
            <v>164851</v>
          </cell>
          <cell r="L444">
            <v>54.4</v>
          </cell>
          <cell r="N444">
            <v>9770000</v>
          </cell>
          <cell r="O444">
            <v>139610</v>
          </cell>
          <cell r="P444">
            <v>164851</v>
          </cell>
          <cell r="Q444">
            <v>54.4</v>
          </cell>
          <cell r="S444">
            <v>15330000</v>
          </cell>
          <cell r="W444">
            <v>1</v>
          </cell>
          <cell r="X444">
            <v>1</v>
          </cell>
          <cell r="Y444">
            <v>1</v>
          </cell>
          <cell r="Z444">
            <v>1</v>
          </cell>
          <cell r="AA444">
            <v>1</v>
          </cell>
          <cell r="AB444">
            <v>1</v>
          </cell>
        </row>
        <row r="445">
          <cell r="A445" t="str">
            <v>K140x140x7,1</v>
          </cell>
          <cell r="C445">
            <v>29.0136</v>
          </cell>
          <cell r="D445">
            <v>140</v>
          </cell>
          <cell r="E445">
            <v>140</v>
          </cell>
          <cell r="F445">
            <v>7.1</v>
          </cell>
          <cell r="G445">
            <v>7.1</v>
          </cell>
          <cell r="H445">
            <v>3696</v>
          </cell>
          <cell r="I445">
            <v>10770000</v>
          </cell>
          <cell r="J445">
            <v>153990</v>
          </cell>
          <cell r="K445">
            <v>182966</v>
          </cell>
          <cell r="L445">
            <v>54</v>
          </cell>
          <cell r="N445">
            <v>10770000</v>
          </cell>
          <cell r="O445">
            <v>153990</v>
          </cell>
          <cell r="P445">
            <v>182966</v>
          </cell>
          <cell r="Q445">
            <v>54</v>
          </cell>
          <cell r="S445">
            <v>17010000</v>
          </cell>
          <cell r="W445">
            <v>1</v>
          </cell>
          <cell r="X445">
            <v>1</v>
          </cell>
          <cell r="Y445">
            <v>1</v>
          </cell>
          <cell r="Z445">
            <v>1</v>
          </cell>
          <cell r="AA445">
            <v>1</v>
          </cell>
          <cell r="AB445">
            <v>1</v>
          </cell>
        </row>
        <row r="446">
          <cell r="A446" t="str">
            <v>K140x140x8,0</v>
          </cell>
          <cell r="C446">
            <v>32.381250000000001</v>
          </cell>
          <cell r="D446">
            <v>140</v>
          </cell>
          <cell r="E446">
            <v>140</v>
          </cell>
          <cell r="F446">
            <v>8</v>
          </cell>
          <cell r="G446">
            <v>8</v>
          </cell>
          <cell r="H446">
            <v>4125</v>
          </cell>
          <cell r="I446">
            <v>11850000</v>
          </cell>
          <cell r="J446">
            <v>169335</v>
          </cell>
          <cell r="K446">
            <v>202614</v>
          </cell>
          <cell r="L446">
            <v>53.6</v>
          </cell>
          <cell r="N446">
            <v>11850000</v>
          </cell>
          <cell r="O446">
            <v>169335</v>
          </cell>
          <cell r="P446">
            <v>202614</v>
          </cell>
          <cell r="Q446">
            <v>53.6</v>
          </cell>
          <cell r="S446">
            <v>18830000</v>
          </cell>
          <cell r="W446">
            <v>1</v>
          </cell>
          <cell r="X446">
            <v>1</v>
          </cell>
          <cell r="Y446">
            <v>1</v>
          </cell>
          <cell r="Z446">
            <v>1</v>
          </cell>
          <cell r="AA446">
            <v>1</v>
          </cell>
          <cell r="AB446">
            <v>1</v>
          </cell>
        </row>
        <row r="447">
          <cell r="A447" t="str">
            <v>K140x140x8,8</v>
          </cell>
          <cell r="C447">
            <v>35.3093</v>
          </cell>
          <cell r="D447">
            <v>140</v>
          </cell>
          <cell r="E447">
            <v>140</v>
          </cell>
          <cell r="F447">
            <v>8.8000000000000007</v>
          </cell>
          <cell r="G447">
            <v>8.8000000000000007</v>
          </cell>
          <cell r="H447">
            <v>4498</v>
          </cell>
          <cell r="I447">
            <v>12750000</v>
          </cell>
          <cell r="J447">
            <v>182254</v>
          </cell>
          <cell r="K447">
            <v>219438</v>
          </cell>
          <cell r="L447">
            <v>53.3</v>
          </cell>
          <cell r="N447">
            <v>12750000</v>
          </cell>
          <cell r="O447">
            <v>182254</v>
          </cell>
          <cell r="P447">
            <v>219438</v>
          </cell>
          <cell r="Q447">
            <v>53.3</v>
          </cell>
          <cell r="S447">
            <v>20390000</v>
          </cell>
          <cell r="W447">
            <v>1</v>
          </cell>
          <cell r="X447">
            <v>1</v>
          </cell>
          <cell r="Y447">
            <v>1</v>
          </cell>
          <cell r="Z447">
            <v>1</v>
          </cell>
          <cell r="AA447">
            <v>1</v>
          </cell>
          <cell r="AB447">
            <v>1</v>
          </cell>
        </row>
        <row r="448">
          <cell r="A448" t="str">
            <v>K140x140x10,0</v>
          </cell>
          <cell r="C448">
            <v>39.603249999999996</v>
          </cell>
          <cell r="D448">
            <v>140</v>
          </cell>
          <cell r="E448">
            <v>140</v>
          </cell>
          <cell r="F448">
            <v>10</v>
          </cell>
          <cell r="G448">
            <v>10</v>
          </cell>
          <cell r="H448">
            <v>5045</v>
          </cell>
          <cell r="I448">
            <v>14020000</v>
          </cell>
          <cell r="J448">
            <v>200396</v>
          </cell>
          <cell r="K448">
            <v>243560</v>
          </cell>
          <cell r="L448">
            <v>52.7</v>
          </cell>
          <cell r="N448">
            <v>14020000</v>
          </cell>
          <cell r="O448">
            <v>200396</v>
          </cell>
          <cell r="P448">
            <v>243560</v>
          </cell>
          <cell r="Q448">
            <v>52.7</v>
          </cell>
          <cell r="S448">
            <v>22620000</v>
          </cell>
          <cell r="W448">
            <v>1</v>
          </cell>
          <cell r="X448">
            <v>1</v>
          </cell>
          <cell r="Y448">
            <v>1</v>
          </cell>
          <cell r="Z448">
            <v>1</v>
          </cell>
          <cell r="AA448">
            <v>1</v>
          </cell>
          <cell r="AB448">
            <v>1</v>
          </cell>
        </row>
        <row r="449">
          <cell r="A449" t="str">
            <v>K140x140x12,5</v>
          </cell>
          <cell r="C449">
            <v>48.14405</v>
          </cell>
          <cell r="D449">
            <v>140</v>
          </cell>
          <cell r="E449">
            <v>140</v>
          </cell>
          <cell r="F449">
            <v>12.5</v>
          </cell>
          <cell r="G449">
            <v>12.5</v>
          </cell>
          <cell r="H449">
            <v>6133</v>
          </cell>
          <cell r="I449">
            <v>16350000</v>
          </cell>
          <cell r="J449">
            <v>233648</v>
          </cell>
          <cell r="K449">
            <v>289616</v>
          </cell>
          <cell r="L449">
            <v>51.6</v>
          </cell>
          <cell r="N449">
            <v>16350000</v>
          </cell>
          <cell r="O449">
            <v>233648</v>
          </cell>
          <cell r="P449">
            <v>289616</v>
          </cell>
          <cell r="Q449">
            <v>51.6</v>
          </cell>
          <cell r="S449">
            <v>26880000</v>
          </cell>
          <cell r="W449">
            <v>1</v>
          </cell>
          <cell r="X449">
            <v>1</v>
          </cell>
          <cell r="Y449">
            <v>1</v>
          </cell>
          <cell r="Z449">
            <v>1</v>
          </cell>
          <cell r="AA449">
            <v>1</v>
          </cell>
          <cell r="AB449">
            <v>1</v>
          </cell>
        </row>
        <row r="450">
          <cell r="A450" t="str">
            <v>K150x150x6,3</v>
          </cell>
          <cell r="C450">
            <v>27.62415</v>
          </cell>
          <cell r="D450">
            <v>150</v>
          </cell>
          <cell r="E450">
            <v>150</v>
          </cell>
          <cell r="F450">
            <v>6.3</v>
          </cell>
          <cell r="G450">
            <v>6.3</v>
          </cell>
          <cell r="H450">
            <v>3519</v>
          </cell>
          <cell r="I450">
            <v>11930000</v>
          </cell>
          <cell r="J450">
            <v>159070</v>
          </cell>
          <cell r="K450">
            <v>187719</v>
          </cell>
          <cell r="L450">
            <v>58.2</v>
          </cell>
          <cell r="N450">
            <v>11930000</v>
          </cell>
          <cell r="O450">
            <v>159070</v>
          </cell>
          <cell r="P450">
            <v>187719</v>
          </cell>
          <cell r="Q450">
            <v>58.2</v>
          </cell>
          <cell r="S450">
            <v>19140000</v>
          </cell>
          <cell r="W450">
            <v>1</v>
          </cell>
          <cell r="X450">
            <v>1</v>
          </cell>
          <cell r="Y450">
            <v>1</v>
          </cell>
          <cell r="Z450">
            <v>1</v>
          </cell>
          <cell r="AA450">
            <v>1</v>
          </cell>
          <cell r="AB450">
            <v>1</v>
          </cell>
        </row>
        <row r="451">
          <cell r="A451" t="str">
            <v>K150x150x8,0</v>
          </cell>
          <cell r="C451">
            <v>34.375149999999998</v>
          </cell>
          <cell r="D451">
            <v>150</v>
          </cell>
          <cell r="E451">
            <v>150</v>
          </cell>
          <cell r="F451">
            <v>8</v>
          </cell>
          <cell r="G451">
            <v>8</v>
          </cell>
          <cell r="H451">
            <v>4379</v>
          </cell>
          <cell r="I451">
            <v>14430000</v>
          </cell>
          <cell r="J451">
            <v>192399</v>
          </cell>
          <cell r="K451">
            <v>230110</v>
          </cell>
          <cell r="L451">
            <v>57.4</v>
          </cell>
          <cell r="N451">
            <v>14430000</v>
          </cell>
          <cell r="O451">
            <v>192399</v>
          </cell>
          <cell r="P451">
            <v>230110</v>
          </cell>
          <cell r="Q451">
            <v>57.4</v>
          </cell>
          <cell r="S451">
            <v>23570000</v>
          </cell>
          <cell r="W451">
            <v>1</v>
          </cell>
          <cell r="X451">
            <v>1</v>
          </cell>
          <cell r="Y451">
            <v>1</v>
          </cell>
          <cell r="Z451">
            <v>1</v>
          </cell>
          <cell r="AA451">
            <v>1</v>
          </cell>
          <cell r="AB451">
            <v>1</v>
          </cell>
        </row>
        <row r="452">
          <cell r="A452" t="str">
            <v>K150x150x10,0</v>
          </cell>
          <cell r="C452">
            <v>41.934699999999999</v>
          </cell>
          <cell r="D452">
            <v>150</v>
          </cell>
          <cell r="E452">
            <v>150</v>
          </cell>
          <cell r="F452">
            <v>10</v>
          </cell>
          <cell r="G452">
            <v>10</v>
          </cell>
          <cell r="H452">
            <v>5342</v>
          </cell>
          <cell r="I452">
            <v>17010000</v>
          </cell>
          <cell r="J452">
            <v>226828</v>
          </cell>
          <cell r="K452">
            <v>275669</v>
          </cell>
          <cell r="L452">
            <v>56.4</v>
          </cell>
          <cell r="N452">
            <v>17010000</v>
          </cell>
          <cell r="O452">
            <v>226828</v>
          </cell>
          <cell r="P452">
            <v>275669</v>
          </cell>
          <cell r="Q452">
            <v>56.4</v>
          </cell>
          <cell r="S452">
            <v>28370000</v>
          </cell>
          <cell r="W452">
            <v>1</v>
          </cell>
          <cell r="X452">
            <v>1</v>
          </cell>
          <cell r="Y452">
            <v>1</v>
          </cell>
          <cell r="Z452">
            <v>1</v>
          </cell>
          <cell r="AA452">
            <v>1</v>
          </cell>
          <cell r="AB452">
            <v>1</v>
          </cell>
        </row>
        <row r="453">
          <cell r="A453" t="str">
            <v>K150x150x12,5</v>
          </cell>
          <cell r="C453">
            <v>50.805199999999999</v>
          </cell>
          <cell r="D453">
            <v>150</v>
          </cell>
          <cell r="E453">
            <v>150</v>
          </cell>
          <cell r="F453">
            <v>12.5</v>
          </cell>
          <cell r="G453">
            <v>12.5</v>
          </cell>
          <cell r="H453">
            <v>6472</v>
          </cell>
          <cell r="I453">
            <v>19720000</v>
          </cell>
          <cell r="J453">
            <v>262990</v>
          </cell>
          <cell r="K453">
            <v>326234</v>
          </cell>
          <cell r="L453">
            <v>55.2</v>
          </cell>
          <cell r="N453">
            <v>19720000</v>
          </cell>
          <cell r="O453">
            <v>262990</v>
          </cell>
          <cell r="P453">
            <v>326234</v>
          </cell>
          <cell r="Q453">
            <v>55.2</v>
          </cell>
          <cell r="S453">
            <v>33750000</v>
          </cell>
          <cell r="W453">
            <v>1</v>
          </cell>
          <cell r="X453">
            <v>1</v>
          </cell>
          <cell r="Y453">
            <v>1</v>
          </cell>
          <cell r="Z453">
            <v>1</v>
          </cell>
          <cell r="AA453">
            <v>1</v>
          </cell>
          <cell r="AB453">
            <v>1</v>
          </cell>
        </row>
        <row r="454">
          <cell r="A454" t="str">
            <v>K160x160x5,6</v>
          </cell>
          <cell r="C454">
            <v>26.509449999999998</v>
          </cell>
          <cell r="D454">
            <v>160</v>
          </cell>
          <cell r="E454">
            <v>160</v>
          </cell>
          <cell r="F454">
            <v>5.6</v>
          </cell>
          <cell r="G454">
            <v>5.6</v>
          </cell>
          <cell r="H454">
            <v>3377</v>
          </cell>
          <cell r="I454">
            <v>13250000</v>
          </cell>
          <cell r="J454">
            <v>165707</v>
          </cell>
          <cell r="K454">
            <v>193962</v>
          </cell>
          <cell r="L454">
            <v>62.6</v>
          </cell>
          <cell r="N454">
            <v>13250000</v>
          </cell>
          <cell r="O454">
            <v>165707</v>
          </cell>
          <cell r="P454">
            <v>193962</v>
          </cell>
          <cell r="Q454">
            <v>62.6</v>
          </cell>
          <cell r="S454">
            <v>21030000</v>
          </cell>
          <cell r="W454">
            <v>1</v>
          </cell>
          <cell r="X454">
            <v>1</v>
          </cell>
          <cell r="Y454">
            <v>1</v>
          </cell>
          <cell r="Z454">
            <v>1</v>
          </cell>
          <cell r="AA454">
            <v>1</v>
          </cell>
          <cell r="AB454">
            <v>1</v>
          </cell>
        </row>
        <row r="455">
          <cell r="A455" t="str">
            <v>K160x160x6,3</v>
          </cell>
          <cell r="C455">
            <v>29.602349999999998</v>
          </cell>
          <cell r="D455">
            <v>160</v>
          </cell>
          <cell r="E455">
            <v>160</v>
          </cell>
          <cell r="F455">
            <v>6.3</v>
          </cell>
          <cell r="G455">
            <v>6.3</v>
          </cell>
          <cell r="H455">
            <v>3771</v>
          </cell>
          <cell r="I455">
            <v>14640000</v>
          </cell>
          <cell r="J455">
            <v>183013</v>
          </cell>
          <cell r="K455">
            <v>215312</v>
          </cell>
          <cell r="L455">
            <v>62.3</v>
          </cell>
          <cell r="N455">
            <v>14640000</v>
          </cell>
          <cell r="O455">
            <v>183013</v>
          </cell>
          <cell r="P455">
            <v>215312</v>
          </cell>
          <cell r="Q455">
            <v>62.3</v>
          </cell>
          <cell r="S455">
            <v>23390000</v>
          </cell>
          <cell r="W455">
            <v>1</v>
          </cell>
          <cell r="X455">
            <v>1</v>
          </cell>
          <cell r="Y455">
            <v>1</v>
          </cell>
          <cell r="Z455">
            <v>1</v>
          </cell>
          <cell r="AA455">
            <v>1</v>
          </cell>
          <cell r="AB455">
            <v>1</v>
          </cell>
        </row>
        <row r="456">
          <cell r="A456" t="str">
            <v>K160x160x7,1</v>
          </cell>
          <cell r="C456">
            <v>33.0642</v>
          </cell>
          <cell r="D456">
            <v>160</v>
          </cell>
          <cell r="E456">
            <v>160</v>
          </cell>
          <cell r="F456">
            <v>7.1</v>
          </cell>
          <cell r="G456">
            <v>7.1</v>
          </cell>
          <cell r="H456">
            <v>4212</v>
          </cell>
          <cell r="I456">
            <v>16150000</v>
          </cell>
          <cell r="J456">
            <v>201916</v>
          </cell>
          <cell r="K456">
            <v>238946</v>
          </cell>
          <cell r="L456">
            <v>61.9</v>
          </cell>
          <cell r="N456">
            <v>16150000</v>
          </cell>
          <cell r="O456">
            <v>201916</v>
          </cell>
          <cell r="P456">
            <v>238946</v>
          </cell>
          <cell r="Q456">
            <v>61.9</v>
          </cell>
          <cell r="S456">
            <v>26010000</v>
          </cell>
          <cell r="W456">
            <v>1</v>
          </cell>
          <cell r="X456">
            <v>1</v>
          </cell>
          <cell r="Y456">
            <v>1</v>
          </cell>
          <cell r="Z456">
            <v>1</v>
          </cell>
          <cell r="AA456">
            <v>1</v>
          </cell>
          <cell r="AB456">
            <v>1</v>
          </cell>
        </row>
        <row r="457">
          <cell r="A457" t="str">
            <v>K160x160x8,0</v>
          </cell>
          <cell r="C457">
            <v>36.887149999999998</v>
          </cell>
          <cell r="D457">
            <v>160</v>
          </cell>
          <cell r="E457">
            <v>160</v>
          </cell>
          <cell r="F457">
            <v>8</v>
          </cell>
          <cell r="G457">
            <v>8</v>
          </cell>
          <cell r="H457">
            <v>4699</v>
          </cell>
          <cell r="I457">
            <v>17760000</v>
          </cell>
          <cell r="J457">
            <v>222086</v>
          </cell>
          <cell r="K457">
            <v>264566</v>
          </cell>
          <cell r="L457">
            <v>61.5</v>
          </cell>
          <cell r="N457">
            <v>17760000</v>
          </cell>
          <cell r="O457">
            <v>222086</v>
          </cell>
          <cell r="P457">
            <v>264566</v>
          </cell>
          <cell r="Q457">
            <v>61.5</v>
          </cell>
          <cell r="S457">
            <v>28870000</v>
          </cell>
          <cell r="W457">
            <v>1</v>
          </cell>
          <cell r="X457">
            <v>1</v>
          </cell>
          <cell r="Y457">
            <v>1</v>
          </cell>
          <cell r="Z457">
            <v>1</v>
          </cell>
          <cell r="AA457">
            <v>1</v>
          </cell>
          <cell r="AB457">
            <v>1</v>
          </cell>
        </row>
        <row r="458">
          <cell r="A458" t="str">
            <v>K160x160x10,0</v>
          </cell>
          <cell r="C458">
            <v>45.0747</v>
          </cell>
          <cell r="D458">
            <v>160</v>
          </cell>
          <cell r="E458">
            <v>160</v>
          </cell>
          <cell r="F458">
            <v>10</v>
          </cell>
          <cell r="G458">
            <v>10</v>
          </cell>
          <cell r="H458">
            <v>5742</v>
          </cell>
          <cell r="I458">
            <v>21030000</v>
          </cell>
          <cell r="J458">
            <v>262883</v>
          </cell>
          <cell r="K458">
            <v>317881</v>
          </cell>
          <cell r="L458">
            <v>60.5</v>
          </cell>
          <cell r="N458">
            <v>21030000</v>
          </cell>
          <cell r="O458">
            <v>262883</v>
          </cell>
          <cell r="P458">
            <v>317881</v>
          </cell>
          <cell r="Q458">
            <v>60.5</v>
          </cell>
          <cell r="S458">
            <v>34850000</v>
          </cell>
          <cell r="W458">
            <v>1</v>
          </cell>
          <cell r="X458">
            <v>1</v>
          </cell>
          <cell r="Y458">
            <v>1</v>
          </cell>
          <cell r="Z458">
            <v>1</v>
          </cell>
          <cell r="AA458">
            <v>1</v>
          </cell>
          <cell r="AB458">
            <v>1</v>
          </cell>
        </row>
        <row r="459">
          <cell r="A459" t="str">
            <v>K160x160x12,5</v>
          </cell>
          <cell r="C459">
            <v>54.730199999999996</v>
          </cell>
          <cell r="D459">
            <v>160</v>
          </cell>
          <cell r="E459">
            <v>160</v>
          </cell>
          <cell r="F459">
            <v>12.5</v>
          </cell>
          <cell r="G459">
            <v>12.5</v>
          </cell>
          <cell r="H459">
            <v>6972</v>
          </cell>
          <cell r="I459">
            <v>24510000</v>
          </cell>
          <cell r="J459">
            <v>306419</v>
          </cell>
          <cell r="K459">
            <v>377660</v>
          </cell>
          <cell r="L459">
            <v>59.3</v>
          </cell>
          <cell r="N459">
            <v>24510000</v>
          </cell>
          <cell r="O459">
            <v>306419</v>
          </cell>
          <cell r="P459">
            <v>377660</v>
          </cell>
          <cell r="Q459">
            <v>59.3</v>
          </cell>
          <cell r="S459">
            <v>41620000</v>
          </cell>
          <cell r="W459">
            <v>1</v>
          </cell>
          <cell r="X459">
            <v>1</v>
          </cell>
          <cell r="Y459">
            <v>1</v>
          </cell>
          <cell r="Z459">
            <v>1</v>
          </cell>
          <cell r="AA459">
            <v>1</v>
          </cell>
          <cell r="AB459">
            <v>1</v>
          </cell>
        </row>
        <row r="460">
          <cell r="A460" t="str">
            <v>K180x180x5,0</v>
          </cell>
          <cell r="C460">
            <v>26.964749999999999</v>
          </cell>
          <cell r="D460">
            <v>180</v>
          </cell>
          <cell r="E460">
            <v>180</v>
          </cell>
          <cell r="F460">
            <v>5</v>
          </cell>
          <cell r="G460">
            <v>5</v>
          </cell>
          <cell r="H460">
            <v>3435</v>
          </cell>
          <cell r="I460">
            <v>17360000</v>
          </cell>
          <cell r="J460">
            <v>192985</v>
          </cell>
          <cell r="K460">
            <v>224016</v>
          </cell>
          <cell r="L460">
            <v>71.099999999999994</v>
          </cell>
          <cell r="N460">
            <v>17360000</v>
          </cell>
          <cell r="O460">
            <v>192985</v>
          </cell>
          <cell r="P460">
            <v>224016</v>
          </cell>
          <cell r="Q460">
            <v>71.099999999999994</v>
          </cell>
          <cell r="S460">
            <v>27240000</v>
          </cell>
          <cell r="W460">
            <v>1</v>
          </cell>
          <cell r="X460">
            <v>1</v>
          </cell>
          <cell r="Y460">
            <v>1</v>
          </cell>
          <cell r="Z460">
            <v>1</v>
          </cell>
          <cell r="AA460">
            <v>2</v>
          </cell>
          <cell r="AB460">
            <v>3</v>
          </cell>
        </row>
        <row r="461">
          <cell r="A461" t="str">
            <v>K180x180x6,0</v>
          </cell>
          <cell r="C461">
            <v>32.051549999999999</v>
          </cell>
          <cell r="D461">
            <v>180</v>
          </cell>
          <cell r="E461">
            <v>180</v>
          </cell>
          <cell r="F461">
            <v>6</v>
          </cell>
          <cell r="G461">
            <v>6</v>
          </cell>
          <cell r="H461">
            <v>4083</v>
          </cell>
          <cell r="I461">
            <v>20360000</v>
          </cell>
          <cell r="J461">
            <v>226280</v>
          </cell>
          <cell r="K461">
            <v>264352</v>
          </cell>
          <cell r="L461">
            <v>70.599999999999994</v>
          </cell>
          <cell r="N461">
            <v>20360000</v>
          </cell>
          <cell r="O461">
            <v>226280</v>
          </cell>
          <cell r="P461">
            <v>264352</v>
          </cell>
          <cell r="Q461">
            <v>70.599999999999994</v>
          </cell>
          <cell r="S461">
            <v>32220000</v>
          </cell>
          <cell r="W461">
            <v>1</v>
          </cell>
          <cell r="X461">
            <v>1</v>
          </cell>
          <cell r="Y461">
            <v>1</v>
          </cell>
          <cell r="Z461">
            <v>1</v>
          </cell>
          <cell r="AA461">
            <v>1</v>
          </cell>
          <cell r="AB461">
            <v>2</v>
          </cell>
        </row>
        <row r="462">
          <cell r="A462" t="str">
            <v>K180x180x6,3</v>
          </cell>
          <cell r="C462">
            <v>33.558749999999996</v>
          </cell>
          <cell r="D462">
            <v>180</v>
          </cell>
          <cell r="E462">
            <v>180</v>
          </cell>
          <cell r="F462">
            <v>6.3</v>
          </cell>
          <cell r="G462">
            <v>6.3</v>
          </cell>
          <cell r="H462">
            <v>4275</v>
          </cell>
          <cell r="I462">
            <v>21230000</v>
          </cell>
          <cell r="J462">
            <v>235938</v>
          </cell>
          <cell r="K462">
            <v>276169</v>
          </cell>
          <cell r="L462">
            <v>70.5</v>
          </cell>
          <cell r="N462">
            <v>21230000</v>
          </cell>
          <cell r="O462">
            <v>235938</v>
          </cell>
          <cell r="P462">
            <v>276169</v>
          </cell>
          <cell r="Q462">
            <v>70.5</v>
          </cell>
          <cell r="S462">
            <v>33690000</v>
          </cell>
          <cell r="W462">
            <v>1</v>
          </cell>
          <cell r="X462">
            <v>1</v>
          </cell>
          <cell r="Y462">
            <v>1</v>
          </cell>
          <cell r="Z462">
            <v>1</v>
          </cell>
          <cell r="AA462">
            <v>1</v>
          </cell>
          <cell r="AB462">
            <v>1</v>
          </cell>
        </row>
        <row r="463">
          <cell r="A463" t="str">
            <v>K180x180x7,1</v>
          </cell>
          <cell r="C463">
            <v>37.522999999999996</v>
          </cell>
          <cell r="D463">
            <v>180</v>
          </cell>
          <cell r="E463">
            <v>180</v>
          </cell>
          <cell r="F463">
            <v>7.1</v>
          </cell>
          <cell r="G463">
            <v>7.1</v>
          </cell>
          <cell r="H463">
            <v>4780</v>
          </cell>
          <cell r="I463">
            <v>23480000</v>
          </cell>
          <cell r="J463">
            <v>260962</v>
          </cell>
          <cell r="K463">
            <v>307043</v>
          </cell>
          <cell r="L463">
            <v>70.099999999999994</v>
          </cell>
          <cell r="N463">
            <v>23480000</v>
          </cell>
          <cell r="O463">
            <v>260962</v>
          </cell>
          <cell r="P463">
            <v>307043</v>
          </cell>
          <cell r="Q463">
            <v>70.099999999999994</v>
          </cell>
          <cell r="S463">
            <v>37530000</v>
          </cell>
          <cell r="W463">
            <v>1</v>
          </cell>
          <cell r="X463">
            <v>1</v>
          </cell>
          <cell r="Y463">
            <v>1</v>
          </cell>
          <cell r="Z463">
            <v>1</v>
          </cell>
          <cell r="AA463">
            <v>1</v>
          </cell>
          <cell r="AB463">
            <v>1</v>
          </cell>
        </row>
        <row r="464">
          <cell r="A464" t="str">
            <v>K180x180x8,8</v>
          </cell>
          <cell r="C464">
            <v>45.734099999999998</v>
          </cell>
          <cell r="D464">
            <v>180</v>
          </cell>
          <cell r="E464">
            <v>180</v>
          </cell>
          <cell r="F464">
            <v>8.8000000000000007</v>
          </cell>
          <cell r="G464">
            <v>8.8000000000000007</v>
          </cell>
          <cell r="H464">
            <v>5826</v>
          </cell>
          <cell r="I464">
            <v>27960000</v>
          </cell>
          <cell r="J464">
            <v>310669</v>
          </cell>
          <cell r="K464">
            <v>369606</v>
          </cell>
          <cell r="L464">
            <v>69.3</v>
          </cell>
          <cell r="N464">
            <v>27960000</v>
          </cell>
          <cell r="O464">
            <v>310669</v>
          </cell>
          <cell r="P464">
            <v>369606</v>
          </cell>
          <cell r="Q464">
            <v>69.3</v>
          </cell>
          <cell r="S464">
            <v>45350000</v>
          </cell>
          <cell r="W464">
            <v>1</v>
          </cell>
          <cell r="X464">
            <v>1</v>
          </cell>
          <cell r="Y464">
            <v>1</v>
          </cell>
          <cell r="Z464">
            <v>1</v>
          </cell>
          <cell r="AA464">
            <v>1</v>
          </cell>
          <cell r="AB464">
            <v>1</v>
          </cell>
        </row>
        <row r="465">
          <cell r="A465" t="str">
            <v>K180x180x10,0</v>
          </cell>
          <cell r="C465">
            <v>51.354700000000001</v>
          </cell>
          <cell r="D465">
            <v>180</v>
          </cell>
          <cell r="E465">
            <v>180</v>
          </cell>
          <cell r="F465">
            <v>10</v>
          </cell>
          <cell r="G465">
            <v>10</v>
          </cell>
          <cell r="H465">
            <v>6542</v>
          </cell>
          <cell r="I465">
            <v>30860000</v>
          </cell>
          <cell r="J465">
            <v>342991</v>
          </cell>
          <cell r="K465">
            <v>411306</v>
          </cell>
          <cell r="L465">
            <v>68.7</v>
          </cell>
          <cell r="N465">
            <v>30860000</v>
          </cell>
          <cell r="O465">
            <v>342991</v>
          </cell>
          <cell r="P465">
            <v>411306</v>
          </cell>
          <cell r="Q465">
            <v>68.7</v>
          </cell>
          <cell r="S465">
            <v>50600000</v>
          </cell>
          <cell r="W465">
            <v>1</v>
          </cell>
          <cell r="X465">
            <v>1</v>
          </cell>
          <cell r="Y465">
            <v>1</v>
          </cell>
          <cell r="Z465">
            <v>1</v>
          </cell>
          <cell r="AA465">
            <v>1</v>
          </cell>
          <cell r="AB465">
            <v>1</v>
          </cell>
        </row>
        <row r="466">
          <cell r="A466" t="str">
            <v>K180x180x12,5</v>
          </cell>
          <cell r="C466">
            <v>62.580199999999998</v>
          </cell>
          <cell r="D466">
            <v>180</v>
          </cell>
          <cell r="E466">
            <v>180</v>
          </cell>
          <cell r="F466">
            <v>12.5</v>
          </cell>
          <cell r="G466">
            <v>12.5</v>
          </cell>
          <cell r="H466">
            <v>7972</v>
          </cell>
          <cell r="I466">
            <v>36290000</v>
          </cell>
          <cell r="J466">
            <v>403269</v>
          </cell>
          <cell r="K466">
            <v>491761</v>
          </cell>
          <cell r="L466">
            <v>67.5</v>
          </cell>
          <cell r="N466">
            <v>36290000</v>
          </cell>
          <cell r="O466">
            <v>403269</v>
          </cell>
          <cell r="P466">
            <v>491761</v>
          </cell>
          <cell r="Q466">
            <v>67.5</v>
          </cell>
          <cell r="S466">
            <v>60800000</v>
          </cell>
          <cell r="W466">
            <v>1</v>
          </cell>
          <cell r="X466">
            <v>1</v>
          </cell>
          <cell r="Y466">
            <v>1</v>
          </cell>
          <cell r="Z466">
            <v>1</v>
          </cell>
          <cell r="AA466">
            <v>1</v>
          </cell>
          <cell r="AB466">
            <v>1</v>
          </cell>
        </row>
        <row r="467">
          <cell r="A467" t="str">
            <v>K180x180x16,0</v>
          </cell>
          <cell r="C467">
            <v>77.212599999999995</v>
          </cell>
          <cell r="D467">
            <v>180</v>
          </cell>
          <cell r="E467">
            <v>180</v>
          </cell>
          <cell r="F467">
            <v>16</v>
          </cell>
          <cell r="G467">
            <v>16</v>
          </cell>
          <cell r="H467">
            <v>9836</v>
          </cell>
          <cell r="I467">
            <v>42520000</v>
          </cell>
          <cell r="J467">
            <v>472489</v>
          </cell>
          <cell r="K467">
            <v>590199</v>
          </cell>
          <cell r="L467">
            <v>65.7</v>
          </cell>
          <cell r="N467">
            <v>42520000</v>
          </cell>
          <cell r="O467">
            <v>472489</v>
          </cell>
          <cell r="P467">
            <v>590199</v>
          </cell>
          <cell r="Q467">
            <v>65.7</v>
          </cell>
          <cell r="S467">
            <v>73400000</v>
          </cell>
          <cell r="W467">
            <v>1</v>
          </cell>
          <cell r="X467">
            <v>1</v>
          </cell>
          <cell r="Y467">
            <v>1</v>
          </cell>
          <cell r="Z467">
            <v>1</v>
          </cell>
          <cell r="AA467">
            <v>1</v>
          </cell>
          <cell r="AB467">
            <v>1</v>
          </cell>
        </row>
        <row r="468">
          <cell r="A468" t="str">
            <v>K200x200x5,0</v>
          </cell>
          <cell r="C468">
            <v>30.614999999999998</v>
          </cell>
          <cell r="D468">
            <v>200</v>
          </cell>
          <cell r="E468">
            <v>200</v>
          </cell>
          <cell r="F468">
            <v>5</v>
          </cell>
          <cell r="G468">
            <v>5</v>
          </cell>
          <cell r="H468">
            <v>3900</v>
          </cell>
          <cell r="I468">
            <v>24700000</v>
          </cell>
          <cell r="J468">
            <v>247000</v>
          </cell>
          <cell r="K468">
            <v>285221.59999999998</v>
          </cell>
          <cell r="L468">
            <v>79.58</v>
          </cell>
          <cell r="N468">
            <v>24700000</v>
          </cell>
          <cell r="O468">
            <v>247000</v>
          </cell>
          <cell r="P468">
            <v>285221.59999999998</v>
          </cell>
          <cell r="Q468">
            <v>79.58</v>
          </cell>
          <cell r="S468">
            <v>37700000</v>
          </cell>
          <cell r="W468">
            <v>1</v>
          </cell>
          <cell r="X468">
            <v>1</v>
          </cell>
          <cell r="Y468">
            <v>1</v>
          </cell>
          <cell r="Z468">
            <v>2</v>
          </cell>
          <cell r="AA468">
            <v>3</v>
          </cell>
          <cell r="AB468">
            <v>3</v>
          </cell>
        </row>
        <row r="469">
          <cell r="A469" t="str">
            <v>K200x200x6,3</v>
          </cell>
          <cell r="C469">
            <v>37.515149999999998</v>
          </cell>
          <cell r="D469">
            <v>200</v>
          </cell>
          <cell r="E469">
            <v>200</v>
          </cell>
          <cell r="F469">
            <v>6.3</v>
          </cell>
          <cell r="G469">
            <v>6.3</v>
          </cell>
          <cell r="H469">
            <v>4779</v>
          </cell>
          <cell r="I469">
            <v>29550000</v>
          </cell>
          <cell r="J469">
            <v>295583</v>
          </cell>
          <cell r="K469">
            <v>344585</v>
          </cell>
          <cell r="L469">
            <v>78.599999999999994</v>
          </cell>
          <cell r="N469">
            <v>29550000</v>
          </cell>
          <cell r="O469">
            <v>295583</v>
          </cell>
          <cell r="P469">
            <v>344585</v>
          </cell>
          <cell r="Q469">
            <v>78.599999999999994</v>
          </cell>
          <cell r="S469">
            <v>46630000</v>
          </cell>
          <cell r="W469">
            <v>1</v>
          </cell>
          <cell r="X469">
            <v>1</v>
          </cell>
          <cell r="Y469">
            <v>1</v>
          </cell>
          <cell r="Z469">
            <v>1</v>
          </cell>
          <cell r="AA469">
            <v>1</v>
          </cell>
          <cell r="AB469">
            <v>2</v>
          </cell>
        </row>
        <row r="470">
          <cell r="A470" t="str">
            <v>K200x200x7,1</v>
          </cell>
          <cell r="C470">
            <v>41.9818</v>
          </cell>
          <cell r="D470">
            <v>200</v>
          </cell>
          <cell r="E470">
            <v>200</v>
          </cell>
          <cell r="F470">
            <v>7.1</v>
          </cell>
          <cell r="G470">
            <v>7.1</v>
          </cell>
          <cell r="H470">
            <v>5348</v>
          </cell>
          <cell r="I470">
            <v>32750000</v>
          </cell>
          <cell r="J470">
            <v>327581</v>
          </cell>
          <cell r="K470">
            <v>383661</v>
          </cell>
          <cell r="L470">
            <v>78.3</v>
          </cell>
          <cell r="N470">
            <v>32750000</v>
          </cell>
          <cell r="O470">
            <v>327581</v>
          </cell>
          <cell r="P470">
            <v>383661</v>
          </cell>
          <cell r="Q470">
            <v>78.3</v>
          </cell>
          <cell r="S470">
            <v>52010000</v>
          </cell>
          <cell r="W470">
            <v>1</v>
          </cell>
          <cell r="X470">
            <v>1</v>
          </cell>
          <cell r="Y470">
            <v>1</v>
          </cell>
          <cell r="Z470">
            <v>1</v>
          </cell>
          <cell r="AA470">
            <v>1</v>
          </cell>
          <cell r="AB470">
            <v>1</v>
          </cell>
        </row>
        <row r="471">
          <cell r="A471" t="str">
            <v>K200x200x8,0</v>
          </cell>
          <cell r="C471">
            <v>46.93515</v>
          </cell>
          <cell r="D471">
            <v>200</v>
          </cell>
          <cell r="E471">
            <v>200</v>
          </cell>
          <cell r="F471">
            <v>8</v>
          </cell>
          <cell r="G471">
            <v>8</v>
          </cell>
          <cell r="H471">
            <v>5979</v>
          </cell>
          <cell r="I471">
            <v>36210000</v>
          </cell>
          <cell r="J471">
            <v>362162</v>
          </cell>
          <cell r="K471">
            <v>426390</v>
          </cell>
          <cell r="L471">
            <v>77.8</v>
          </cell>
          <cell r="N471">
            <v>36210000</v>
          </cell>
          <cell r="O471">
            <v>362162</v>
          </cell>
          <cell r="P471">
            <v>426390</v>
          </cell>
          <cell r="Q471">
            <v>77.8</v>
          </cell>
          <cell r="S471">
            <v>57920000</v>
          </cell>
          <cell r="W471">
            <v>1</v>
          </cell>
          <cell r="X471">
            <v>1</v>
          </cell>
          <cell r="Y471">
            <v>1</v>
          </cell>
          <cell r="Z471">
            <v>1</v>
          </cell>
          <cell r="AA471">
            <v>1</v>
          </cell>
          <cell r="AB471">
            <v>1</v>
          </cell>
        </row>
        <row r="472">
          <cell r="A472" t="str">
            <v>K200x200x10,0</v>
          </cell>
          <cell r="C472">
            <v>56.29</v>
          </cell>
          <cell r="D472">
            <v>200</v>
          </cell>
          <cell r="E472">
            <v>200</v>
          </cell>
          <cell r="F472">
            <v>10</v>
          </cell>
          <cell r="G472">
            <v>10</v>
          </cell>
          <cell r="H472">
            <v>7170</v>
          </cell>
          <cell r="I472">
            <v>41620000</v>
          </cell>
          <cell r="J472">
            <v>416206</v>
          </cell>
          <cell r="K472">
            <v>499288</v>
          </cell>
          <cell r="L472">
            <v>76.2</v>
          </cell>
          <cell r="N472">
            <v>41620000</v>
          </cell>
          <cell r="O472">
            <v>416206</v>
          </cell>
          <cell r="P472">
            <v>499288</v>
          </cell>
          <cell r="Q472">
            <v>72.2</v>
          </cell>
          <cell r="S472">
            <v>70790000</v>
          </cell>
          <cell r="W472">
            <v>1</v>
          </cell>
          <cell r="X472">
            <v>1</v>
          </cell>
          <cell r="Y472">
            <v>1</v>
          </cell>
          <cell r="Z472">
            <v>1</v>
          </cell>
          <cell r="AA472">
            <v>1</v>
          </cell>
          <cell r="AB472">
            <v>1</v>
          </cell>
        </row>
        <row r="473">
          <cell r="A473" t="str">
            <v>K200x200x12,5</v>
          </cell>
          <cell r="C473">
            <v>70.430199999999999</v>
          </cell>
          <cell r="D473">
            <v>200</v>
          </cell>
          <cell r="E473">
            <v>200</v>
          </cell>
          <cell r="F473">
            <v>12.5</v>
          </cell>
          <cell r="G473">
            <v>12.5</v>
          </cell>
          <cell r="H473">
            <v>8972</v>
          </cell>
          <cell r="I473">
            <v>51340000</v>
          </cell>
          <cell r="J473">
            <v>513444</v>
          </cell>
          <cell r="K473">
            <v>620862</v>
          </cell>
          <cell r="L473">
            <v>75.599999999999994</v>
          </cell>
          <cell r="N473">
            <v>51340000</v>
          </cell>
          <cell r="O473">
            <v>513444</v>
          </cell>
          <cell r="P473">
            <v>620862</v>
          </cell>
          <cell r="Q473">
            <v>75.599999999999994</v>
          </cell>
          <cell r="S473">
            <v>85050000</v>
          </cell>
          <cell r="W473">
            <v>1</v>
          </cell>
          <cell r="X473">
            <v>1</v>
          </cell>
          <cell r="Y473">
            <v>1</v>
          </cell>
          <cell r="Z473">
            <v>1</v>
          </cell>
          <cell r="AA473">
            <v>1</v>
          </cell>
          <cell r="AB473">
            <v>1</v>
          </cell>
        </row>
        <row r="474">
          <cell r="A474" t="str">
            <v>K200x200x16,0</v>
          </cell>
          <cell r="C474">
            <v>87.134999999999991</v>
          </cell>
          <cell r="D474">
            <v>200</v>
          </cell>
          <cell r="E474">
            <v>200</v>
          </cell>
          <cell r="F474">
            <v>16</v>
          </cell>
          <cell r="G474">
            <v>16</v>
          </cell>
          <cell r="H474">
            <v>11100</v>
          </cell>
          <cell r="I474">
            <v>60800000</v>
          </cell>
          <cell r="J474">
            <v>608000</v>
          </cell>
          <cell r="K474">
            <v>798585.7</v>
          </cell>
          <cell r="L474">
            <v>74.010000000000005</v>
          </cell>
          <cell r="N474">
            <v>60800000</v>
          </cell>
          <cell r="O474">
            <v>60800000</v>
          </cell>
          <cell r="P474">
            <v>60800000</v>
          </cell>
          <cell r="Q474">
            <v>60800000</v>
          </cell>
          <cell r="S474">
            <v>72600000</v>
          </cell>
          <cell r="W474">
            <v>1</v>
          </cell>
          <cell r="X474">
            <v>1</v>
          </cell>
          <cell r="Y474">
            <v>1</v>
          </cell>
          <cell r="Z474">
            <v>1</v>
          </cell>
          <cell r="AA474">
            <v>1</v>
          </cell>
          <cell r="AB474">
            <v>1</v>
          </cell>
        </row>
        <row r="475">
          <cell r="A475" t="str">
            <v>K220x220x6,3</v>
          </cell>
          <cell r="C475">
            <v>41.471550000000001</v>
          </cell>
          <cell r="D475">
            <v>220</v>
          </cell>
          <cell r="E475">
            <v>220</v>
          </cell>
          <cell r="F475">
            <v>6.3</v>
          </cell>
          <cell r="G475">
            <v>6.3</v>
          </cell>
          <cell r="H475">
            <v>5283</v>
          </cell>
          <cell r="I475">
            <v>39810000</v>
          </cell>
          <cell r="J475">
            <v>361948</v>
          </cell>
          <cell r="K475">
            <v>420562</v>
          </cell>
          <cell r="L475">
            <v>86.8</v>
          </cell>
          <cell r="N475">
            <v>39810000</v>
          </cell>
          <cell r="O475">
            <v>361948</v>
          </cell>
          <cell r="P475">
            <v>420562</v>
          </cell>
          <cell r="Q475">
            <v>86.8</v>
          </cell>
          <cell r="S475">
            <v>62530000</v>
          </cell>
          <cell r="W475">
            <v>1</v>
          </cell>
          <cell r="X475">
            <v>1</v>
          </cell>
          <cell r="Y475">
            <v>1</v>
          </cell>
          <cell r="Z475">
            <v>1</v>
          </cell>
          <cell r="AA475">
            <v>2</v>
          </cell>
          <cell r="AB475">
            <v>3</v>
          </cell>
        </row>
        <row r="476">
          <cell r="A476" t="str">
            <v>K220x220x7,1</v>
          </cell>
          <cell r="C476">
            <v>46.440599999999996</v>
          </cell>
          <cell r="D476">
            <v>220</v>
          </cell>
          <cell r="E476">
            <v>220</v>
          </cell>
          <cell r="F476">
            <v>7.1</v>
          </cell>
          <cell r="G476">
            <v>7.1</v>
          </cell>
          <cell r="H476">
            <v>5916</v>
          </cell>
          <cell r="I476">
            <v>44190000</v>
          </cell>
          <cell r="J476">
            <v>401773</v>
          </cell>
          <cell r="K476">
            <v>468798</v>
          </cell>
          <cell r="L476">
            <v>86.4</v>
          </cell>
          <cell r="N476">
            <v>44190000</v>
          </cell>
          <cell r="O476">
            <v>401773</v>
          </cell>
          <cell r="P476">
            <v>468798</v>
          </cell>
          <cell r="Q476">
            <v>86.4</v>
          </cell>
          <cell r="S476">
            <v>69810000</v>
          </cell>
          <cell r="W476">
            <v>1</v>
          </cell>
          <cell r="X476">
            <v>1</v>
          </cell>
          <cell r="Y476">
            <v>1</v>
          </cell>
          <cell r="Z476">
            <v>1</v>
          </cell>
          <cell r="AA476">
            <v>1</v>
          </cell>
          <cell r="AB476">
            <v>2</v>
          </cell>
        </row>
        <row r="477">
          <cell r="A477" t="str">
            <v>K220x220x8,0</v>
          </cell>
          <cell r="C477">
            <v>51.959150000000001</v>
          </cell>
          <cell r="D477">
            <v>220</v>
          </cell>
          <cell r="E477">
            <v>220</v>
          </cell>
          <cell r="F477">
            <v>8</v>
          </cell>
          <cell r="G477">
            <v>8</v>
          </cell>
          <cell r="H477">
            <v>6619</v>
          </cell>
          <cell r="I477">
            <v>48950000</v>
          </cell>
          <cell r="J477">
            <v>444998</v>
          </cell>
          <cell r="K477">
            <v>521702</v>
          </cell>
          <cell r="L477">
            <v>86</v>
          </cell>
          <cell r="N477">
            <v>48950000</v>
          </cell>
          <cell r="O477">
            <v>444998</v>
          </cell>
          <cell r="P477">
            <v>521702</v>
          </cell>
          <cell r="Q477">
            <v>86</v>
          </cell>
          <cell r="S477">
            <v>77830000</v>
          </cell>
          <cell r="W477">
            <v>1</v>
          </cell>
          <cell r="X477">
            <v>1</v>
          </cell>
          <cell r="Y477">
            <v>1</v>
          </cell>
          <cell r="Z477">
            <v>1</v>
          </cell>
          <cell r="AA477">
            <v>1</v>
          </cell>
          <cell r="AB477">
            <v>1</v>
          </cell>
        </row>
        <row r="478">
          <cell r="A478" t="str">
            <v>K220x220x10,0</v>
          </cell>
          <cell r="C478">
            <v>63.914699999999996</v>
          </cell>
          <cell r="D478">
            <v>220</v>
          </cell>
          <cell r="E478">
            <v>220</v>
          </cell>
          <cell r="F478">
            <v>10</v>
          </cell>
          <cell r="G478">
            <v>10</v>
          </cell>
          <cell r="H478">
            <v>8142</v>
          </cell>
          <cell r="I478">
            <v>58870000</v>
          </cell>
          <cell r="J478">
            <v>535198</v>
          </cell>
          <cell r="K478">
            <v>634156</v>
          </cell>
          <cell r="L478">
            <v>85</v>
          </cell>
          <cell r="N478">
            <v>58870000</v>
          </cell>
          <cell r="O478">
            <v>535198</v>
          </cell>
          <cell r="P478">
            <v>634156</v>
          </cell>
          <cell r="Q478">
            <v>85</v>
          </cell>
          <cell r="S478">
            <v>94970000</v>
          </cell>
          <cell r="W478">
            <v>1</v>
          </cell>
          <cell r="X478">
            <v>1</v>
          </cell>
          <cell r="Y478">
            <v>1</v>
          </cell>
          <cell r="Z478">
            <v>1</v>
          </cell>
          <cell r="AA478">
            <v>1</v>
          </cell>
          <cell r="AB478">
            <v>1</v>
          </cell>
        </row>
        <row r="479">
          <cell r="A479" t="str">
            <v>K220x220x12,5</v>
          </cell>
          <cell r="C479">
            <v>78.280199999999994</v>
          </cell>
          <cell r="D479">
            <v>220</v>
          </cell>
          <cell r="E479">
            <v>220</v>
          </cell>
          <cell r="F479">
            <v>12.5</v>
          </cell>
          <cell r="G479">
            <v>12.5</v>
          </cell>
          <cell r="H479">
            <v>9972</v>
          </cell>
          <cell r="I479">
            <v>70060000</v>
          </cell>
          <cell r="J479">
            <v>636947</v>
          </cell>
          <cell r="K479">
            <v>764963</v>
          </cell>
          <cell r="L479">
            <v>83.8</v>
          </cell>
          <cell r="N479">
            <v>70060000</v>
          </cell>
          <cell r="O479">
            <v>636947</v>
          </cell>
          <cell r="P479">
            <v>764963</v>
          </cell>
          <cell r="Q479">
            <v>83.8</v>
          </cell>
          <cell r="S479">
            <v>115080000</v>
          </cell>
          <cell r="W479">
            <v>1</v>
          </cell>
          <cell r="X479">
            <v>1</v>
          </cell>
          <cell r="Y479">
            <v>1</v>
          </cell>
          <cell r="Z479">
            <v>1</v>
          </cell>
          <cell r="AA479">
            <v>1</v>
          </cell>
          <cell r="AB479">
            <v>1</v>
          </cell>
        </row>
        <row r="480">
          <cell r="A480" t="str">
            <v>K220x220x16,0</v>
          </cell>
          <cell r="C480">
            <v>97.308599999999998</v>
          </cell>
          <cell r="D480">
            <v>220</v>
          </cell>
          <cell r="E480">
            <v>220</v>
          </cell>
          <cell r="F480">
            <v>16</v>
          </cell>
          <cell r="G480">
            <v>16</v>
          </cell>
          <cell r="H480">
            <v>12396</v>
          </cell>
          <cell r="I480">
            <v>83580000</v>
          </cell>
          <cell r="J480">
            <v>759834</v>
          </cell>
          <cell r="K480">
            <v>930294</v>
          </cell>
          <cell r="L480">
            <v>82.1</v>
          </cell>
          <cell r="N480">
            <v>83580000</v>
          </cell>
          <cell r="O480">
            <v>759834</v>
          </cell>
          <cell r="P480">
            <v>930294</v>
          </cell>
          <cell r="Q480">
            <v>82.1</v>
          </cell>
          <cell r="W480">
            <v>1</v>
          </cell>
          <cell r="X480">
            <v>1</v>
          </cell>
          <cell r="Y480">
            <v>1</v>
          </cell>
          <cell r="Z480">
            <v>1</v>
          </cell>
          <cell r="AA480">
            <v>1</v>
          </cell>
          <cell r="AB480">
            <v>1</v>
          </cell>
        </row>
        <row r="481">
          <cell r="A481" t="str">
            <v>K250x250x10,0</v>
          </cell>
          <cell r="D481">
            <v>250</v>
          </cell>
          <cell r="E481">
            <v>250</v>
          </cell>
          <cell r="F481">
            <v>10</v>
          </cell>
          <cell r="G481">
            <v>10</v>
          </cell>
          <cell r="H481">
            <v>9342</v>
          </cell>
          <cell r="I481">
            <v>88410000</v>
          </cell>
          <cell r="J481">
            <v>707348</v>
          </cell>
          <cell r="K481">
            <v>832793</v>
          </cell>
          <cell r="L481">
            <v>97.3</v>
          </cell>
          <cell r="N481">
            <v>88410000</v>
          </cell>
          <cell r="O481">
            <v>707348</v>
          </cell>
          <cell r="P481">
            <v>832793</v>
          </cell>
          <cell r="Q481">
            <v>97.3</v>
          </cell>
          <cell r="S481">
            <v>141410000</v>
          </cell>
          <cell r="W481">
            <v>1</v>
          </cell>
          <cell r="X481">
            <v>1</v>
          </cell>
          <cell r="Y481">
            <v>1</v>
          </cell>
          <cell r="Z481">
            <v>1</v>
          </cell>
          <cell r="AA481">
            <v>1</v>
          </cell>
          <cell r="AB481">
            <v>1</v>
          </cell>
        </row>
        <row r="482">
          <cell r="A482" t="str">
            <v>K250x250x12,5</v>
          </cell>
          <cell r="D482">
            <v>250</v>
          </cell>
          <cell r="E482">
            <v>250</v>
          </cell>
          <cell r="F482">
            <v>12.5</v>
          </cell>
          <cell r="G482">
            <v>12.5</v>
          </cell>
          <cell r="H482">
            <v>11472</v>
          </cell>
          <cell r="I482">
            <v>105890000</v>
          </cell>
          <cell r="J482">
            <v>847193</v>
          </cell>
          <cell r="K482">
            <v>1009240</v>
          </cell>
          <cell r="L482">
            <v>96.1</v>
          </cell>
          <cell r="N482">
            <v>105890000</v>
          </cell>
          <cell r="O482">
            <v>847193</v>
          </cell>
          <cell r="P482">
            <v>1009240</v>
          </cell>
          <cell r="Q482">
            <v>96.1</v>
          </cell>
          <cell r="S482">
            <v>172070000</v>
          </cell>
          <cell r="W482">
            <v>1</v>
          </cell>
          <cell r="X482">
            <v>1</v>
          </cell>
          <cell r="Y482">
            <v>1</v>
          </cell>
          <cell r="Z482">
            <v>1</v>
          </cell>
          <cell r="AA482">
            <v>1</v>
          </cell>
          <cell r="AB482">
            <v>1</v>
          </cell>
        </row>
        <row r="483">
          <cell r="A483" t="str">
            <v>K250x250x16,0</v>
          </cell>
          <cell r="D483">
            <v>250</v>
          </cell>
          <cell r="E483">
            <v>250</v>
          </cell>
          <cell r="F483">
            <v>16</v>
          </cell>
          <cell r="G483">
            <v>16</v>
          </cell>
          <cell r="H483">
            <v>14316</v>
          </cell>
          <cell r="I483">
            <v>127510000</v>
          </cell>
          <cell r="J483">
            <v>1020110</v>
          </cell>
          <cell r="K483">
            <v>1235765</v>
          </cell>
          <cell r="L483">
            <v>94.4</v>
          </cell>
          <cell r="N483">
            <v>127510000</v>
          </cell>
          <cell r="O483">
            <v>1020110</v>
          </cell>
          <cell r="P483">
            <v>1235765</v>
          </cell>
          <cell r="Q483">
            <v>94.4</v>
          </cell>
          <cell r="S483">
            <v>211810000</v>
          </cell>
          <cell r="W483">
            <v>1</v>
          </cell>
          <cell r="X483">
            <v>1</v>
          </cell>
          <cell r="Y483">
            <v>1</v>
          </cell>
          <cell r="Z483">
            <v>1</v>
          </cell>
          <cell r="AA483">
            <v>1</v>
          </cell>
          <cell r="AB483">
            <v>1</v>
          </cell>
        </row>
        <row r="484">
          <cell r="A484" t="str">
            <v>K260x260x7,1</v>
          </cell>
          <cell r="C484">
            <v>55.4</v>
          </cell>
          <cell r="D484">
            <v>260</v>
          </cell>
          <cell r="E484">
            <v>260</v>
          </cell>
          <cell r="F484">
            <v>7.1</v>
          </cell>
          <cell r="G484">
            <v>7.1</v>
          </cell>
          <cell r="H484">
            <v>7052</v>
          </cell>
          <cell r="I484">
            <v>74470000</v>
          </cell>
          <cell r="J484">
            <v>572875</v>
          </cell>
          <cell r="K484">
            <v>664632</v>
          </cell>
          <cell r="L484">
            <v>102.8</v>
          </cell>
          <cell r="N484">
            <v>74470000</v>
          </cell>
          <cell r="O484">
            <v>572875</v>
          </cell>
          <cell r="P484">
            <v>664632</v>
          </cell>
          <cell r="Q484">
            <v>102.8</v>
          </cell>
          <cell r="S484">
            <v>116720000</v>
          </cell>
        </row>
        <row r="485">
          <cell r="A485" t="str">
            <v>K300x300x6,0</v>
          </cell>
          <cell r="C485">
            <v>54.7</v>
          </cell>
          <cell r="D485">
            <v>300</v>
          </cell>
          <cell r="E485">
            <v>300</v>
          </cell>
          <cell r="F485">
            <v>6</v>
          </cell>
          <cell r="G485">
            <v>6</v>
          </cell>
          <cell r="H485">
            <v>6963</v>
          </cell>
          <cell r="I485">
            <v>99630000</v>
          </cell>
          <cell r="J485">
            <v>664244</v>
          </cell>
          <cell r="K485">
            <v>764230</v>
          </cell>
          <cell r="L485">
            <v>119.6</v>
          </cell>
          <cell r="N485">
            <v>99630000</v>
          </cell>
          <cell r="O485">
            <v>664244</v>
          </cell>
          <cell r="P485">
            <v>764230</v>
          </cell>
          <cell r="Q485">
            <v>119.6</v>
          </cell>
          <cell r="S485">
            <v>154330000</v>
          </cell>
          <cell r="W485">
            <v>1</v>
          </cell>
          <cell r="X485">
            <v>1</v>
          </cell>
          <cell r="Y485">
            <v>1</v>
          </cell>
          <cell r="Z485">
            <v>1</v>
          </cell>
          <cell r="AA485">
            <v>1</v>
          </cell>
          <cell r="AB485">
            <v>1</v>
          </cell>
        </row>
        <row r="486">
          <cell r="A486" t="str">
            <v>K300x300x7,0</v>
          </cell>
          <cell r="C486">
            <v>63.4</v>
          </cell>
          <cell r="D486">
            <v>300</v>
          </cell>
          <cell r="E486">
            <v>300</v>
          </cell>
          <cell r="F486">
            <v>7</v>
          </cell>
          <cell r="G486">
            <v>7</v>
          </cell>
          <cell r="H486">
            <v>8077</v>
          </cell>
          <cell r="I486">
            <v>114660000</v>
          </cell>
          <cell r="J486">
            <v>764414</v>
          </cell>
          <cell r="K486">
            <v>882824</v>
          </cell>
          <cell r="L486">
            <v>119.1</v>
          </cell>
          <cell r="N486">
            <v>114660000</v>
          </cell>
          <cell r="O486">
            <v>764414</v>
          </cell>
          <cell r="P486">
            <v>882824</v>
          </cell>
          <cell r="Q486">
            <v>119.1</v>
          </cell>
          <cell r="S486">
            <v>178560000</v>
          </cell>
          <cell r="W486">
            <v>1</v>
          </cell>
          <cell r="X486">
            <v>1</v>
          </cell>
          <cell r="Y486">
            <v>1</v>
          </cell>
          <cell r="Z486">
            <v>1</v>
          </cell>
          <cell r="AA486">
            <v>1</v>
          </cell>
          <cell r="AB486">
            <v>1</v>
          </cell>
        </row>
        <row r="487">
          <cell r="A487" t="str">
            <v>K350x350x10,0</v>
          </cell>
          <cell r="C487">
            <v>104.7</v>
          </cell>
          <cell r="D487">
            <v>350</v>
          </cell>
          <cell r="E487">
            <v>350</v>
          </cell>
          <cell r="F487">
            <v>10</v>
          </cell>
          <cell r="G487">
            <v>10</v>
          </cell>
          <cell r="H487">
            <v>13342</v>
          </cell>
          <cell r="I487">
            <v>254530000</v>
          </cell>
          <cell r="J487">
            <v>1454499</v>
          </cell>
          <cell r="K487">
            <v>1689917</v>
          </cell>
          <cell r="L487">
            <v>138.1</v>
          </cell>
          <cell r="N487">
            <v>254530000</v>
          </cell>
          <cell r="O487">
            <v>1454499</v>
          </cell>
          <cell r="P487">
            <v>1689917</v>
          </cell>
          <cell r="Q487">
            <v>138.1</v>
          </cell>
          <cell r="S487">
            <v>399730000</v>
          </cell>
          <cell r="W487">
            <v>1</v>
          </cell>
          <cell r="X487">
            <v>1</v>
          </cell>
          <cell r="Y487">
            <v>1</v>
          </cell>
          <cell r="Z487">
            <v>1</v>
          </cell>
          <cell r="AA487">
            <v>1</v>
          </cell>
          <cell r="AB487">
            <v>1</v>
          </cell>
        </row>
        <row r="488">
          <cell r="A488" t="str">
            <v>K350x350x12,5</v>
          </cell>
          <cell r="C488">
            <v>129.30000000000001</v>
          </cell>
          <cell r="D488">
            <v>350</v>
          </cell>
          <cell r="E488">
            <v>350</v>
          </cell>
          <cell r="F488">
            <v>12</v>
          </cell>
          <cell r="G488">
            <v>12</v>
          </cell>
          <cell r="H488">
            <v>16472</v>
          </cell>
          <cell r="I488">
            <v>308810000</v>
          </cell>
          <cell r="J488">
            <v>1764640</v>
          </cell>
          <cell r="K488">
            <v>2067246</v>
          </cell>
          <cell r="L488">
            <v>136.9</v>
          </cell>
          <cell r="N488">
            <v>308810000</v>
          </cell>
          <cell r="O488">
            <v>1764640</v>
          </cell>
          <cell r="P488">
            <v>2067246</v>
          </cell>
          <cell r="Q488">
            <v>136.9</v>
          </cell>
          <cell r="S488">
            <v>490530000</v>
          </cell>
          <cell r="W488">
            <v>1</v>
          </cell>
          <cell r="X488">
            <v>1</v>
          </cell>
          <cell r="Y488">
            <v>1</v>
          </cell>
          <cell r="Z488">
            <v>1</v>
          </cell>
          <cell r="AA488">
            <v>1</v>
          </cell>
          <cell r="AB488">
            <v>1</v>
          </cell>
        </row>
        <row r="489">
          <cell r="A489" t="str">
            <v>K350x350x16,0</v>
          </cell>
          <cell r="C489">
            <v>162.6</v>
          </cell>
          <cell r="D489">
            <v>350</v>
          </cell>
          <cell r="E489">
            <v>350</v>
          </cell>
          <cell r="F489">
            <v>16</v>
          </cell>
          <cell r="G489">
            <v>16</v>
          </cell>
          <cell r="H489">
            <v>20716</v>
          </cell>
          <cell r="I489">
            <v>378860000</v>
          </cell>
          <cell r="J489">
            <v>2164925</v>
          </cell>
          <cell r="K489">
            <v>2566002</v>
          </cell>
          <cell r="L489">
            <v>135.19999999999999</v>
          </cell>
          <cell r="N489">
            <v>378860000</v>
          </cell>
          <cell r="O489">
            <v>2164925</v>
          </cell>
          <cell r="P489">
            <v>2566002</v>
          </cell>
          <cell r="Q489">
            <v>135.19999999999999</v>
          </cell>
          <cell r="S489">
            <v>611450000</v>
          </cell>
          <cell r="W489">
            <v>1</v>
          </cell>
          <cell r="X489">
            <v>1</v>
          </cell>
          <cell r="Y489">
            <v>1</v>
          </cell>
          <cell r="Z489">
            <v>1</v>
          </cell>
          <cell r="AA489">
            <v>1</v>
          </cell>
          <cell r="AB489">
            <v>1</v>
          </cell>
        </row>
        <row r="490">
          <cell r="A490" t="str">
            <v>K400x400x10,0</v>
          </cell>
          <cell r="C490">
            <v>120.4</v>
          </cell>
          <cell r="D490">
            <v>400</v>
          </cell>
          <cell r="E490">
            <v>400</v>
          </cell>
          <cell r="F490">
            <v>10</v>
          </cell>
          <cell r="G490">
            <v>10</v>
          </cell>
          <cell r="H490">
            <v>15342</v>
          </cell>
          <cell r="I490">
            <v>385610000</v>
          </cell>
          <cell r="J490">
            <v>1928069</v>
          </cell>
          <cell r="K490">
            <v>2230979</v>
          </cell>
          <cell r="L490">
            <v>158.5</v>
          </cell>
          <cell r="N490">
            <v>385610000</v>
          </cell>
          <cell r="O490">
            <v>1928069</v>
          </cell>
          <cell r="P490">
            <v>2230979</v>
          </cell>
          <cell r="Q490">
            <v>158.5</v>
          </cell>
          <cell r="S490">
            <v>602120000</v>
          </cell>
          <cell r="W490">
            <v>1</v>
          </cell>
          <cell r="X490">
            <v>1</v>
          </cell>
          <cell r="Y490">
            <v>1</v>
          </cell>
          <cell r="Z490">
            <v>1</v>
          </cell>
          <cell r="AA490">
            <v>1</v>
          </cell>
          <cell r="AB490">
            <v>1</v>
          </cell>
        </row>
        <row r="491">
          <cell r="A491" t="str">
            <v>K400x400x12,5</v>
          </cell>
          <cell r="C491">
            <v>148.9</v>
          </cell>
          <cell r="D491">
            <v>400</v>
          </cell>
          <cell r="E491">
            <v>400</v>
          </cell>
          <cell r="F491">
            <v>12.5</v>
          </cell>
          <cell r="G491">
            <v>12.5</v>
          </cell>
          <cell r="H491">
            <v>18972</v>
          </cell>
          <cell r="I491">
            <v>469670000</v>
          </cell>
          <cell r="J491">
            <v>2348351</v>
          </cell>
          <cell r="K491">
            <v>2736874</v>
          </cell>
          <cell r="L491">
            <v>157.30000000000001</v>
          </cell>
          <cell r="N491">
            <v>469670000</v>
          </cell>
          <cell r="O491">
            <v>2348351</v>
          </cell>
          <cell r="P491">
            <v>2736874</v>
          </cell>
          <cell r="Q491">
            <v>157.30000000000001</v>
          </cell>
          <cell r="S491">
            <v>740750000</v>
          </cell>
          <cell r="W491">
            <v>1</v>
          </cell>
          <cell r="X491">
            <v>1</v>
          </cell>
          <cell r="Y491">
            <v>1</v>
          </cell>
          <cell r="Z491">
            <v>1</v>
          </cell>
          <cell r="AA491">
            <v>1</v>
          </cell>
          <cell r="AB491">
            <v>1</v>
          </cell>
        </row>
        <row r="492">
          <cell r="A492" t="str">
            <v>K400x400x16,0</v>
          </cell>
          <cell r="C492">
            <v>192</v>
          </cell>
          <cell r="D492">
            <v>400</v>
          </cell>
          <cell r="E492">
            <v>400</v>
          </cell>
          <cell r="F492">
            <v>16</v>
          </cell>
          <cell r="G492">
            <v>16</v>
          </cell>
          <cell r="H492">
            <v>24500</v>
          </cell>
          <cell r="I492">
            <v>599100000</v>
          </cell>
          <cell r="J492">
            <v>2995000</v>
          </cell>
          <cell r="K492">
            <v>3514000</v>
          </cell>
          <cell r="L492">
            <v>157</v>
          </cell>
          <cell r="N492">
            <v>599100000</v>
          </cell>
          <cell r="O492">
            <v>2995000</v>
          </cell>
          <cell r="P492">
            <v>3514000</v>
          </cell>
          <cell r="Q492">
            <v>157</v>
          </cell>
          <cell r="S492">
            <v>923100000</v>
          </cell>
          <cell r="W492">
            <v>1</v>
          </cell>
          <cell r="X492">
            <v>1</v>
          </cell>
          <cell r="Y492">
            <v>1</v>
          </cell>
          <cell r="Z492">
            <v>1</v>
          </cell>
          <cell r="AA492">
            <v>1</v>
          </cell>
          <cell r="AB492">
            <v>1</v>
          </cell>
        </row>
        <row r="493">
          <cell r="A493" t="str">
            <v>K400x400x20,0</v>
          </cell>
          <cell r="C493">
            <v>237</v>
          </cell>
          <cell r="D493">
            <v>400</v>
          </cell>
          <cell r="E493">
            <v>400</v>
          </cell>
          <cell r="F493">
            <v>20</v>
          </cell>
          <cell r="G493">
            <v>20</v>
          </cell>
          <cell r="H493">
            <v>30200</v>
          </cell>
          <cell r="I493">
            <v>724000000</v>
          </cell>
          <cell r="J493">
            <v>3620000</v>
          </cell>
          <cell r="K493">
            <v>4292000</v>
          </cell>
          <cell r="L493">
            <v>155</v>
          </cell>
          <cell r="N493">
            <v>724000000</v>
          </cell>
          <cell r="O493">
            <v>3620000</v>
          </cell>
          <cell r="P493">
            <v>4292000</v>
          </cell>
          <cell r="Q493">
            <v>155</v>
          </cell>
          <cell r="S493">
            <v>1123000000</v>
          </cell>
          <cell r="W493">
            <v>1</v>
          </cell>
          <cell r="X493">
            <v>1</v>
          </cell>
          <cell r="Y493">
            <v>1</v>
          </cell>
          <cell r="Z493">
            <v>1</v>
          </cell>
          <cell r="AA493">
            <v>1</v>
          </cell>
          <cell r="AB493">
            <v>1</v>
          </cell>
        </row>
        <row r="494">
          <cell r="A494" t="str">
            <v>K50x30x2,9</v>
          </cell>
          <cell r="C494">
            <v>3.3205499999999999</v>
          </cell>
          <cell r="D494">
            <v>50</v>
          </cell>
          <cell r="E494">
            <v>30</v>
          </cell>
          <cell r="F494">
            <v>2.9</v>
          </cell>
          <cell r="G494">
            <v>2.9</v>
          </cell>
          <cell r="H494">
            <v>423</v>
          </cell>
          <cell r="I494">
            <v>134076</v>
          </cell>
          <cell r="J494">
            <v>5363</v>
          </cell>
          <cell r="K494">
            <v>6164</v>
          </cell>
          <cell r="L494">
            <v>17.8</v>
          </cell>
          <cell r="N494">
            <v>58809</v>
          </cell>
          <cell r="O494">
            <v>3920</v>
          </cell>
          <cell r="P494">
            <v>4277</v>
          </cell>
          <cell r="Q494">
            <v>11.8</v>
          </cell>
          <cell r="S494">
            <v>119636</v>
          </cell>
          <cell r="W494">
            <v>1</v>
          </cell>
          <cell r="X494">
            <v>1</v>
          </cell>
          <cell r="Y494">
            <v>1</v>
          </cell>
          <cell r="Z494">
            <v>1</v>
          </cell>
          <cell r="AA494">
            <v>1</v>
          </cell>
          <cell r="AB494">
            <v>1</v>
          </cell>
        </row>
        <row r="495">
          <cell r="A495" t="str">
            <v>K50x30x4,0</v>
          </cell>
          <cell r="C495">
            <v>4.4116999999999997</v>
          </cell>
          <cell r="D495">
            <v>50</v>
          </cell>
          <cell r="E495">
            <v>30</v>
          </cell>
          <cell r="F495">
            <v>4</v>
          </cell>
          <cell r="G495">
            <v>4</v>
          </cell>
          <cell r="H495">
            <v>562</v>
          </cell>
          <cell r="I495">
            <v>168683</v>
          </cell>
          <cell r="J495">
            <v>6747</v>
          </cell>
          <cell r="K495">
            <v>8716</v>
          </cell>
          <cell r="L495">
            <v>17.3</v>
          </cell>
          <cell r="N495">
            <v>72491</v>
          </cell>
          <cell r="O495">
            <v>4832</v>
          </cell>
          <cell r="P495">
            <v>5974</v>
          </cell>
          <cell r="Q495">
            <v>11.4</v>
          </cell>
          <cell r="S495">
            <v>164883</v>
          </cell>
          <cell r="W495">
            <v>1</v>
          </cell>
          <cell r="X495">
            <v>1</v>
          </cell>
          <cell r="Y495">
            <v>1</v>
          </cell>
          <cell r="Z495">
            <v>1</v>
          </cell>
          <cell r="AA495">
            <v>1</v>
          </cell>
          <cell r="AB495">
            <v>1</v>
          </cell>
        </row>
        <row r="496">
          <cell r="A496" t="str">
            <v>K60x40x2,9</v>
          </cell>
          <cell r="C496">
            <v>4.2311499999999995</v>
          </cell>
          <cell r="D496">
            <v>60</v>
          </cell>
          <cell r="E496">
            <v>40</v>
          </cell>
          <cell r="F496">
            <v>2.9</v>
          </cell>
          <cell r="G496">
            <v>2.9</v>
          </cell>
          <cell r="H496">
            <v>539</v>
          </cell>
          <cell r="I496">
            <v>260001</v>
          </cell>
          <cell r="J496">
            <v>8666</v>
          </cell>
          <cell r="K496">
            <v>10671</v>
          </cell>
          <cell r="L496">
            <v>22</v>
          </cell>
          <cell r="N496">
            <v>136620</v>
          </cell>
          <cell r="O496">
            <v>6831</v>
          </cell>
          <cell r="P496">
            <v>8011</v>
          </cell>
          <cell r="Q496">
            <v>15.9</v>
          </cell>
          <cell r="S496">
            <v>281045</v>
          </cell>
          <cell r="W496">
            <v>1</v>
          </cell>
          <cell r="X496">
            <v>1</v>
          </cell>
          <cell r="Y496">
            <v>1</v>
          </cell>
          <cell r="Z496">
            <v>1</v>
          </cell>
          <cell r="AA496">
            <v>1</v>
          </cell>
          <cell r="AB496">
            <v>1</v>
          </cell>
        </row>
        <row r="497">
          <cell r="A497" t="str">
            <v>K60x40x4,0</v>
          </cell>
          <cell r="C497">
            <v>5.6677</v>
          </cell>
          <cell r="D497">
            <v>60</v>
          </cell>
          <cell r="E497">
            <v>40</v>
          </cell>
          <cell r="F497">
            <v>4</v>
          </cell>
          <cell r="G497">
            <v>4</v>
          </cell>
          <cell r="H497">
            <v>722</v>
          </cell>
          <cell r="I497">
            <v>333402</v>
          </cell>
          <cell r="J497">
            <v>11113</v>
          </cell>
          <cell r="K497">
            <v>13968</v>
          </cell>
          <cell r="L497">
            <v>21.5</v>
          </cell>
          <cell r="N497">
            <v>172984</v>
          </cell>
          <cell r="O497">
            <v>8649</v>
          </cell>
          <cell r="P497">
            <v>10425</v>
          </cell>
          <cell r="Q497">
            <v>15.5</v>
          </cell>
          <cell r="S497">
            <v>362760</v>
          </cell>
          <cell r="W497">
            <v>1</v>
          </cell>
          <cell r="X497">
            <v>1</v>
          </cell>
          <cell r="Y497">
            <v>1</v>
          </cell>
          <cell r="Z497">
            <v>1</v>
          </cell>
          <cell r="AA497">
            <v>1</v>
          </cell>
          <cell r="AB497">
            <v>1</v>
          </cell>
        </row>
        <row r="498">
          <cell r="A498" t="str">
            <v>K60x40x5,0</v>
          </cell>
          <cell r="C498">
            <v>6.8922999999999996</v>
          </cell>
          <cell r="D498">
            <v>60</v>
          </cell>
          <cell r="E498">
            <v>40</v>
          </cell>
          <cell r="F498">
            <v>5</v>
          </cell>
          <cell r="G498">
            <v>5</v>
          </cell>
          <cell r="H498">
            <v>878</v>
          </cell>
          <cell r="I498">
            <v>389578</v>
          </cell>
          <cell r="J498">
            <v>12985</v>
          </cell>
          <cell r="K498">
            <v>16630</v>
          </cell>
          <cell r="L498">
            <v>21.1</v>
          </cell>
          <cell r="N498">
            <v>199829</v>
          </cell>
          <cell r="O498">
            <v>9991</v>
          </cell>
          <cell r="P498">
            <v>12344</v>
          </cell>
          <cell r="Q498">
            <v>15.1</v>
          </cell>
          <cell r="S498">
            <v>426767</v>
          </cell>
          <cell r="W498">
            <v>1</v>
          </cell>
          <cell r="X498">
            <v>1</v>
          </cell>
          <cell r="Y498">
            <v>1</v>
          </cell>
          <cell r="Z498">
            <v>1</v>
          </cell>
          <cell r="AA498">
            <v>1</v>
          </cell>
          <cell r="AB498">
            <v>1</v>
          </cell>
        </row>
        <row r="499">
          <cell r="A499" t="str">
            <v>K70x40x2,9</v>
          </cell>
          <cell r="C499">
            <v>4.6864499999999998</v>
          </cell>
          <cell r="D499">
            <v>70</v>
          </cell>
          <cell r="E499">
            <v>40</v>
          </cell>
          <cell r="F499">
            <v>2.9</v>
          </cell>
          <cell r="G499">
            <v>2.9</v>
          </cell>
          <cell r="H499">
            <v>597</v>
          </cell>
          <cell r="I499">
            <v>380675</v>
          </cell>
          <cell r="J499">
            <v>10876</v>
          </cell>
          <cell r="K499">
            <v>13512</v>
          </cell>
          <cell r="L499">
            <v>25.2</v>
          </cell>
          <cell r="N499">
            <v>156618</v>
          </cell>
          <cell r="O499">
            <v>7830</v>
          </cell>
          <cell r="P499">
            <v>9087</v>
          </cell>
          <cell r="Q499">
            <v>16.2</v>
          </cell>
          <cell r="S499">
            <v>350286</v>
          </cell>
          <cell r="W499">
            <v>1</v>
          </cell>
          <cell r="X499">
            <v>1</v>
          </cell>
          <cell r="Y499">
            <v>1</v>
          </cell>
          <cell r="Z499">
            <v>1</v>
          </cell>
          <cell r="AA499">
            <v>1</v>
          </cell>
          <cell r="AB499">
            <v>1</v>
          </cell>
        </row>
        <row r="500">
          <cell r="A500" t="str">
            <v>K70x40x4,0</v>
          </cell>
          <cell r="C500">
            <v>6.2957000000000001</v>
          </cell>
          <cell r="D500">
            <v>70</v>
          </cell>
          <cell r="E500">
            <v>40</v>
          </cell>
          <cell r="F500">
            <v>4</v>
          </cell>
          <cell r="G500">
            <v>4</v>
          </cell>
          <cell r="H500">
            <v>802</v>
          </cell>
          <cell r="I500">
            <v>491807</v>
          </cell>
          <cell r="J500">
            <v>14051</v>
          </cell>
          <cell r="K500">
            <v>17779</v>
          </cell>
          <cell r="L500">
            <v>24.8</v>
          </cell>
          <cell r="N500">
            <v>199010</v>
          </cell>
          <cell r="O500">
            <v>9950</v>
          </cell>
          <cell r="P500">
            <v>11865</v>
          </cell>
          <cell r="Q500">
            <v>15.7</v>
          </cell>
          <cell r="S500">
            <v>453333</v>
          </cell>
          <cell r="W500">
            <v>1</v>
          </cell>
          <cell r="X500">
            <v>1</v>
          </cell>
          <cell r="Y500">
            <v>1</v>
          </cell>
          <cell r="Z500">
            <v>1</v>
          </cell>
          <cell r="AA500">
            <v>1</v>
          </cell>
          <cell r="AB500">
            <v>1</v>
          </cell>
        </row>
        <row r="501">
          <cell r="A501" t="str">
            <v>K70x40x5,0</v>
          </cell>
          <cell r="C501">
            <v>7.6772999999999998</v>
          </cell>
          <cell r="D501">
            <v>70</v>
          </cell>
          <cell r="E501">
            <v>40</v>
          </cell>
          <cell r="F501">
            <v>5</v>
          </cell>
          <cell r="G501">
            <v>5</v>
          </cell>
          <cell r="H501">
            <v>978</v>
          </cell>
          <cell r="I501">
            <v>578676</v>
          </cell>
          <cell r="J501">
            <v>16533</v>
          </cell>
          <cell r="K501">
            <v>21272</v>
          </cell>
          <cell r="L501">
            <v>24.3</v>
          </cell>
          <cell r="N501">
            <v>230662</v>
          </cell>
          <cell r="O501">
            <v>11533</v>
          </cell>
          <cell r="P501">
            <v>14094</v>
          </cell>
          <cell r="Q501">
            <v>15.4</v>
          </cell>
          <cell r="S501">
            <v>534576</v>
          </cell>
          <cell r="W501">
            <v>1</v>
          </cell>
          <cell r="X501">
            <v>1</v>
          </cell>
          <cell r="Y501">
            <v>1</v>
          </cell>
          <cell r="Z501">
            <v>1</v>
          </cell>
          <cell r="AA501">
            <v>1</v>
          </cell>
          <cell r="AB501">
            <v>1</v>
          </cell>
        </row>
        <row r="502">
          <cell r="A502" t="str">
            <v>K80x40x2,9</v>
          </cell>
          <cell r="C502">
            <v>5.14175</v>
          </cell>
          <cell r="D502">
            <v>80</v>
          </cell>
          <cell r="E502">
            <v>40</v>
          </cell>
          <cell r="F502">
            <v>2.9</v>
          </cell>
          <cell r="G502">
            <v>2.9</v>
          </cell>
          <cell r="H502">
            <v>655</v>
          </cell>
          <cell r="I502">
            <v>531207</v>
          </cell>
          <cell r="J502">
            <v>13280</v>
          </cell>
          <cell r="K502">
            <v>16642</v>
          </cell>
          <cell r="L502">
            <v>28.5</v>
          </cell>
          <cell r="N502">
            <v>176617</v>
          </cell>
          <cell r="O502">
            <v>8830</v>
          </cell>
          <cell r="P502">
            <v>10163</v>
          </cell>
          <cell r="Q502">
            <v>16.399999999999999</v>
          </cell>
          <cell r="S502">
            <v>421431</v>
          </cell>
          <cell r="W502">
            <v>1</v>
          </cell>
          <cell r="X502">
            <v>1</v>
          </cell>
          <cell r="Y502">
            <v>1</v>
          </cell>
          <cell r="Z502">
            <v>1</v>
          </cell>
          <cell r="AA502">
            <v>1</v>
          </cell>
          <cell r="AB502">
            <v>1</v>
          </cell>
        </row>
        <row r="503">
          <cell r="A503" t="str">
            <v>K80x40x4,0</v>
          </cell>
          <cell r="C503">
            <v>6.9236999999999993</v>
          </cell>
          <cell r="D503">
            <v>80</v>
          </cell>
          <cell r="E503">
            <v>40</v>
          </cell>
          <cell r="F503">
            <v>4</v>
          </cell>
          <cell r="G503">
            <v>4</v>
          </cell>
          <cell r="H503">
            <v>882</v>
          </cell>
          <cell r="I503">
            <v>690326</v>
          </cell>
          <cell r="J503">
            <v>17258</v>
          </cell>
          <cell r="K503">
            <v>21990</v>
          </cell>
          <cell r="L503">
            <v>28</v>
          </cell>
          <cell r="N503">
            <v>225037</v>
          </cell>
          <cell r="O503">
            <v>11251</v>
          </cell>
          <cell r="P503">
            <v>13305</v>
          </cell>
          <cell r="Q503">
            <v>16</v>
          </cell>
          <cell r="S503">
            <v>546360</v>
          </cell>
          <cell r="W503">
            <v>1</v>
          </cell>
          <cell r="X503">
            <v>1</v>
          </cell>
          <cell r="Y503">
            <v>1</v>
          </cell>
          <cell r="Z503">
            <v>1</v>
          </cell>
          <cell r="AA503">
            <v>1</v>
          </cell>
          <cell r="AB503">
            <v>1</v>
          </cell>
        </row>
        <row r="504">
          <cell r="A504" t="str">
            <v>K80x40x5,0</v>
          </cell>
          <cell r="C504">
            <v>8.462299999999999</v>
          </cell>
          <cell r="D504">
            <v>80</v>
          </cell>
          <cell r="E504">
            <v>40</v>
          </cell>
          <cell r="F504">
            <v>5</v>
          </cell>
          <cell r="G504">
            <v>5</v>
          </cell>
          <cell r="H504">
            <v>1078</v>
          </cell>
          <cell r="I504">
            <v>816702</v>
          </cell>
          <cell r="J504">
            <v>20417</v>
          </cell>
          <cell r="K504">
            <v>26415</v>
          </cell>
          <cell r="L504">
            <v>27.5</v>
          </cell>
          <cell r="N504">
            <v>261495</v>
          </cell>
          <cell r="O504">
            <v>13074</v>
          </cell>
          <cell r="P504">
            <v>15844</v>
          </cell>
          <cell r="Q504">
            <v>15.6</v>
          </cell>
          <cell r="S504">
            <v>645264</v>
          </cell>
          <cell r="W504">
            <v>1</v>
          </cell>
          <cell r="X504">
            <v>1</v>
          </cell>
          <cell r="Y504">
            <v>1</v>
          </cell>
          <cell r="Z504">
            <v>1</v>
          </cell>
          <cell r="AA504">
            <v>1</v>
          </cell>
          <cell r="AB504">
            <v>1</v>
          </cell>
        </row>
        <row r="505">
          <cell r="A505" t="str">
            <v>K80x40x6,3</v>
          </cell>
          <cell r="C505">
            <v>10.354149999999999</v>
          </cell>
          <cell r="D505">
            <v>80</v>
          </cell>
          <cell r="E505">
            <v>40</v>
          </cell>
          <cell r="F505">
            <v>6.3</v>
          </cell>
          <cell r="G505">
            <v>6.3</v>
          </cell>
          <cell r="H505">
            <v>1319</v>
          </cell>
          <cell r="I505">
            <v>956759</v>
          </cell>
          <cell r="J505">
            <v>23919</v>
          </cell>
          <cell r="K505">
            <v>31567</v>
          </cell>
          <cell r="L505">
            <v>26.9</v>
          </cell>
          <cell r="N505">
            <v>299302</v>
          </cell>
          <cell r="O505">
            <v>14965</v>
          </cell>
          <cell r="P505">
            <v>18716</v>
          </cell>
          <cell r="Q505">
            <v>15.1</v>
          </cell>
          <cell r="S505">
            <v>754765</v>
          </cell>
          <cell r="W505">
            <v>1</v>
          </cell>
          <cell r="X505">
            <v>1</v>
          </cell>
          <cell r="Y505">
            <v>1</v>
          </cell>
          <cell r="Z505">
            <v>1</v>
          </cell>
          <cell r="AA505">
            <v>1</v>
          </cell>
          <cell r="AB505">
            <v>1</v>
          </cell>
        </row>
        <row r="506">
          <cell r="A506" t="str">
            <v>K90x50x3,2</v>
          </cell>
          <cell r="C506">
            <v>6.6410999999999998</v>
          </cell>
          <cell r="D506">
            <v>90</v>
          </cell>
          <cell r="E506">
            <v>50</v>
          </cell>
          <cell r="F506">
            <v>3.2</v>
          </cell>
          <cell r="G506">
            <v>3.2</v>
          </cell>
          <cell r="H506">
            <v>846</v>
          </cell>
          <cell r="I506">
            <v>897384</v>
          </cell>
          <cell r="J506">
            <v>19941</v>
          </cell>
          <cell r="K506">
            <v>24681</v>
          </cell>
          <cell r="L506">
            <v>32.6</v>
          </cell>
          <cell r="N506">
            <v>354902</v>
          </cell>
          <cell r="O506">
            <v>14196</v>
          </cell>
          <cell r="P506">
            <v>16306</v>
          </cell>
          <cell r="Q506">
            <v>20.5</v>
          </cell>
          <cell r="S506">
            <v>800741</v>
          </cell>
          <cell r="W506">
            <v>1</v>
          </cell>
          <cell r="X506">
            <v>1</v>
          </cell>
          <cell r="Y506">
            <v>1</v>
          </cell>
          <cell r="Z506">
            <v>1</v>
          </cell>
          <cell r="AA506">
            <v>1</v>
          </cell>
          <cell r="AB506">
            <v>1</v>
          </cell>
        </row>
        <row r="507">
          <cell r="A507" t="str">
            <v>K90x50x4,0</v>
          </cell>
          <cell r="C507">
            <v>8.1797000000000004</v>
          </cell>
          <cell r="D507">
            <v>90</v>
          </cell>
          <cell r="E507">
            <v>50</v>
          </cell>
          <cell r="F507">
            <v>4</v>
          </cell>
          <cell r="G507">
            <v>4</v>
          </cell>
          <cell r="H507">
            <v>1042</v>
          </cell>
          <cell r="I507">
            <v>1080000</v>
          </cell>
          <cell r="J507">
            <v>24021</v>
          </cell>
          <cell r="K507">
            <v>30042</v>
          </cell>
          <cell r="L507">
            <v>32.200000000000003</v>
          </cell>
          <cell r="N507">
            <v>420000</v>
          </cell>
          <cell r="O507">
            <v>16929</v>
          </cell>
          <cell r="P507">
            <v>19756</v>
          </cell>
          <cell r="Q507">
            <v>20.2</v>
          </cell>
          <cell r="S507">
            <v>960000</v>
          </cell>
          <cell r="W507">
            <v>1</v>
          </cell>
          <cell r="X507">
            <v>1</v>
          </cell>
          <cell r="Y507">
            <v>1</v>
          </cell>
          <cell r="Z507">
            <v>1</v>
          </cell>
          <cell r="AA507">
            <v>1</v>
          </cell>
          <cell r="AB507">
            <v>1</v>
          </cell>
        </row>
        <row r="508">
          <cell r="A508" t="str">
            <v>K90x50x5,0</v>
          </cell>
          <cell r="C508">
            <v>10.032299999999999</v>
          </cell>
          <cell r="D508">
            <v>90</v>
          </cell>
          <cell r="E508">
            <v>50</v>
          </cell>
          <cell r="F508">
            <v>5</v>
          </cell>
          <cell r="G508">
            <v>5</v>
          </cell>
          <cell r="H508">
            <v>1278</v>
          </cell>
          <cell r="I508">
            <v>1280000</v>
          </cell>
          <cell r="J508">
            <v>28655</v>
          </cell>
          <cell r="K508">
            <v>36308</v>
          </cell>
          <cell r="L508">
            <v>31.8</v>
          </cell>
          <cell r="N508">
            <v>490000</v>
          </cell>
          <cell r="O508">
            <v>19942</v>
          </cell>
          <cell r="P508">
            <v>23737</v>
          </cell>
          <cell r="Q508">
            <v>19.7</v>
          </cell>
          <cell r="S508">
            <v>1150000</v>
          </cell>
          <cell r="W508">
            <v>1</v>
          </cell>
          <cell r="X508">
            <v>1</v>
          </cell>
          <cell r="Y508">
            <v>1</v>
          </cell>
          <cell r="Z508">
            <v>1</v>
          </cell>
          <cell r="AA508">
            <v>1</v>
          </cell>
          <cell r="AB508">
            <v>1</v>
          </cell>
        </row>
        <row r="509">
          <cell r="A509" t="str">
            <v>K90x50x6,3</v>
          </cell>
          <cell r="C509">
            <v>12.33235</v>
          </cell>
          <cell r="D509">
            <v>90</v>
          </cell>
          <cell r="E509">
            <v>50</v>
          </cell>
          <cell r="F509">
            <v>6.3</v>
          </cell>
          <cell r="G509">
            <v>6.3</v>
          </cell>
          <cell r="H509">
            <v>1571</v>
          </cell>
          <cell r="I509">
            <v>1520000</v>
          </cell>
          <cell r="J509">
            <v>33945</v>
          </cell>
          <cell r="K509">
            <v>43751</v>
          </cell>
          <cell r="L509">
            <v>31.2</v>
          </cell>
          <cell r="N509">
            <v>580000</v>
          </cell>
          <cell r="O509">
            <v>23242</v>
          </cell>
          <cell r="P509">
            <v>28380</v>
          </cell>
          <cell r="Q509">
            <v>19.2</v>
          </cell>
          <cell r="S509">
            <v>1360000</v>
          </cell>
          <cell r="W509">
            <v>1</v>
          </cell>
          <cell r="X509">
            <v>1</v>
          </cell>
          <cell r="Y509">
            <v>1</v>
          </cell>
          <cell r="Z509">
            <v>1</v>
          </cell>
          <cell r="AA509">
            <v>1</v>
          </cell>
          <cell r="AB509">
            <v>1</v>
          </cell>
        </row>
        <row r="510">
          <cell r="A510" t="str">
            <v>K90x50x7,1</v>
          </cell>
          <cell r="C510">
            <v>13.682549999999999</v>
          </cell>
          <cell r="D510">
            <v>90</v>
          </cell>
          <cell r="E510">
            <v>50</v>
          </cell>
          <cell r="F510">
            <v>7.1</v>
          </cell>
          <cell r="G510">
            <v>7.1</v>
          </cell>
          <cell r="H510">
            <v>1743</v>
          </cell>
          <cell r="I510">
            <v>1650000</v>
          </cell>
          <cell r="J510">
            <v>36812</v>
          </cell>
          <cell r="K510">
            <v>47947</v>
          </cell>
          <cell r="L510">
            <v>30.8</v>
          </cell>
          <cell r="N510">
            <v>620000</v>
          </cell>
          <cell r="O510">
            <v>24955</v>
          </cell>
          <cell r="P510">
            <v>30949</v>
          </cell>
          <cell r="Q510">
            <v>18.899999999999999</v>
          </cell>
          <cell r="S510">
            <v>1480000</v>
          </cell>
          <cell r="W510">
            <v>1</v>
          </cell>
          <cell r="X510">
            <v>1</v>
          </cell>
          <cell r="Y510">
            <v>1</v>
          </cell>
          <cell r="Z510">
            <v>1</v>
          </cell>
          <cell r="AA510">
            <v>1</v>
          </cell>
          <cell r="AB510">
            <v>1</v>
          </cell>
        </row>
        <row r="511">
          <cell r="A511" t="str">
            <v>K100x40x2,0</v>
          </cell>
          <cell r="C511">
            <v>4.2389999999999999</v>
          </cell>
          <cell r="D511">
            <v>100</v>
          </cell>
          <cell r="E511">
            <v>40</v>
          </cell>
          <cell r="F511">
            <v>2</v>
          </cell>
          <cell r="G511">
            <v>2</v>
          </cell>
          <cell r="H511">
            <v>540</v>
          </cell>
          <cell r="I511">
            <v>671000</v>
          </cell>
          <cell r="J511">
            <v>13400</v>
          </cell>
          <cell r="K511">
            <v>17054.18</v>
          </cell>
          <cell r="L511">
            <v>35.25</v>
          </cell>
          <cell r="N511">
            <v>159000</v>
          </cell>
          <cell r="O511">
            <v>7940</v>
          </cell>
          <cell r="P511">
            <v>8894.1810000000005</v>
          </cell>
          <cell r="Q511">
            <v>17.16</v>
          </cell>
          <cell r="S511">
            <v>414000</v>
          </cell>
          <cell r="W511">
            <v>1</v>
          </cell>
          <cell r="X511">
            <v>1</v>
          </cell>
          <cell r="Y511">
            <v>1</v>
          </cell>
          <cell r="Z511">
            <v>3</v>
          </cell>
          <cell r="AA511">
            <v>3</v>
          </cell>
          <cell r="AB511">
            <v>3</v>
          </cell>
        </row>
        <row r="512">
          <cell r="A512" t="str">
            <v>K100x40x2,5</v>
          </cell>
          <cell r="C512">
            <v>4.98475</v>
          </cell>
          <cell r="D512">
            <v>100</v>
          </cell>
          <cell r="E512">
            <v>40</v>
          </cell>
          <cell r="F512">
            <v>2.5</v>
          </cell>
          <cell r="G512">
            <v>2.5</v>
          </cell>
          <cell r="H512">
            <v>635</v>
          </cell>
          <cell r="I512">
            <v>833000</v>
          </cell>
          <cell r="J512">
            <v>16700</v>
          </cell>
          <cell r="K512">
            <v>21026.13</v>
          </cell>
          <cell r="L512">
            <v>36.22</v>
          </cell>
          <cell r="N512">
            <v>194000</v>
          </cell>
          <cell r="O512">
            <v>9700</v>
          </cell>
          <cell r="P512">
            <v>10901.13</v>
          </cell>
          <cell r="Q512">
            <v>17.48</v>
          </cell>
          <cell r="S512">
            <v>502000</v>
          </cell>
          <cell r="W512">
            <v>1</v>
          </cell>
          <cell r="X512">
            <v>1</v>
          </cell>
          <cell r="Y512">
            <v>1</v>
          </cell>
          <cell r="Z512">
            <v>2</v>
          </cell>
          <cell r="AA512">
            <v>3</v>
          </cell>
          <cell r="AB512">
            <v>3</v>
          </cell>
        </row>
        <row r="513">
          <cell r="A513" t="str">
            <v>K100x40x3,0</v>
          </cell>
          <cell r="C513">
            <v>6.1308499999999997</v>
          </cell>
          <cell r="D513">
            <v>100</v>
          </cell>
          <cell r="E513">
            <v>40</v>
          </cell>
          <cell r="F513">
            <v>3</v>
          </cell>
          <cell r="G513">
            <v>3</v>
          </cell>
          <cell r="H513">
            <v>781</v>
          </cell>
          <cell r="I513">
            <v>923000</v>
          </cell>
          <cell r="J513">
            <v>18500</v>
          </cell>
          <cell r="K513">
            <v>24887.86</v>
          </cell>
          <cell r="L513">
            <v>34.380000000000003</v>
          </cell>
          <cell r="N513">
            <v>217000</v>
          </cell>
          <cell r="O513">
            <v>10800</v>
          </cell>
          <cell r="P513">
            <v>12827.86</v>
          </cell>
          <cell r="Q513">
            <v>16.670000000000002</v>
          </cell>
          <cell r="S513">
            <v>588000</v>
          </cell>
          <cell r="W513">
            <v>1</v>
          </cell>
          <cell r="X513">
            <v>1</v>
          </cell>
          <cell r="Y513">
            <v>1</v>
          </cell>
          <cell r="Z513">
            <v>1</v>
          </cell>
          <cell r="AA513">
            <v>1</v>
          </cell>
          <cell r="AB513">
            <v>2</v>
          </cell>
        </row>
        <row r="514">
          <cell r="A514" t="str">
            <v>K100x40x4,0</v>
          </cell>
          <cell r="C514">
            <v>8.0069999999999997</v>
          </cell>
          <cell r="D514">
            <v>100</v>
          </cell>
          <cell r="E514">
            <v>40</v>
          </cell>
          <cell r="F514">
            <v>4</v>
          </cell>
          <cell r="G514">
            <v>4</v>
          </cell>
          <cell r="H514">
            <v>1020</v>
          </cell>
          <cell r="I514">
            <v>1160000</v>
          </cell>
          <cell r="J514">
            <v>23100</v>
          </cell>
          <cell r="K514">
            <v>32273.439999999999</v>
          </cell>
          <cell r="L514">
            <v>33.72</v>
          </cell>
          <cell r="N514">
            <v>267000</v>
          </cell>
          <cell r="O514">
            <v>13400</v>
          </cell>
          <cell r="P514">
            <v>16433.439999999999</v>
          </cell>
          <cell r="Q514">
            <v>16.18</v>
          </cell>
          <cell r="S514">
            <v>740000</v>
          </cell>
          <cell r="W514">
            <v>1</v>
          </cell>
          <cell r="X514">
            <v>1</v>
          </cell>
          <cell r="Y514">
            <v>1</v>
          </cell>
          <cell r="Z514">
            <v>1</v>
          </cell>
          <cell r="AA514">
            <v>1</v>
          </cell>
          <cell r="AB514">
            <v>1</v>
          </cell>
        </row>
        <row r="515">
          <cell r="A515" t="str">
            <v>K100x50x3,6</v>
          </cell>
          <cell r="C515">
            <v>7.9834499999999995</v>
          </cell>
          <cell r="D515">
            <v>100</v>
          </cell>
          <cell r="E515">
            <v>50</v>
          </cell>
          <cell r="F515">
            <v>3.6</v>
          </cell>
          <cell r="G515">
            <v>3.6</v>
          </cell>
          <cell r="H515">
            <v>1017</v>
          </cell>
          <cell r="I515">
            <v>1280000</v>
          </cell>
          <cell r="J515">
            <v>25786</v>
          </cell>
          <cell r="K515">
            <v>32306</v>
          </cell>
          <cell r="L515">
            <v>35.6</v>
          </cell>
          <cell r="N515">
            <v>420000</v>
          </cell>
          <cell r="O515">
            <v>17153</v>
          </cell>
          <cell r="P515">
            <v>19732</v>
          </cell>
          <cell r="Q515">
            <v>20.5</v>
          </cell>
          <cell r="S515">
            <v>1020000</v>
          </cell>
          <cell r="W515">
            <v>1</v>
          </cell>
          <cell r="X515">
            <v>1</v>
          </cell>
          <cell r="Y515">
            <v>1</v>
          </cell>
          <cell r="Z515">
            <v>1</v>
          </cell>
          <cell r="AA515">
            <v>1</v>
          </cell>
          <cell r="AB515">
            <v>1</v>
          </cell>
        </row>
        <row r="516">
          <cell r="A516" t="str">
            <v>K100x50x4,5</v>
          </cell>
          <cell r="C516">
            <v>9.8203499999999995</v>
          </cell>
          <cell r="D516">
            <v>100</v>
          </cell>
          <cell r="E516">
            <v>50</v>
          </cell>
          <cell r="F516">
            <v>4.5</v>
          </cell>
          <cell r="G516">
            <v>4.5</v>
          </cell>
          <cell r="H516">
            <v>1251</v>
          </cell>
          <cell r="I516">
            <v>1550000</v>
          </cell>
          <cell r="J516">
            <v>31004</v>
          </cell>
          <cell r="K516">
            <v>39268</v>
          </cell>
          <cell r="L516">
            <v>35.200000000000003</v>
          </cell>
          <cell r="N516">
            <v>500000</v>
          </cell>
          <cell r="O516">
            <v>20359</v>
          </cell>
          <cell r="P516">
            <v>23840</v>
          </cell>
          <cell r="Q516">
            <v>20.2</v>
          </cell>
          <cell r="S516">
            <v>1220000</v>
          </cell>
          <cell r="W516">
            <v>1</v>
          </cell>
          <cell r="X516">
            <v>1</v>
          </cell>
          <cell r="Y516">
            <v>1</v>
          </cell>
          <cell r="Z516">
            <v>1</v>
          </cell>
          <cell r="AA516">
            <v>1</v>
          </cell>
          <cell r="AB516">
            <v>1</v>
          </cell>
        </row>
        <row r="517">
          <cell r="A517" t="str">
            <v>K100x50x5,6</v>
          </cell>
          <cell r="C517">
            <v>11.98695</v>
          </cell>
          <cell r="D517">
            <v>100</v>
          </cell>
          <cell r="E517">
            <v>50</v>
          </cell>
          <cell r="F517">
            <v>5.6</v>
          </cell>
          <cell r="G517">
            <v>5.6</v>
          </cell>
          <cell r="H517">
            <v>1527</v>
          </cell>
          <cell r="I517">
            <v>1830000</v>
          </cell>
          <cell r="J517">
            <v>36771</v>
          </cell>
          <cell r="K517">
            <v>47198</v>
          </cell>
          <cell r="L517">
            <v>34.700000000000003</v>
          </cell>
          <cell r="N517">
            <v>590000</v>
          </cell>
          <cell r="O517">
            <v>23768</v>
          </cell>
          <cell r="P517">
            <v>28439</v>
          </cell>
          <cell r="Q517">
            <v>19.7</v>
          </cell>
          <cell r="S517">
            <v>1450000</v>
          </cell>
          <cell r="W517">
            <v>1</v>
          </cell>
          <cell r="X517">
            <v>1</v>
          </cell>
          <cell r="Y517">
            <v>1</v>
          </cell>
          <cell r="Z517">
            <v>1</v>
          </cell>
          <cell r="AA517">
            <v>1</v>
          </cell>
          <cell r="AB517">
            <v>1</v>
          </cell>
        </row>
        <row r="518">
          <cell r="A518" t="str">
            <v>K100x50x6,3</v>
          </cell>
          <cell r="C518">
            <v>13.321449999999999</v>
          </cell>
          <cell r="D518">
            <v>100</v>
          </cell>
          <cell r="E518">
            <v>50</v>
          </cell>
          <cell r="F518">
            <v>6.3</v>
          </cell>
          <cell r="G518">
            <v>6.3</v>
          </cell>
          <cell r="H518">
            <v>1697</v>
          </cell>
          <cell r="I518">
            <v>2000000</v>
          </cell>
          <cell r="J518">
            <v>40107</v>
          </cell>
          <cell r="K518">
            <v>51922</v>
          </cell>
          <cell r="L518">
            <v>34.4</v>
          </cell>
          <cell r="N518">
            <v>640000</v>
          </cell>
          <cell r="O518">
            <v>25665</v>
          </cell>
          <cell r="P518">
            <v>31133</v>
          </cell>
          <cell r="Q518">
            <v>19.399999999999999</v>
          </cell>
          <cell r="S518">
            <v>1580000</v>
          </cell>
          <cell r="W518">
            <v>1</v>
          </cell>
          <cell r="X518">
            <v>1</v>
          </cell>
          <cell r="Y518">
            <v>1</v>
          </cell>
          <cell r="Z518">
            <v>1</v>
          </cell>
          <cell r="AA518">
            <v>1</v>
          </cell>
          <cell r="AB518">
            <v>1</v>
          </cell>
        </row>
        <row r="519">
          <cell r="A519" t="str">
            <v>K100x50x7,1</v>
          </cell>
          <cell r="C519">
            <v>14.79725</v>
          </cell>
          <cell r="D519">
            <v>100</v>
          </cell>
          <cell r="E519">
            <v>50</v>
          </cell>
          <cell r="F519">
            <v>7.1</v>
          </cell>
          <cell r="G519">
            <v>7.1</v>
          </cell>
          <cell r="H519">
            <v>1885</v>
          </cell>
          <cell r="I519">
            <v>2180000</v>
          </cell>
          <cell r="J519">
            <v>43616</v>
          </cell>
          <cell r="K519">
            <v>57018</v>
          </cell>
          <cell r="L519">
            <v>34</v>
          </cell>
          <cell r="N519">
            <v>690000</v>
          </cell>
          <cell r="O519">
            <v>27592</v>
          </cell>
          <cell r="P519">
            <v>33995</v>
          </cell>
          <cell r="Q519">
            <v>19.100000000000001</v>
          </cell>
          <cell r="S519">
            <v>1720000</v>
          </cell>
          <cell r="W519">
            <v>1</v>
          </cell>
          <cell r="X519">
            <v>1</v>
          </cell>
          <cell r="Y519">
            <v>1</v>
          </cell>
          <cell r="Z519">
            <v>1</v>
          </cell>
          <cell r="AA519">
            <v>1</v>
          </cell>
          <cell r="AB519">
            <v>1</v>
          </cell>
        </row>
        <row r="520">
          <cell r="A520" t="str">
            <v>K100x50x8,0</v>
          </cell>
          <cell r="C520">
            <v>16.39865</v>
          </cell>
          <cell r="D520">
            <v>100</v>
          </cell>
          <cell r="E520">
            <v>50</v>
          </cell>
          <cell r="F520">
            <v>8</v>
          </cell>
          <cell r="G520">
            <v>8</v>
          </cell>
          <cell r="H520">
            <v>2089</v>
          </cell>
          <cell r="I520">
            <v>2360000</v>
          </cell>
          <cell r="J520">
            <v>47190</v>
          </cell>
          <cell r="K520">
            <v>62375</v>
          </cell>
          <cell r="L520">
            <v>33.6</v>
          </cell>
          <cell r="N520">
            <v>730000</v>
          </cell>
          <cell r="O520">
            <v>29472</v>
          </cell>
          <cell r="P520">
            <v>36948</v>
          </cell>
          <cell r="Q520">
            <v>18.8</v>
          </cell>
          <cell r="S520">
            <v>1860000</v>
          </cell>
          <cell r="W520">
            <v>1</v>
          </cell>
          <cell r="X520">
            <v>1</v>
          </cell>
          <cell r="Y520">
            <v>1</v>
          </cell>
          <cell r="Z520">
            <v>1</v>
          </cell>
          <cell r="AA520">
            <v>1</v>
          </cell>
          <cell r="AB520">
            <v>1</v>
          </cell>
        </row>
        <row r="521">
          <cell r="A521" t="str">
            <v>K100x60x3,6</v>
          </cell>
          <cell r="C521">
            <v>8.5486500000000003</v>
          </cell>
          <cell r="D521">
            <v>100</v>
          </cell>
          <cell r="E521">
            <v>60</v>
          </cell>
          <cell r="F521">
            <v>3.6</v>
          </cell>
          <cell r="G521">
            <v>3.6</v>
          </cell>
          <cell r="H521">
            <v>1089</v>
          </cell>
          <cell r="I521">
            <v>1450000</v>
          </cell>
          <cell r="J521">
            <v>29133</v>
          </cell>
          <cell r="K521">
            <v>35776</v>
          </cell>
          <cell r="L521">
            <v>36.6</v>
          </cell>
          <cell r="N521">
            <v>650000</v>
          </cell>
          <cell r="O521">
            <v>21739</v>
          </cell>
          <cell r="P521">
            <v>24997</v>
          </cell>
          <cell r="Q521">
            <v>24.5</v>
          </cell>
          <cell r="S521">
            <v>1410000</v>
          </cell>
          <cell r="W521">
            <v>1</v>
          </cell>
          <cell r="X521">
            <v>1</v>
          </cell>
          <cell r="Y521">
            <v>1</v>
          </cell>
          <cell r="Z521">
            <v>1</v>
          </cell>
          <cell r="AA521">
            <v>1</v>
          </cell>
          <cell r="AB521">
            <v>1</v>
          </cell>
        </row>
        <row r="522">
          <cell r="A522" t="str">
            <v>K100x60x4,5</v>
          </cell>
          <cell r="C522">
            <v>10.52685</v>
          </cell>
          <cell r="D522">
            <v>100</v>
          </cell>
          <cell r="E522">
            <v>60</v>
          </cell>
          <cell r="F522">
            <v>4.5</v>
          </cell>
          <cell r="G522">
            <v>4.5</v>
          </cell>
          <cell r="H522">
            <v>1341</v>
          </cell>
          <cell r="I522">
            <v>1750000</v>
          </cell>
          <cell r="J522">
            <v>35111</v>
          </cell>
          <cell r="K522">
            <v>43565</v>
          </cell>
          <cell r="L522">
            <v>36.200000000000003</v>
          </cell>
          <cell r="N522">
            <v>770000</v>
          </cell>
          <cell r="O522">
            <v>25981</v>
          </cell>
          <cell r="P522">
            <v>30323</v>
          </cell>
          <cell r="Q522">
            <v>24.1</v>
          </cell>
          <cell r="S522">
            <v>1700000</v>
          </cell>
          <cell r="W522">
            <v>1</v>
          </cell>
          <cell r="X522">
            <v>1</v>
          </cell>
          <cell r="Y522">
            <v>1</v>
          </cell>
          <cell r="Z522">
            <v>1</v>
          </cell>
          <cell r="AA522">
            <v>1</v>
          </cell>
          <cell r="AB522">
            <v>1</v>
          </cell>
        </row>
        <row r="523">
          <cell r="A523" t="str">
            <v>K100x60x5,6</v>
          </cell>
          <cell r="C523">
            <v>12.866149999999999</v>
          </cell>
          <cell r="D523">
            <v>100</v>
          </cell>
          <cell r="E523">
            <v>60</v>
          </cell>
          <cell r="F523">
            <v>5.6</v>
          </cell>
          <cell r="G523">
            <v>5.6</v>
          </cell>
          <cell r="H523">
            <v>1639</v>
          </cell>
          <cell r="I523">
            <v>2080000</v>
          </cell>
          <cell r="J523">
            <v>41768</v>
          </cell>
          <cell r="K523">
            <v>52485</v>
          </cell>
          <cell r="L523">
            <v>35.700000000000003</v>
          </cell>
          <cell r="N523">
            <v>910000</v>
          </cell>
          <cell r="O523">
            <v>30591</v>
          </cell>
          <cell r="P523">
            <v>36358</v>
          </cell>
          <cell r="Q523">
            <v>23.7</v>
          </cell>
          <cell r="S523">
            <v>2020000</v>
          </cell>
          <cell r="W523">
            <v>1</v>
          </cell>
          <cell r="X523">
            <v>1</v>
          </cell>
          <cell r="Y523">
            <v>1</v>
          </cell>
          <cell r="Z523">
            <v>1</v>
          </cell>
          <cell r="AA523">
            <v>1</v>
          </cell>
          <cell r="AB523">
            <v>1</v>
          </cell>
        </row>
        <row r="524">
          <cell r="A524" t="str">
            <v>K100x60x7,1</v>
          </cell>
          <cell r="C524">
            <v>15.911949999999999</v>
          </cell>
          <cell r="D524">
            <v>100</v>
          </cell>
          <cell r="E524">
            <v>60</v>
          </cell>
          <cell r="F524">
            <v>7.1</v>
          </cell>
          <cell r="G524">
            <v>7.1</v>
          </cell>
          <cell r="H524">
            <v>2027</v>
          </cell>
          <cell r="I524">
            <v>2480000</v>
          </cell>
          <cell r="J524">
            <v>49755</v>
          </cell>
          <cell r="K524">
            <v>63614</v>
          </cell>
          <cell r="L524">
            <v>35</v>
          </cell>
          <cell r="N524">
            <v>1070000</v>
          </cell>
          <cell r="O524">
            <v>35935</v>
          </cell>
          <cell r="P524">
            <v>43776</v>
          </cell>
          <cell r="Q524">
            <v>23.1</v>
          </cell>
          <cell r="S524">
            <v>2420000</v>
          </cell>
          <cell r="W524">
            <v>1</v>
          </cell>
          <cell r="X524">
            <v>1</v>
          </cell>
          <cell r="Y524">
            <v>1</v>
          </cell>
          <cell r="Z524">
            <v>1</v>
          </cell>
          <cell r="AA524">
            <v>1</v>
          </cell>
          <cell r="AB524">
            <v>1</v>
          </cell>
        </row>
        <row r="525">
          <cell r="A525" t="str">
            <v>K100x60x8,0</v>
          </cell>
          <cell r="C525">
            <v>17.65465</v>
          </cell>
          <cell r="D525">
            <v>100</v>
          </cell>
          <cell r="E525">
            <v>60</v>
          </cell>
          <cell r="F525">
            <v>8</v>
          </cell>
          <cell r="G525">
            <v>8</v>
          </cell>
          <cell r="H525">
            <v>2249</v>
          </cell>
          <cell r="I525">
            <v>2690000</v>
          </cell>
          <cell r="J525">
            <v>53978</v>
          </cell>
          <cell r="K525">
            <v>69735</v>
          </cell>
          <cell r="L525">
            <v>34.6</v>
          </cell>
          <cell r="N525">
            <v>1160000</v>
          </cell>
          <cell r="O525">
            <v>38661</v>
          </cell>
          <cell r="P525">
            <v>47794</v>
          </cell>
          <cell r="Q525">
            <v>22.7</v>
          </cell>
          <cell r="S525">
            <v>2630000</v>
          </cell>
          <cell r="W525">
            <v>1</v>
          </cell>
          <cell r="X525">
            <v>1</v>
          </cell>
          <cell r="Y525">
            <v>1</v>
          </cell>
          <cell r="Z525">
            <v>1</v>
          </cell>
          <cell r="AA525">
            <v>1</v>
          </cell>
          <cell r="AB525">
            <v>1</v>
          </cell>
        </row>
        <row r="526">
          <cell r="A526" t="str">
            <v>K110x60x3,6</v>
          </cell>
          <cell r="C526">
            <v>9.0431999999999988</v>
          </cell>
          <cell r="D526">
            <v>110</v>
          </cell>
          <cell r="E526">
            <v>60</v>
          </cell>
          <cell r="F526">
            <v>3.6</v>
          </cell>
          <cell r="G526">
            <v>3.6</v>
          </cell>
          <cell r="H526">
            <v>1152</v>
          </cell>
          <cell r="I526">
            <v>1810000</v>
          </cell>
          <cell r="J526">
            <v>33023</v>
          </cell>
          <cell r="K526">
            <v>40920</v>
          </cell>
          <cell r="L526">
            <v>39.700000000000003</v>
          </cell>
          <cell r="N526">
            <v>700000</v>
          </cell>
          <cell r="O526">
            <v>23400</v>
          </cell>
          <cell r="P526">
            <v>26769</v>
          </cell>
          <cell r="Q526">
            <v>24.7</v>
          </cell>
          <cell r="S526">
            <v>1620000</v>
          </cell>
          <cell r="W526">
            <v>1</v>
          </cell>
          <cell r="X526">
            <v>1</v>
          </cell>
          <cell r="Y526">
            <v>1</v>
          </cell>
          <cell r="Z526">
            <v>1</v>
          </cell>
          <cell r="AA526">
            <v>1</v>
          </cell>
          <cell r="AB526">
            <v>2</v>
          </cell>
        </row>
        <row r="527">
          <cell r="A527" t="str">
            <v>K110x60x4,5</v>
          </cell>
          <cell r="C527">
            <v>11.12345</v>
          </cell>
          <cell r="D527">
            <v>110</v>
          </cell>
          <cell r="E527">
            <v>60</v>
          </cell>
          <cell r="F527">
            <v>4.5</v>
          </cell>
          <cell r="G527">
            <v>4.5</v>
          </cell>
          <cell r="H527">
            <v>1417</v>
          </cell>
          <cell r="I527">
            <v>2180000</v>
          </cell>
          <cell r="J527">
            <v>39732</v>
          </cell>
          <cell r="K527">
            <v>49750</v>
          </cell>
          <cell r="L527">
            <v>39.299999999999997</v>
          </cell>
          <cell r="N527">
            <v>830000</v>
          </cell>
          <cell r="O527">
            <v>27912</v>
          </cell>
          <cell r="P527">
            <v>32420</v>
          </cell>
          <cell r="Q527">
            <v>24.3</v>
          </cell>
          <cell r="S527">
            <v>1950000</v>
          </cell>
          <cell r="W527">
            <v>1</v>
          </cell>
          <cell r="X527">
            <v>1</v>
          </cell>
          <cell r="Y527">
            <v>1</v>
          </cell>
          <cell r="Z527">
            <v>1</v>
          </cell>
          <cell r="AA527">
            <v>1</v>
          </cell>
          <cell r="AB527">
            <v>1</v>
          </cell>
        </row>
        <row r="528">
          <cell r="A528" t="str">
            <v>K110x60x5,6</v>
          </cell>
          <cell r="C528">
            <v>13.580499999999999</v>
          </cell>
          <cell r="D528">
            <v>110</v>
          </cell>
          <cell r="E528">
            <v>60</v>
          </cell>
          <cell r="F528">
            <v>5.6</v>
          </cell>
          <cell r="G528">
            <v>5.6</v>
          </cell>
          <cell r="H528">
            <v>1730</v>
          </cell>
          <cell r="I528">
            <v>2590000</v>
          </cell>
          <cell r="J528">
            <v>47155</v>
          </cell>
          <cell r="K528">
            <v>59811</v>
          </cell>
          <cell r="L528">
            <v>38.700000000000003</v>
          </cell>
          <cell r="N528">
            <v>980000</v>
          </cell>
          <cell r="O528">
            <v>32780</v>
          </cell>
          <cell r="P528">
            <v>38790</v>
          </cell>
          <cell r="Q528">
            <v>23.8</v>
          </cell>
          <cell r="S528">
            <v>2330000</v>
          </cell>
          <cell r="W528">
            <v>1</v>
          </cell>
          <cell r="X528">
            <v>1</v>
          </cell>
          <cell r="Y528">
            <v>1</v>
          </cell>
          <cell r="Z528">
            <v>1</v>
          </cell>
          <cell r="AA528">
            <v>1</v>
          </cell>
          <cell r="AB528">
            <v>1</v>
          </cell>
        </row>
        <row r="529">
          <cell r="A529" t="str">
            <v>K110x60x7,1</v>
          </cell>
          <cell r="C529">
            <v>16.751899999999999</v>
          </cell>
          <cell r="D529">
            <v>110</v>
          </cell>
          <cell r="E529">
            <v>60</v>
          </cell>
          <cell r="F529">
            <v>7.1</v>
          </cell>
          <cell r="G529">
            <v>7.1</v>
          </cell>
          <cell r="H529">
            <v>2134</v>
          </cell>
          <cell r="I529">
            <v>3070000</v>
          </cell>
          <cell r="J529">
            <v>55967</v>
          </cell>
          <cell r="K529">
            <v>72266</v>
          </cell>
          <cell r="L529">
            <v>38</v>
          </cell>
          <cell r="N529">
            <v>1150000</v>
          </cell>
          <cell r="O529">
            <v>38357</v>
          </cell>
          <cell r="P529">
            <v>46559</v>
          </cell>
          <cell r="Q529">
            <v>23.2</v>
          </cell>
          <cell r="S529">
            <v>2790000</v>
          </cell>
          <cell r="W529">
            <v>1</v>
          </cell>
          <cell r="X529">
            <v>1</v>
          </cell>
          <cell r="Y529">
            <v>1</v>
          </cell>
          <cell r="Z529">
            <v>1</v>
          </cell>
          <cell r="AA529">
            <v>1</v>
          </cell>
          <cell r="AB529">
            <v>1</v>
          </cell>
        </row>
        <row r="530">
          <cell r="A530" t="str">
            <v>K120x60x3,6</v>
          </cell>
          <cell r="C530">
            <v>9.6083999999999996</v>
          </cell>
          <cell r="D530">
            <v>120</v>
          </cell>
          <cell r="E530">
            <v>60</v>
          </cell>
          <cell r="F530">
            <v>3.6</v>
          </cell>
          <cell r="G530">
            <v>3.6</v>
          </cell>
          <cell r="H530">
            <v>1224</v>
          </cell>
          <cell r="I530">
            <v>2250000</v>
          </cell>
          <cell r="J530">
            <v>37581</v>
          </cell>
          <cell r="K530">
            <v>46861</v>
          </cell>
          <cell r="L530">
            <v>42.9</v>
          </cell>
          <cell r="N530">
            <v>750000</v>
          </cell>
          <cell r="O530">
            <v>25311</v>
          </cell>
          <cell r="P530">
            <v>28799</v>
          </cell>
          <cell r="Q530">
            <v>24.9</v>
          </cell>
          <cell r="S530">
            <v>1820000</v>
          </cell>
          <cell r="W530">
            <v>1</v>
          </cell>
          <cell r="X530">
            <v>1</v>
          </cell>
          <cell r="Y530">
            <v>1</v>
          </cell>
          <cell r="Z530">
            <v>1</v>
          </cell>
          <cell r="AA530">
            <v>1</v>
          </cell>
          <cell r="AB530">
            <v>2</v>
          </cell>
        </row>
        <row r="531">
          <cell r="A531" t="str">
            <v>K120x60x4,0</v>
          </cell>
          <cell r="C531">
            <v>10.60535</v>
          </cell>
          <cell r="D531">
            <v>120</v>
          </cell>
          <cell r="E531">
            <v>60</v>
          </cell>
          <cell r="F531">
            <v>4</v>
          </cell>
          <cell r="G531">
            <v>4</v>
          </cell>
          <cell r="H531">
            <v>1351</v>
          </cell>
          <cell r="I531">
            <v>2460000</v>
          </cell>
          <cell r="J531">
            <v>41097</v>
          </cell>
          <cell r="K531">
            <v>51468</v>
          </cell>
          <cell r="L531">
            <v>42.7</v>
          </cell>
          <cell r="N531">
            <v>820000</v>
          </cell>
          <cell r="O531">
            <v>27560</v>
          </cell>
          <cell r="P531">
            <v>31570</v>
          </cell>
          <cell r="Q531">
            <v>24.7</v>
          </cell>
          <cell r="S531">
            <v>1990000</v>
          </cell>
          <cell r="W531">
            <v>1</v>
          </cell>
          <cell r="X531">
            <v>1</v>
          </cell>
          <cell r="Y531">
            <v>1</v>
          </cell>
          <cell r="Z531">
            <v>1</v>
          </cell>
          <cell r="AA531">
            <v>1</v>
          </cell>
          <cell r="AB531">
            <v>2</v>
          </cell>
        </row>
        <row r="532">
          <cell r="A532" t="str">
            <v>K120x60x5,0</v>
          </cell>
          <cell r="C532">
            <v>13.03885</v>
          </cell>
          <cell r="D532">
            <v>120</v>
          </cell>
          <cell r="E532">
            <v>60</v>
          </cell>
          <cell r="F532">
            <v>5</v>
          </cell>
          <cell r="G532">
            <v>5</v>
          </cell>
          <cell r="H532">
            <v>1661</v>
          </cell>
          <cell r="I532">
            <v>2960000</v>
          </cell>
          <cell r="J532">
            <v>49344</v>
          </cell>
          <cell r="K532">
            <v>62479</v>
          </cell>
          <cell r="L532">
            <v>42.2</v>
          </cell>
          <cell r="N532">
            <v>980000</v>
          </cell>
          <cell r="O532">
            <v>32738</v>
          </cell>
          <cell r="P532">
            <v>38138</v>
          </cell>
          <cell r="Q532">
            <v>24.3</v>
          </cell>
          <cell r="S532">
            <v>2400000</v>
          </cell>
          <cell r="W532">
            <v>1</v>
          </cell>
          <cell r="X532">
            <v>1</v>
          </cell>
          <cell r="Y532">
            <v>1</v>
          </cell>
          <cell r="Z532">
            <v>1</v>
          </cell>
          <cell r="AA532">
            <v>1</v>
          </cell>
          <cell r="AB532">
            <v>1</v>
          </cell>
        </row>
        <row r="533">
          <cell r="A533" t="str">
            <v>K120x60x6,3</v>
          </cell>
          <cell r="C533">
            <v>16.068950000000001</v>
          </cell>
          <cell r="D533">
            <v>120</v>
          </cell>
          <cell r="E533">
            <v>60</v>
          </cell>
          <cell r="F533">
            <v>6.3</v>
          </cell>
          <cell r="G533">
            <v>6.3</v>
          </cell>
          <cell r="H533">
            <v>2047</v>
          </cell>
          <cell r="I533">
            <v>3530000</v>
          </cell>
          <cell r="J533">
            <v>58949</v>
          </cell>
          <cell r="K533">
            <v>75727</v>
          </cell>
          <cell r="L533">
            <v>41.6</v>
          </cell>
          <cell r="N533">
            <v>1150000</v>
          </cell>
          <cell r="O533">
            <v>38570</v>
          </cell>
          <cell r="P533">
            <v>45928</v>
          </cell>
          <cell r="Q533">
            <v>23.8</v>
          </cell>
          <cell r="S533">
            <v>2890000</v>
          </cell>
          <cell r="W533">
            <v>1</v>
          </cell>
          <cell r="X533">
            <v>1</v>
          </cell>
          <cell r="Y533">
            <v>1</v>
          </cell>
          <cell r="Z533">
            <v>1</v>
          </cell>
          <cell r="AA533">
            <v>1</v>
          </cell>
          <cell r="AB533">
            <v>1</v>
          </cell>
        </row>
        <row r="534">
          <cell r="A534" t="str">
            <v>K120x60x7,1</v>
          </cell>
          <cell r="C534">
            <v>17.866599999999998</v>
          </cell>
          <cell r="D534">
            <v>120</v>
          </cell>
          <cell r="E534">
            <v>60</v>
          </cell>
          <cell r="F534">
            <v>7.1</v>
          </cell>
          <cell r="G534">
            <v>7.1</v>
          </cell>
          <cell r="H534">
            <v>2276</v>
          </cell>
          <cell r="I534">
            <v>3850000</v>
          </cell>
          <cell r="J534">
            <v>64257</v>
          </cell>
          <cell r="K534">
            <v>83294</v>
          </cell>
          <cell r="L534">
            <v>41.2</v>
          </cell>
          <cell r="N534">
            <v>1250000</v>
          </cell>
          <cell r="O534">
            <v>41688</v>
          </cell>
          <cell r="P534">
            <v>50315</v>
          </cell>
          <cell r="Q534">
            <v>23.4</v>
          </cell>
          <cell r="S534">
            <v>3160000</v>
          </cell>
          <cell r="W534">
            <v>1</v>
          </cell>
          <cell r="X534">
            <v>1</v>
          </cell>
          <cell r="Y534">
            <v>1</v>
          </cell>
          <cell r="Z534">
            <v>1</v>
          </cell>
          <cell r="AA534">
            <v>1</v>
          </cell>
          <cell r="AB534">
            <v>1</v>
          </cell>
        </row>
        <row r="535">
          <cell r="A535" t="str">
            <v>K120x60x8,0</v>
          </cell>
          <cell r="C535">
            <v>19.821249999999999</v>
          </cell>
          <cell r="D535">
            <v>120</v>
          </cell>
          <cell r="E535">
            <v>60</v>
          </cell>
          <cell r="F535">
            <v>8</v>
          </cell>
          <cell r="G535">
            <v>8</v>
          </cell>
          <cell r="H535">
            <v>2525</v>
          </cell>
          <cell r="I535">
            <v>4180000</v>
          </cell>
          <cell r="J535">
            <v>69702</v>
          </cell>
          <cell r="K535">
            <v>91283</v>
          </cell>
          <cell r="L535">
            <v>40.700000000000003</v>
          </cell>
          <cell r="N535">
            <v>1340000</v>
          </cell>
          <cell r="O535">
            <v>44794</v>
          </cell>
          <cell r="P535">
            <v>54890</v>
          </cell>
          <cell r="Q535">
            <v>23.1</v>
          </cell>
          <cell r="S535">
            <v>3440000</v>
          </cell>
          <cell r="W535">
            <v>1</v>
          </cell>
          <cell r="X535">
            <v>1</v>
          </cell>
          <cell r="Y535">
            <v>1</v>
          </cell>
          <cell r="Z535">
            <v>1</v>
          </cell>
          <cell r="AA535">
            <v>1</v>
          </cell>
          <cell r="AB535">
            <v>1</v>
          </cell>
        </row>
        <row r="536">
          <cell r="A536" t="str">
            <v>K120x80x4,0</v>
          </cell>
          <cell r="C536">
            <v>11.86135</v>
          </cell>
          <cell r="D536">
            <v>120</v>
          </cell>
          <cell r="E536">
            <v>80</v>
          </cell>
          <cell r="F536">
            <v>4</v>
          </cell>
          <cell r="G536">
            <v>4</v>
          </cell>
          <cell r="H536">
            <v>1511</v>
          </cell>
          <cell r="I536">
            <v>3000000</v>
          </cell>
          <cell r="J536">
            <v>50071</v>
          </cell>
          <cell r="K536">
            <v>60748</v>
          </cell>
          <cell r="L536">
            <v>44.6</v>
          </cell>
          <cell r="N536">
            <v>1590000</v>
          </cell>
          <cell r="O536">
            <v>39967</v>
          </cell>
          <cell r="P536">
            <v>45883</v>
          </cell>
          <cell r="Q536">
            <v>32.5</v>
          </cell>
          <cell r="S536">
            <v>3290000</v>
          </cell>
          <cell r="W536">
            <v>1</v>
          </cell>
          <cell r="X536">
            <v>1</v>
          </cell>
          <cell r="Y536">
            <v>1</v>
          </cell>
          <cell r="Z536">
            <v>1</v>
          </cell>
          <cell r="AA536">
            <v>1</v>
          </cell>
          <cell r="AB536">
            <v>2</v>
          </cell>
        </row>
        <row r="537">
          <cell r="A537" t="str">
            <v>K120x80x5,0</v>
          </cell>
          <cell r="C537">
            <v>14.608849999999999</v>
          </cell>
          <cell r="D537">
            <v>120</v>
          </cell>
          <cell r="E537">
            <v>80</v>
          </cell>
          <cell r="F537">
            <v>5</v>
          </cell>
          <cell r="G537">
            <v>5</v>
          </cell>
          <cell r="H537">
            <v>1861</v>
          </cell>
          <cell r="I537">
            <v>3620000</v>
          </cell>
          <cell r="J537">
            <v>60372</v>
          </cell>
          <cell r="K537">
            <v>73979</v>
          </cell>
          <cell r="L537">
            <v>44.1</v>
          </cell>
          <cell r="N537">
            <v>1910000</v>
          </cell>
          <cell r="O537">
            <v>47943</v>
          </cell>
          <cell r="P537">
            <v>55751</v>
          </cell>
          <cell r="Q537">
            <v>32.1</v>
          </cell>
          <cell r="S537">
            <v>3990000</v>
          </cell>
          <cell r="W537">
            <v>1</v>
          </cell>
          <cell r="X537">
            <v>1</v>
          </cell>
          <cell r="Y537">
            <v>1</v>
          </cell>
          <cell r="Z537">
            <v>1</v>
          </cell>
          <cell r="AA537">
            <v>1</v>
          </cell>
          <cell r="AB537">
            <v>1</v>
          </cell>
        </row>
        <row r="538">
          <cell r="A538" t="str">
            <v>K120x80x6,3</v>
          </cell>
          <cell r="C538">
            <v>18.047149999999998</v>
          </cell>
          <cell r="D538">
            <v>120</v>
          </cell>
          <cell r="E538">
            <v>80</v>
          </cell>
          <cell r="F538">
            <v>6.3</v>
          </cell>
          <cell r="G538">
            <v>6.3</v>
          </cell>
          <cell r="H538">
            <v>2299</v>
          </cell>
          <cell r="I538">
            <v>4350000</v>
          </cell>
          <cell r="J538">
            <v>72537</v>
          </cell>
          <cell r="K538">
            <v>90053</v>
          </cell>
          <cell r="L538">
            <v>43.5</v>
          </cell>
          <cell r="N538">
            <v>2280000</v>
          </cell>
          <cell r="O538">
            <v>57222</v>
          </cell>
          <cell r="P538">
            <v>67668</v>
          </cell>
          <cell r="Q538">
            <v>31.5</v>
          </cell>
          <cell r="S538">
            <v>4840000</v>
          </cell>
          <cell r="W538">
            <v>1</v>
          </cell>
          <cell r="X538">
            <v>1</v>
          </cell>
          <cell r="Y538">
            <v>1</v>
          </cell>
          <cell r="Z538">
            <v>1</v>
          </cell>
          <cell r="AA538">
            <v>1</v>
          </cell>
          <cell r="AB538">
            <v>1</v>
          </cell>
        </row>
        <row r="539">
          <cell r="A539" t="str">
            <v>K120x80x8,0</v>
          </cell>
          <cell r="C539">
            <v>22.33325</v>
          </cell>
          <cell r="D539">
            <v>120</v>
          </cell>
          <cell r="E539">
            <v>80</v>
          </cell>
          <cell r="F539">
            <v>8</v>
          </cell>
          <cell r="G539">
            <v>8</v>
          </cell>
          <cell r="H539">
            <v>2845</v>
          </cell>
          <cell r="I539">
            <v>5180000</v>
          </cell>
          <cell r="J539">
            <v>86456</v>
          </cell>
          <cell r="K539">
            <v>109203</v>
          </cell>
          <cell r="L539">
            <v>42.7</v>
          </cell>
          <cell r="N539">
            <v>2700000</v>
          </cell>
          <cell r="O539">
            <v>67620</v>
          </cell>
          <cell r="P539">
            <v>81741</v>
          </cell>
          <cell r="Q539">
            <v>30.8</v>
          </cell>
          <cell r="S539">
            <v>5840000</v>
          </cell>
          <cell r="W539">
            <v>1</v>
          </cell>
          <cell r="X539">
            <v>1</v>
          </cell>
          <cell r="Y539">
            <v>1</v>
          </cell>
          <cell r="Z539">
            <v>1</v>
          </cell>
          <cell r="AA539">
            <v>1</v>
          </cell>
          <cell r="AB539">
            <v>1</v>
          </cell>
        </row>
        <row r="540">
          <cell r="A540" t="str">
            <v>K140x70x4,0</v>
          </cell>
          <cell r="C540">
            <v>12.48935</v>
          </cell>
          <cell r="D540">
            <v>140</v>
          </cell>
          <cell r="E540">
            <v>70</v>
          </cell>
          <cell r="F540">
            <v>4</v>
          </cell>
          <cell r="G540">
            <v>4</v>
          </cell>
          <cell r="H540">
            <v>1591</v>
          </cell>
          <cell r="I540">
            <v>4000000</v>
          </cell>
          <cell r="J540">
            <v>57224</v>
          </cell>
          <cell r="K540">
            <v>71221</v>
          </cell>
          <cell r="L540">
            <v>50.2</v>
          </cell>
          <cell r="N540">
            <v>1350000</v>
          </cell>
          <cell r="O540">
            <v>38612</v>
          </cell>
          <cell r="P540">
            <v>43806</v>
          </cell>
          <cell r="Q540">
            <v>29.1</v>
          </cell>
          <cell r="S540">
            <v>3240000</v>
          </cell>
          <cell r="W540">
            <v>1</v>
          </cell>
          <cell r="X540">
            <v>1</v>
          </cell>
          <cell r="Y540">
            <v>1</v>
          </cell>
          <cell r="Z540">
            <v>1</v>
          </cell>
          <cell r="AA540">
            <v>2</v>
          </cell>
          <cell r="AB540">
            <v>3</v>
          </cell>
        </row>
        <row r="541">
          <cell r="A541" t="str">
            <v>K10x70x5,0</v>
          </cell>
          <cell r="C541">
            <v>15.393849999999999</v>
          </cell>
          <cell r="D541">
            <v>140</v>
          </cell>
          <cell r="E541">
            <v>70</v>
          </cell>
          <cell r="F541">
            <v>5</v>
          </cell>
          <cell r="G541">
            <v>5</v>
          </cell>
          <cell r="H541">
            <v>1961</v>
          </cell>
          <cell r="I541">
            <v>4830000</v>
          </cell>
          <cell r="J541">
            <v>69127</v>
          </cell>
          <cell r="K541">
            <v>86843</v>
          </cell>
          <cell r="L541">
            <v>49.7</v>
          </cell>
          <cell r="N541">
            <v>1610000</v>
          </cell>
          <cell r="O541">
            <v>46216</v>
          </cell>
          <cell r="P541">
            <v>53195</v>
          </cell>
          <cell r="Q541">
            <v>28.7</v>
          </cell>
          <cell r="S541">
            <v>3920000</v>
          </cell>
          <cell r="W541">
            <v>1</v>
          </cell>
          <cell r="X541">
            <v>1</v>
          </cell>
          <cell r="Y541">
            <v>1</v>
          </cell>
          <cell r="Z541">
            <v>1</v>
          </cell>
          <cell r="AA541">
            <v>1</v>
          </cell>
          <cell r="AB541">
            <v>1</v>
          </cell>
        </row>
        <row r="542">
          <cell r="A542" t="str">
            <v>K140x70x6,3</v>
          </cell>
          <cell r="C542">
            <v>19.036249999999999</v>
          </cell>
          <cell r="D542">
            <v>140</v>
          </cell>
          <cell r="E542">
            <v>70</v>
          </cell>
          <cell r="F542">
            <v>6.3</v>
          </cell>
          <cell r="G542">
            <v>6.3</v>
          </cell>
          <cell r="H542">
            <v>2425</v>
          </cell>
          <cell r="I542">
            <v>5820000</v>
          </cell>
          <cell r="J542">
            <v>83259</v>
          </cell>
          <cell r="K542">
            <v>105889</v>
          </cell>
          <cell r="L542">
            <v>49</v>
          </cell>
          <cell r="N542">
            <v>1920000</v>
          </cell>
          <cell r="O542">
            <v>55003</v>
          </cell>
          <cell r="P542">
            <v>64509</v>
          </cell>
          <cell r="Q542">
            <v>28.2</v>
          </cell>
          <cell r="S542">
            <v>4740000</v>
          </cell>
          <cell r="W542">
            <v>1</v>
          </cell>
          <cell r="X542">
            <v>1</v>
          </cell>
          <cell r="Y542">
            <v>1</v>
          </cell>
          <cell r="Z542">
            <v>1</v>
          </cell>
          <cell r="AA542">
            <v>1</v>
          </cell>
          <cell r="AB542">
            <v>1</v>
          </cell>
        </row>
        <row r="543">
          <cell r="A543" t="str">
            <v>K140x70x7,1</v>
          </cell>
          <cell r="C543">
            <v>21.210699999999999</v>
          </cell>
          <cell r="D543">
            <v>140</v>
          </cell>
          <cell r="E543">
            <v>70</v>
          </cell>
          <cell r="F543">
            <v>7.1</v>
          </cell>
          <cell r="G543">
            <v>7.1</v>
          </cell>
          <cell r="H543">
            <v>2702</v>
          </cell>
          <cell r="I543">
            <v>6380000</v>
          </cell>
          <cell r="J543">
            <v>91229</v>
          </cell>
          <cell r="K543">
            <v>116914</v>
          </cell>
          <cell r="L543">
            <v>48.6</v>
          </cell>
          <cell r="N543">
            <v>2090000</v>
          </cell>
          <cell r="O543">
            <v>59828</v>
          </cell>
          <cell r="P543">
            <v>70984</v>
          </cell>
          <cell r="Q543">
            <v>27.8</v>
          </cell>
          <cell r="S543">
            <v>5210000</v>
          </cell>
          <cell r="W543">
            <v>1</v>
          </cell>
          <cell r="X543">
            <v>1</v>
          </cell>
          <cell r="Y543">
            <v>1</v>
          </cell>
          <cell r="Z543">
            <v>1</v>
          </cell>
          <cell r="AA543">
            <v>1</v>
          </cell>
          <cell r="AB543">
            <v>1</v>
          </cell>
        </row>
        <row r="544">
          <cell r="A544" t="str">
            <v>K140x70x8,0</v>
          </cell>
          <cell r="C544">
            <v>23.58925</v>
          </cell>
          <cell r="D544">
            <v>140</v>
          </cell>
          <cell r="E544">
            <v>70</v>
          </cell>
          <cell r="F544">
            <v>8</v>
          </cell>
          <cell r="G544">
            <v>8</v>
          </cell>
          <cell r="H544">
            <v>3005</v>
          </cell>
          <cell r="I544">
            <v>6960000</v>
          </cell>
          <cell r="J544">
            <v>99554</v>
          </cell>
          <cell r="K544">
            <v>128694</v>
          </cell>
          <cell r="L544">
            <v>48.2</v>
          </cell>
          <cell r="N544">
            <v>2260000</v>
          </cell>
          <cell r="O544">
            <v>64754</v>
          </cell>
          <cell r="P544">
            <v>77835</v>
          </cell>
          <cell r="Q544">
            <v>27.5</v>
          </cell>
          <cell r="S544">
            <v>5700000</v>
          </cell>
          <cell r="W544">
            <v>1</v>
          </cell>
          <cell r="X544">
            <v>1</v>
          </cell>
          <cell r="Y544">
            <v>1</v>
          </cell>
          <cell r="Z544">
            <v>1</v>
          </cell>
          <cell r="AA544">
            <v>1</v>
          </cell>
          <cell r="AB544">
            <v>1</v>
          </cell>
        </row>
        <row r="545">
          <cell r="A545" t="str">
            <v>K140x80x4,0</v>
          </cell>
          <cell r="C545">
            <v>13.11735</v>
          </cell>
          <cell r="D545">
            <v>140</v>
          </cell>
          <cell r="E545">
            <v>80</v>
          </cell>
          <cell r="F545">
            <v>4</v>
          </cell>
          <cell r="G545">
            <v>4</v>
          </cell>
          <cell r="H545">
            <v>1671</v>
          </cell>
          <cell r="I545">
            <v>4370000</v>
          </cell>
          <cell r="J545">
            <v>62510</v>
          </cell>
          <cell r="K545">
            <v>76661</v>
          </cell>
          <cell r="L545">
            <v>51.2</v>
          </cell>
          <cell r="N545">
            <v>1830000</v>
          </cell>
          <cell r="O545">
            <v>45748</v>
          </cell>
          <cell r="P545">
            <v>51963</v>
          </cell>
          <cell r="Q545">
            <v>33.1</v>
          </cell>
          <cell r="S545">
            <v>4090000</v>
          </cell>
          <cell r="W545">
            <v>1</v>
          </cell>
          <cell r="X545">
            <v>1</v>
          </cell>
          <cell r="Y545">
            <v>1</v>
          </cell>
          <cell r="Z545">
            <v>1</v>
          </cell>
          <cell r="AA545">
            <v>2</v>
          </cell>
          <cell r="AB545">
            <v>3</v>
          </cell>
        </row>
        <row r="546">
          <cell r="A546" t="str">
            <v>K140x80x5,0</v>
          </cell>
          <cell r="C546">
            <v>16.178850000000001</v>
          </cell>
          <cell r="D546">
            <v>140</v>
          </cell>
          <cell r="E546">
            <v>80</v>
          </cell>
          <cell r="F546">
            <v>5</v>
          </cell>
          <cell r="G546">
            <v>5</v>
          </cell>
          <cell r="H546">
            <v>2061</v>
          </cell>
          <cell r="I546">
            <v>5290000</v>
          </cell>
          <cell r="J546">
            <v>75639</v>
          </cell>
          <cell r="K546">
            <v>93593</v>
          </cell>
          <cell r="L546">
            <v>50.7</v>
          </cell>
          <cell r="N546">
            <v>2190000</v>
          </cell>
          <cell r="O546">
            <v>54984</v>
          </cell>
          <cell r="P546">
            <v>63251</v>
          </cell>
          <cell r="Q546">
            <v>32.700000000000003</v>
          </cell>
          <cell r="S546">
            <v>4970000</v>
          </cell>
          <cell r="W546">
            <v>1</v>
          </cell>
          <cell r="X546">
            <v>1</v>
          </cell>
          <cell r="Y546">
            <v>1</v>
          </cell>
          <cell r="Z546">
            <v>1</v>
          </cell>
          <cell r="AA546">
            <v>1</v>
          </cell>
          <cell r="AB546">
            <v>1</v>
          </cell>
        </row>
        <row r="547">
          <cell r="A547" t="str">
            <v>K140x80x6,3</v>
          </cell>
          <cell r="C547">
            <v>20.02535</v>
          </cell>
          <cell r="D547">
            <v>140</v>
          </cell>
          <cell r="E547">
            <v>80</v>
          </cell>
          <cell r="F547">
            <v>6.3</v>
          </cell>
          <cell r="G547">
            <v>6.3</v>
          </cell>
          <cell r="H547">
            <v>2551</v>
          </cell>
          <cell r="I547">
            <v>6390000</v>
          </cell>
          <cell r="J547">
            <v>91309</v>
          </cell>
          <cell r="K547">
            <v>114313</v>
          </cell>
          <cell r="L547">
            <v>50</v>
          </cell>
          <cell r="N547">
            <v>2630000</v>
          </cell>
          <cell r="O547">
            <v>65798</v>
          </cell>
          <cell r="P547">
            <v>76954</v>
          </cell>
          <cell r="Q547">
            <v>32.1</v>
          </cell>
          <cell r="S547">
            <v>6040000</v>
          </cell>
          <cell r="W547">
            <v>1</v>
          </cell>
          <cell r="X547">
            <v>1</v>
          </cell>
          <cell r="Y547">
            <v>1</v>
          </cell>
          <cell r="Z547">
            <v>1</v>
          </cell>
          <cell r="AA547">
            <v>1</v>
          </cell>
          <cell r="AB547">
            <v>1</v>
          </cell>
        </row>
        <row r="548">
          <cell r="A548" t="str">
            <v>K140x80x7,1</v>
          </cell>
          <cell r="C548">
            <v>22.325399999999998</v>
          </cell>
          <cell r="D548">
            <v>140</v>
          </cell>
          <cell r="E548">
            <v>80</v>
          </cell>
          <cell r="F548">
            <v>7.1</v>
          </cell>
          <cell r="G548">
            <v>7.1</v>
          </cell>
          <cell r="H548">
            <v>2844</v>
          </cell>
          <cell r="I548">
            <v>7010000</v>
          </cell>
          <cell r="J548">
            <v>100195</v>
          </cell>
          <cell r="K548">
            <v>126350</v>
          </cell>
          <cell r="L548">
            <v>49.7</v>
          </cell>
          <cell r="N548">
            <v>2870000</v>
          </cell>
          <cell r="O548">
            <v>71814</v>
          </cell>
          <cell r="P548">
            <v>84851</v>
          </cell>
          <cell r="Q548">
            <v>31.8</v>
          </cell>
          <cell r="S548">
            <v>6650000</v>
          </cell>
          <cell r="W548">
            <v>1</v>
          </cell>
          <cell r="X548">
            <v>1</v>
          </cell>
          <cell r="Y548">
            <v>1</v>
          </cell>
          <cell r="Z548">
            <v>1</v>
          </cell>
          <cell r="AA548">
            <v>1</v>
          </cell>
          <cell r="AB548">
            <v>1</v>
          </cell>
        </row>
        <row r="549">
          <cell r="A549" t="str">
            <v>K140x80x8,0</v>
          </cell>
          <cell r="C549">
            <v>24.84525</v>
          </cell>
          <cell r="D549">
            <v>140</v>
          </cell>
          <cell r="E549">
            <v>80</v>
          </cell>
          <cell r="F549">
            <v>8</v>
          </cell>
          <cell r="G549">
            <v>8</v>
          </cell>
          <cell r="H549">
            <v>3165</v>
          </cell>
          <cell r="I549">
            <v>7660000</v>
          </cell>
          <cell r="J549">
            <v>109523</v>
          </cell>
          <cell r="K549">
            <v>139254</v>
          </cell>
          <cell r="L549">
            <v>49.2</v>
          </cell>
          <cell r="N549">
            <v>3120000</v>
          </cell>
          <cell r="O549">
            <v>78030</v>
          </cell>
          <cell r="P549">
            <v>93261</v>
          </cell>
          <cell r="Q549">
            <v>31.4</v>
          </cell>
          <cell r="S549">
            <v>7300000</v>
          </cell>
          <cell r="W549">
            <v>1</v>
          </cell>
          <cell r="X549">
            <v>1</v>
          </cell>
          <cell r="Y549">
            <v>1</v>
          </cell>
          <cell r="Z549">
            <v>1</v>
          </cell>
          <cell r="AA549">
            <v>1</v>
          </cell>
          <cell r="AB549">
            <v>1</v>
          </cell>
        </row>
        <row r="550">
          <cell r="A550" t="str">
            <v>K140x80x10,0</v>
          </cell>
          <cell r="C550">
            <v>30.183249999999997</v>
          </cell>
          <cell r="D550">
            <v>140</v>
          </cell>
          <cell r="E550">
            <v>80</v>
          </cell>
          <cell r="F550">
            <v>10</v>
          </cell>
          <cell r="G550">
            <v>10</v>
          </cell>
          <cell r="H550">
            <v>3845</v>
          </cell>
          <cell r="I550">
            <v>8940000</v>
          </cell>
          <cell r="J550">
            <v>127825</v>
          </cell>
          <cell r="K550">
            <v>165560</v>
          </cell>
          <cell r="L550">
            <v>48.2</v>
          </cell>
          <cell r="N550">
            <v>3590000</v>
          </cell>
          <cell r="O550">
            <v>89876</v>
          </cell>
          <cell r="P550">
            <v>110195</v>
          </cell>
          <cell r="Q550">
            <v>30.6</v>
          </cell>
          <cell r="S550">
            <v>8610000</v>
          </cell>
          <cell r="W550">
            <v>1</v>
          </cell>
          <cell r="X550">
            <v>1</v>
          </cell>
          <cell r="Y550">
            <v>1</v>
          </cell>
          <cell r="Z550">
            <v>1</v>
          </cell>
          <cell r="AA550">
            <v>1</v>
          </cell>
          <cell r="AB550">
            <v>1</v>
          </cell>
        </row>
        <row r="551">
          <cell r="A551" t="str">
            <v>K150x100x5,0</v>
          </cell>
          <cell r="C551">
            <v>18.329750000000001</v>
          </cell>
          <cell r="D551">
            <v>150</v>
          </cell>
          <cell r="E551">
            <v>100</v>
          </cell>
          <cell r="F551">
            <v>5</v>
          </cell>
          <cell r="G551">
            <v>5</v>
          </cell>
          <cell r="H551">
            <v>2335</v>
          </cell>
          <cell r="I551">
            <v>7190000</v>
          </cell>
          <cell r="J551">
            <v>95893</v>
          </cell>
          <cell r="K551">
            <v>116731</v>
          </cell>
          <cell r="L551">
            <v>55.5</v>
          </cell>
          <cell r="N551">
            <v>3840000</v>
          </cell>
          <cell r="O551">
            <v>76803</v>
          </cell>
          <cell r="P551">
            <v>88341</v>
          </cell>
          <cell r="Q551">
            <v>40.5</v>
          </cell>
          <cell r="S551">
            <v>8080000</v>
          </cell>
          <cell r="W551">
            <v>1</v>
          </cell>
          <cell r="X551">
            <v>1</v>
          </cell>
          <cell r="Y551">
            <v>1</v>
          </cell>
          <cell r="Z551">
            <v>1</v>
          </cell>
          <cell r="AA551">
            <v>1</v>
          </cell>
          <cell r="AB551">
            <v>2</v>
          </cell>
        </row>
        <row r="552">
          <cell r="A552" t="str">
            <v>K150x100x6,3</v>
          </cell>
          <cell r="C552">
            <v>22.678649999999998</v>
          </cell>
          <cell r="D552">
            <v>150</v>
          </cell>
          <cell r="E552">
            <v>100</v>
          </cell>
          <cell r="F552">
            <v>6.3</v>
          </cell>
          <cell r="G552">
            <v>6.3</v>
          </cell>
          <cell r="H552">
            <v>2889</v>
          </cell>
          <cell r="I552">
            <v>8670000</v>
          </cell>
          <cell r="J552">
            <v>115678</v>
          </cell>
          <cell r="K552">
            <v>142454</v>
          </cell>
          <cell r="L552">
            <v>54.8</v>
          </cell>
          <cell r="N552">
            <v>4610000</v>
          </cell>
          <cell r="O552">
            <v>92249</v>
          </cell>
          <cell r="P552">
            <v>107619</v>
          </cell>
          <cell r="Q552">
            <v>40</v>
          </cell>
          <cell r="S552">
            <v>9880000</v>
          </cell>
          <cell r="W552">
            <v>1</v>
          </cell>
          <cell r="X552">
            <v>1</v>
          </cell>
          <cell r="Y552">
            <v>1</v>
          </cell>
          <cell r="Z552">
            <v>1</v>
          </cell>
          <cell r="AA552">
            <v>1</v>
          </cell>
          <cell r="AB552">
            <v>1</v>
          </cell>
        </row>
        <row r="553">
          <cell r="A553" t="str">
            <v>K150x100x8,0</v>
          </cell>
          <cell r="C553">
            <v>28.09515</v>
          </cell>
          <cell r="D553">
            <v>150</v>
          </cell>
          <cell r="E553">
            <v>100</v>
          </cell>
          <cell r="F553">
            <v>8</v>
          </cell>
          <cell r="G553">
            <v>8</v>
          </cell>
          <cell r="H553">
            <v>3579</v>
          </cell>
          <cell r="I553">
            <v>10390000</v>
          </cell>
          <cell r="J553">
            <v>138572</v>
          </cell>
          <cell r="K553">
            <v>173310</v>
          </cell>
          <cell r="L553">
            <v>53.9</v>
          </cell>
          <cell r="N553">
            <v>5490000</v>
          </cell>
          <cell r="O553">
            <v>109895</v>
          </cell>
          <cell r="P553">
            <v>130630</v>
          </cell>
          <cell r="Q553">
            <v>39.200000000000003</v>
          </cell>
          <cell r="S553">
            <v>12050000</v>
          </cell>
          <cell r="W553">
            <v>1</v>
          </cell>
          <cell r="X553">
            <v>1</v>
          </cell>
          <cell r="Y553">
            <v>1</v>
          </cell>
          <cell r="Z553">
            <v>1</v>
          </cell>
          <cell r="AA553">
            <v>1</v>
          </cell>
          <cell r="AB553">
            <v>1</v>
          </cell>
        </row>
        <row r="554">
          <cell r="A554" t="str">
            <v>K150x100x10,0</v>
          </cell>
          <cell r="C554">
            <v>34.084699999999998</v>
          </cell>
          <cell r="D554">
            <v>150</v>
          </cell>
          <cell r="E554">
            <v>100</v>
          </cell>
          <cell r="F554">
            <v>10</v>
          </cell>
          <cell r="G554">
            <v>10</v>
          </cell>
          <cell r="H554">
            <v>4342</v>
          </cell>
          <cell r="I554">
            <v>12100000</v>
          </cell>
          <cell r="J554">
            <v>161383</v>
          </cell>
          <cell r="K554">
            <v>205669</v>
          </cell>
          <cell r="L554">
            <v>52.8</v>
          </cell>
          <cell r="N554">
            <v>6350000</v>
          </cell>
          <cell r="O554">
            <v>127187</v>
          </cell>
          <cell r="P554">
            <v>154607</v>
          </cell>
          <cell r="Q554">
            <v>38.299999999999997</v>
          </cell>
          <cell r="S554">
            <v>14320000</v>
          </cell>
          <cell r="W554">
            <v>1</v>
          </cell>
          <cell r="X554">
            <v>1</v>
          </cell>
          <cell r="Y554">
            <v>1</v>
          </cell>
          <cell r="Z554">
            <v>1</v>
          </cell>
          <cell r="AA554">
            <v>1</v>
          </cell>
          <cell r="AB554">
            <v>1</v>
          </cell>
        </row>
        <row r="555">
          <cell r="A555" t="str">
            <v>K160x80x4,5</v>
          </cell>
          <cell r="C555">
            <v>15.9041</v>
          </cell>
          <cell r="D555">
            <v>160</v>
          </cell>
          <cell r="E555">
            <v>80</v>
          </cell>
          <cell r="F555">
            <v>4.5</v>
          </cell>
          <cell r="G555">
            <v>4.5</v>
          </cell>
          <cell r="H555">
            <v>2026</v>
          </cell>
          <cell r="I555">
            <v>6600000</v>
          </cell>
          <cell r="J555">
            <v>82615</v>
          </cell>
          <cell r="K555">
            <v>103154</v>
          </cell>
          <cell r="L555">
            <v>57.1</v>
          </cell>
          <cell r="N555">
            <v>2240000</v>
          </cell>
          <cell r="O555">
            <v>56077</v>
          </cell>
          <cell r="P555">
            <v>63660</v>
          </cell>
          <cell r="Q555">
            <v>33.299999999999997</v>
          </cell>
          <cell r="S555">
            <v>5480000</v>
          </cell>
          <cell r="W555">
            <v>1</v>
          </cell>
          <cell r="X555">
            <v>1</v>
          </cell>
          <cell r="Y555">
            <v>1</v>
          </cell>
          <cell r="Z555">
            <v>1</v>
          </cell>
          <cell r="AA555">
            <v>2</v>
          </cell>
          <cell r="AB555">
            <v>3</v>
          </cell>
        </row>
        <row r="556">
          <cell r="A556" t="str">
            <v>K160x80x5,0</v>
          </cell>
          <cell r="C556">
            <v>17.544750000000001</v>
          </cell>
          <cell r="D556">
            <v>160</v>
          </cell>
          <cell r="E556">
            <v>80</v>
          </cell>
          <cell r="F556">
            <v>5</v>
          </cell>
          <cell r="G556">
            <v>5</v>
          </cell>
          <cell r="H556">
            <v>2235</v>
          </cell>
          <cell r="I556">
            <v>7210000</v>
          </cell>
          <cell r="J556">
            <v>90211</v>
          </cell>
          <cell r="K556">
            <v>113160</v>
          </cell>
          <cell r="L556">
            <v>56.8</v>
          </cell>
          <cell r="N556">
            <v>2440000</v>
          </cell>
          <cell r="O556">
            <v>61027</v>
          </cell>
          <cell r="P556">
            <v>69735</v>
          </cell>
          <cell r="Q556">
            <v>33</v>
          </cell>
          <cell r="S556">
            <v>6010000</v>
          </cell>
          <cell r="W556">
            <v>1</v>
          </cell>
          <cell r="X556">
            <v>1</v>
          </cell>
          <cell r="Y556">
            <v>1</v>
          </cell>
          <cell r="Z556">
            <v>1</v>
          </cell>
          <cell r="AA556">
            <v>1</v>
          </cell>
          <cell r="AB556">
            <v>2</v>
          </cell>
        </row>
        <row r="557">
          <cell r="A557" t="str">
            <v>K160x80x5,6</v>
          </cell>
          <cell r="C557">
            <v>19.475849999999998</v>
          </cell>
          <cell r="D557">
            <v>160</v>
          </cell>
          <cell r="E557">
            <v>80</v>
          </cell>
          <cell r="F557">
            <v>5.6</v>
          </cell>
          <cell r="G557">
            <v>5.6</v>
          </cell>
          <cell r="H557">
            <v>2481</v>
          </cell>
          <cell r="I557">
            <v>7910000</v>
          </cell>
          <cell r="J557">
            <v>98927</v>
          </cell>
          <cell r="K557">
            <v>124791</v>
          </cell>
          <cell r="L557">
            <v>56.5</v>
          </cell>
          <cell r="N557">
            <v>2660000</v>
          </cell>
          <cell r="O557">
            <v>66654</v>
          </cell>
          <cell r="P557">
            <v>76770</v>
          </cell>
          <cell r="Q557">
            <v>32.799999999999997</v>
          </cell>
          <cell r="S557">
            <v>6620000</v>
          </cell>
          <cell r="W557">
            <v>1</v>
          </cell>
          <cell r="X557">
            <v>1</v>
          </cell>
          <cell r="Y557">
            <v>1</v>
          </cell>
          <cell r="Z557">
            <v>1</v>
          </cell>
          <cell r="AA557">
            <v>1</v>
          </cell>
          <cell r="AB557">
            <v>1</v>
          </cell>
        </row>
        <row r="558">
          <cell r="A558" t="str">
            <v>K160x80x7,1</v>
          </cell>
          <cell r="C558">
            <v>24.146599999999999</v>
          </cell>
          <cell r="D558">
            <v>160</v>
          </cell>
          <cell r="E558">
            <v>80</v>
          </cell>
          <cell r="F558">
            <v>7.1</v>
          </cell>
          <cell r="G558">
            <v>7.1</v>
          </cell>
          <cell r="H558">
            <v>3076</v>
          </cell>
          <cell r="I558">
            <v>9500000</v>
          </cell>
          <cell r="J558">
            <v>118863</v>
          </cell>
          <cell r="K558">
            <v>152099</v>
          </cell>
          <cell r="L558">
            <v>55.6</v>
          </cell>
          <cell r="N558">
            <v>3170000</v>
          </cell>
          <cell r="O558">
            <v>79294</v>
          </cell>
          <cell r="P558">
            <v>93165</v>
          </cell>
          <cell r="Q558">
            <v>32.1</v>
          </cell>
          <cell r="S558">
            <v>8050000</v>
          </cell>
          <cell r="W558">
            <v>1</v>
          </cell>
          <cell r="X558">
            <v>1</v>
          </cell>
          <cell r="Y558">
            <v>1</v>
          </cell>
          <cell r="Z558">
            <v>1</v>
          </cell>
          <cell r="AA558">
            <v>1</v>
          </cell>
          <cell r="AB558">
            <v>1</v>
          </cell>
        </row>
        <row r="559">
          <cell r="A559" t="str">
            <v>K160x80x10,0</v>
          </cell>
          <cell r="C559">
            <v>31.1645</v>
          </cell>
          <cell r="D559">
            <v>160</v>
          </cell>
          <cell r="E559">
            <v>80</v>
          </cell>
          <cell r="F559">
            <v>10</v>
          </cell>
          <cell r="G559">
            <v>10</v>
          </cell>
          <cell r="H559">
            <v>3970</v>
          </cell>
          <cell r="I559">
            <v>10890000</v>
          </cell>
          <cell r="J559">
            <v>136134</v>
          </cell>
          <cell r="K559">
            <v>183872</v>
          </cell>
          <cell r="L559">
            <v>52.4</v>
          </cell>
          <cell r="N559">
            <v>3650000</v>
          </cell>
          <cell r="O559">
            <v>91355</v>
          </cell>
          <cell r="P559">
            <v>113040</v>
          </cell>
          <cell r="Q559">
            <v>30.3</v>
          </cell>
          <cell r="S559">
            <v>10130000</v>
          </cell>
          <cell r="W559">
            <v>1</v>
          </cell>
          <cell r="X559">
            <v>1</v>
          </cell>
          <cell r="Y559">
            <v>1</v>
          </cell>
          <cell r="Z559">
            <v>1</v>
          </cell>
          <cell r="AA559">
            <v>1</v>
          </cell>
          <cell r="AB559">
            <v>1</v>
          </cell>
        </row>
        <row r="560">
          <cell r="A560" t="str">
            <v>K160x80x12,5</v>
          </cell>
          <cell r="C560">
            <v>41.604999999999997</v>
          </cell>
          <cell r="D560">
            <v>160</v>
          </cell>
          <cell r="E560">
            <v>80</v>
          </cell>
          <cell r="F560">
            <v>12.5</v>
          </cell>
          <cell r="G560">
            <v>12.5</v>
          </cell>
          <cell r="H560">
            <v>5300</v>
          </cell>
          <cell r="I560">
            <v>15300000</v>
          </cell>
          <cell r="J560">
            <v>192000</v>
          </cell>
          <cell r="K560">
            <v>253677</v>
          </cell>
          <cell r="L560">
            <v>53.73</v>
          </cell>
          <cell r="N560">
            <v>4750000</v>
          </cell>
          <cell r="O560">
            <v>119000</v>
          </cell>
          <cell r="P560">
            <v>149371</v>
          </cell>
          <cell r="Q560">
            <v>29.94</v>
          </cell>
          <cell r="S560">
            <v>10900000</v>
          </cell>
          <cell r="W560">
            <v>1</v>
          </cell>
          <cell r="X560">
            <v>1</v>
          </cell>
          <cell r="Y560">
            <v>1</v>
          </cell>
          <cell r="Z560">
            <v>1</v>
          </cell>
          <cell r="AA560">
            <v>1</v>
          </cell>
          <cell r="AB560">
            <v>1</v>
          </cell>
        </row>
        <row r="561">
          <cell r="A561" t="str">
            <v>K160x90x4,5</v>
          </cell>
          <cell r="C561">
            <v>16.610599999999998</v>
          </cell>
          <cell r="D561">
            <v>160</v>
          </cell>
          <cell r="E561">
            <v>90</v>
          </cell>
          <cell r="F561">
            <v>4.5</v>
          </cell>
          <cell r="G561">
            <v>4.5</v>
          </cell>
          <cell r="H561">
            <v>2116</v>
          </cell>
          <cell r="I561">
            <v>7150000</v>
          </cell>
          <cell r="J561">
            <v>89418</v>
          </cell>
          <cell r="K561">
            <v>110151</v>
          </cell>
          <cell r="L561">
            <v>58.1</v>
          </cell>
          <cell r="N561">
            <v>2930000</v>
          </cell>
          <cell r="O561">
            <v>65136</v>
          </cell>
          <cell r="P561">
            <v>74019</v>
          </cell>
          <cell r="Q561">
            <v>37.200000000000003</v>
          </cell>
          <cell r="S561">
            <v>6730000</v>
          </cell>
          <cell r="W561">
            <v>1</v>
          </cell>
          <cell r="X561">
            <v>1</v>
          </cell>
          <cell r="Y561">
            <v>1</v>
          </cell>
          <cell r="Z561">
            <v>1</v>
          </cell>
          <cell r="AA561">
            <v>2</v>
          </cell>
          <cell r="AB561">
            <v>3</v>
          </cell>
        </row>
        <row r="562">
          <cell r="A562" t="str">
            <v>K160x90x5,0</v>
          </cell>
          <cell r="C562">
            <v>18.329750000000001</v>
          </cell>
          <cell r="D562">
            <v>160</v>
          </cell>
          <cell r="E562">
            <v>90</v>
          </cell>
          <cell r="F562">
            <v>5</v>
          </cell>
          <cell r="G562">
            <v>5</v>
          </cell>
          <cell r="H562">
            <v>2335</v>
          </cell>
          <cell r="I562">
            <v>7810000</v>
          </cell>
          <cell r="J562">
            <v>97721</v>
          </cell>
          <cell r="K562">
            <v>120910</v>
          </cell>
          <cell r="L562">
            <v>57.9</v>
          </cell>
          <cell r="N562">
            <v>3190000</v>
          </cell>
          <cell r="O562">
            <v>71003</v>
          </cell>
          <cell r="P562">
            <v>81163</v>
          </cell>
          <cell r="Q562">
            <v>37</v>
          </cell>
          <cell r="S562">
            <v>7390000</v>
          </cell>
          <cell r="W562">
            <v>1</v>
          </cell>
          <cell r="X562">
            <v>1</v>
          </cell>
          <cell r="Y562">
            <v>1</v>
          </cell>
          <cell r="Z562">
            <v>1</v>
          </cell>
          <cell r="AA562">
            <v>1</v>
          </cell>
          <cell r="AB562">
            <v>2</v>
          </cell>
        </row>
        <row r="563">
          <cell r="A563" t="str">
            <v>K160x90x5,6</v>
          </cell>
          <cell r="C563">
            <v>20.355049999999999</v>
          </cell>
          <cell r="D563">
            <v>160</v>
          </cell>
          <cell r="E563">
            <v>90</v>
          </cell>
          <cell r="F563">
            <v>5.6</v>
          </cell>
          <cell r="G563">
            <v>5.6</v>
          </cell>
          <cell r="H563">
            <v>2593</v>
          </cell>
          <cell r="I563">
            <v>8580000</v>
          </cell>
          <cell r="J563">
            <v>107275</v>
          </cell>
          <cell r="K563">
            <v>133437</v>
          </cell>
          <cell r="L563">
            <v>57.5</v>
          </cell>
          <cell r="N563">
            <v>3490000</v>
          </cell>
          <cell r="O563">
            <v>77708</v>
          </cell>
          <cell r="P563">
            <v>89459</v>
          </cell>
          <cell r="Q563">
            <v>36.700000000000003</v>
          </cell>
          <cell r="S563">
            <v>8160000</v>
          </cell>
          <cell r="W563">
            <v>1</v>
          </cell>
          <cell r="X563">
            <v>1</v>
          </cell>
          <cell r="Y563">
            <v>1</v>
          </cell>
          <cell r="Z563">
            <v>1</v>
          </cell>
          <cell r="AA563">
            <v>1</v>
          </cell>
          <cell r="AB563">
            <v>1</v>
          </cell>
        </row>
        <row r="564">
          <cell r="A564" t="str">
            <v>K160x90x6,3</v>
          </cell>
          <cell r="C564">
            <v>22.678649999999998</v>
          </cell>
          <cell r="D564">
            <v>160</v>
          </cell>
          <cell r="E564">
            <v>90</v>
          </cell>
          <cell r="F564">
            <v>6.3</v>
          </cell>
          <cell r="G564">
            <v>6.3</v>
          </cell>
          <cell r="H564">
            <v>2889</v>
          </cell>
          <cell r="I564">
            <v>9420000</v>
          </cell>
          <cell r="J564">
            <v>117864</v>
          </cell>
          <cell r="K564">
            <v>147531</v>
          </cell>
          <cell r="L564">
            <v>57.1</v>
          </cell>
          <cell r="N564">
            <v>3820000</v>
          </cell>
          <cell r="O564">
            <v>85078</v>
          </cell>
          <cell r="P564">
            <v>98761</v>
          </cell>
          <cell r="Q564">
            <v>36.4</v>
          </cell>
          <cell r="S564">
            <v>9020000</v>
          </cell>
          <cell r="W564">
            <v>1</v>
          </cell>
          <cell r="X564">
            <v>1</v>
          </cell>
          <cell r="Y564">
            <v>1</v>
          </cell>
          <cell r="Z564">
            <v>1</v>
          </cell>
          <cell r="AA564">
            <v>1</v>
          </cell>
          <cell r="AB564">
            <v>1</v>
          </cell>
        </row>
        <row r="565">
          <cell r="A565" t="str">
            <v>K160x90x7,1</v>
          </cell>
          <cell r="C565">
            <v>25.261299999999999</v>
          </cell>
          <cell r="D565">
            <v>160</v>
          </cell>
          <cell r="E565">
            <v>90</v>
          </cell>
          <cell r="F565">
            <v>7.1</v>
          </cell>
          <cell r="G565">
            <v>7.1</v>
          </cell>
          <cell r="H565">
            <v>3218</v>
          </cell>
          <cell r="I565">
            <v>10340000</v>
          </cell>
          <cell r="J565">
            <v>129244</v>
          </cell>
          <cell r="K565">
            <v>162955</v>
          </cell>
          <cell r="L565">
            <v>56.7</v>
          </cell>
          <cell r="N565">
            <v>4180000</v>
          </cell>
          <cell r="O565">
            <v>92922</v>
          </cell>
          <cell r="P565">
            <v>108902</v>
          </cell>
          <cell r="Q565">
            <v>36</v>
          </cell>
          <cell r="S565">
            <v>9960000</v>
          </cell>
          <cell r="W565">
            <v>1</v>
          </cell>
          <cell r="X565">
            <v>1</v>
          </cell>
          <cell r="Y565">
            <v>1</v>
          </cell>
          <cell r="Z565">
            <v>1</v>
          </cell>
          <cell r="AA565">
            <v>1</v>
          </cell>
          <cell r="AB565">
            <v>1</v>
          </cell>
        </row>
        <row r="566">
          <cell r="A566" t="str">
            <v>K160x90x8,0</v>
          </cell>
          <cell r="C566">
            <v>28.09515</v>
          </cell>
          <cell r="D566">
            <v>160</v>
          </cell>
          <cell r="E566">
            <v>90</v>
          </cell>
          <cell r="F566">
            <v>8</v>
          </cell>
          <cell r="G566">
            <v>8</v>
          </cell>
          <cell r="H566">
            <v>3579</v>
          </cell>
          <cell r="I566">
            <v>11290000</v>
          </cell>
          <cell r="J566">
            <v>141147</v>
          </cell>
          <cell r="K566">
            <v>179446</v>
          </cell>
          <cell r="L566">
            <v>56.2</v>
          </cell>
          <cell r="N566">
            <v>4540000</v>
          </cell>
          <cell r="O566">
            <v>101032</v>
          </cell>
          <cell r="P566">
            <v>119694</v>
          </cell>
          <cell r="Q566">
            <v>35.6</v>
          </cell>
          <cell r="S566">
            <v>10960000</v>
          </cell>
          <cell r="W566">
            <v>1</v>
          </cell>
          <cell r="X566">
            <v>1</v>
          </cell>
          <cell r="Y566">
            <v>1</v>
          </cell>
          <cell r="Z566">
            <v>1</v>
          </cell>
          <cell r="AA566">
            <v>1</v>
          </cell>
          <cell r="AB566">
            <v>1</v>
          </cell>
        </row>
        <row r="567">
          <cell r="A567" t="str">
            <v>K160x90x10,0</v>
          </cell>
          <cell r="C567">
            <v>34.084699999999998</v>
          </cell>
          <cell r="D567">
            <v>160</v>
          </cell>
          <cell r="E567">
            <v>90</v>
          </cell>
          <cell r="F567">
            <v>10</v>
          </cell>
          <cell r="G567">
            <v>10</v>
          </cell>
          <cell r="H567">
            <v>4342</v>
          </cell>
          <cell r="I567">
            <v>13140000</v>
          </cell>
          <cell r="J567">
            <v>164300</v>
          </cell>
          <cell r="K567">
            <v>212881</v>
          </cell>
          <cell r="L567">
            <v>55</v>
          </cell>
          <cell r="N567">
            <v>5240000</v>
          </cell>
          <cell r="O567">
            <v>116485</v>
          </cell>
          <cell r="P567">
            <v>141395</v>
          </cell>
          <cell r="Q567">
            <v>34.700000000000003</v>
          </cell>
          <cell r="S567">
            <v>12980000</v>
          </cell>
          <cell r="W567">
            <v>1</v>
          </cell>
          <cell r="X567">
            <v>1</v>
          </cell>
          <cell r="Y567">
            <v>1</v>
          </cell>
          <cell r="Z567">
            <v>1</v>
          </cell>
          <cell r="AA567">
            <v>1</v>
          </cell>
          <cell r="AB567">
            <v>1</v>
          </cell>
        </row>
        <row r="568">
          <cell r="A568" t="str">
            <v>K180x100x5,0</v>
          </cell>
          <cell r="C568">
            <v>20.684749999999998</v>
          </cell>
          <cell r="D568">
            <v>180</v>
          </cell>
          <cell r="E568">
            <v>100</v>
          </cell>
          <cell r="F568">
            <v>5</v>
          </cell>
          <cell r="G568">
            <v>5</v>
          </cell>
          <cell r="H568">
            <v>2635</v>
          </cell>
          <cell r="I568">
            <v>11240000</v>
          </cell>
          <cell r="J568">
            <v>124911</v>
          </cell>
          <cell r="K568">
            <v>154016</v>
          </cell>
          <cell r="L568">
            <v>65.3</v>
          </cell>
          <cell r="N568">
            <v>4510000</v>
          </cell>
          <cell r="O568">
            <v>90353</v>
          </cell>
          <cell r="P568">
            <v>102591</v>
          </cell>
          <cell r="Q568">
            <v>41.4</v>
          </cell>
          <cell r="S568">
            <v>10440000</v>
          </cell>
          <cell r="W568">
            <v>1</v>
          </cell>
          <cell r="X568">
            <v>1</v>
          </cell>
          <cell r="Y568">
            <v>1</v>
          </cell>
          <cell r="Z568">
            <v>1</v>
          </cell>
          <cell r="AA568">
            <v>2</v>
          </cell>
          <cell r="AB568">
            <v>3</v>
          </cell>
        </row>
        <row r="569">
          <cell r="A569" t="str">
            <v>K180x100x5,6</v>
          </cell>
          <cell r="C569">
            <v>22.992649999999998</v>
          </cell>
          <cell r="D569">
            <v>180</v>
          </cell>
          <cell r="E569">
            <v>100</v>
          </cell>
          <cell r="F569">
            <v>5.6</v>
          </cell>
          <cell r="G569">
            <v>5.6</v>
          </cell>
          <cell r="H569">
            <v>2929</v>
          </cell>
          <cell r="I569">
            <v>12370000</v>
          </cell>
          <cell r="J569">
            <v>137439</v>
          </cell>
          <cell r="K569">
            <v>170262</v>
          </cell>
          <cell r="L569">
            <v>65</v>
          </cell>
          <cell r="N569">
            <v>4950000</v>
          </cell>
          <cell r="O569">
            <v>99137</v>
          </cell>
          <cell r="P569">
            <v>113281</v>
          </cell>
          <cell r="Q569">
            <v>41.1</v>
          </cell>
          <cell r="S569">
            <v>11550000</v>
          </cell>
          <cell r="W569">
            <v>1</v>
          </cell>
          <cell r="X569">
            <v>1</v>
          </cell>
          <cell r="Y569">
            <v>1</v>
          </cell>
          <cell r="Z569">
            <v>1</v>
          </cell>
          <cell r="AA569">
            <v>1</v>
          </cell>
          <cell r="AB569">
            <v>2</v>
          </cell>
        </row>
        <row r="570">
          <cell r="A570" t="str">
            <v>K180x100x6,3</v>
          </cell>
          <cell r="C570">
            <v>25.645949999999999</v>
          </cell>
          <cell r="D570">
            <v>180</v>
          </cell>
          <cell r="E570">
            <v>100</v>
          </cell>
          <cell r="F570">
            <v>6.3</v>
          </cell>
          <cell r="G570">
            <v>6.3</v>
          </cell>
          <cell r="H570">
            <v>3267</v>
          </cell>
          <cell r="I570">
            <v>13620000</v>
          </cell>
          <cell r="J570">
            <v>151421</v>
          </cell>
          <cell r="K570">
            <v>188624</v>
          </cell>
          <cell r="L570">
            <v>64.599999999999994</v>
          </cell>
          <cell r="N570">
            <v>5440000</v>
          </cell>
          <cell r="O570">
            <v>108867</v>
          </cell>
          <cell r="P570">
            <v>125328</v>
          </cell>
          <cell r="Q570">
            <v>40.799999999999997</v>
          </cell>
          <cell r="S570">
            <v>12790000</v>
          </cell>
          <cell r="W570">
            <v>1</v>
          </cell>
          <cell r="X570">
            <v>1</v>
          </cell>
          <cell r="Y570">
            <v>1</v>
          </cell>
          <cell r="Z570">
            <v>1</v>
          </cell>
          <cell r="AA570">
            <v>1</v>
          </cell>
          <cell r="AB570">
            <v>1</v>
          </cell>
        </row>
        <row r="571">
          <cell r="A571" t="str">
            <v>K180x100x7,1</v>
          </cell>
          <cell r="C571">
            <v>28.605399999999999</v>
          </cell>
          <cell r="D571">
            <v>180</v>
          </cell>
          <cell r="E571">
            <v>100</v>
          </cell>
          <cell r="F571">
            <v>7.1</v>
          </cell>
          <cell r="G571">
            <v>7.1</v>
          </cell>
          <cell r="H571">
            <v>3644</v>
          </cell>
          <cell r="I571">
            <v>14990000</v>
          </cell>
          <cell r="J571">
            <v>166576</v>
          </cell>
          <cell r="K571">
            <v>208836</v>
          </cell>
          <cell r="L571">
            <v>64.099999999999994</v>
          </cell>
          <cell r="N571">
            <v>5960000</v>
          </cell>
          <cell r="O571">
            <v>119322</v>
          </cell>
          <cell r="P571">
            <v>138542</v>
          </cell>
          <cell r="Q571">
            <v>40.5</v>
          </cell>
          <cell r="S571">
            <v>14160000</v>
          </cell>
          <cell r="W571">
            <v>1</v>
          </cell>
          <cell r="X571">
            <v>1</v>
          </cell>
          <cell r="Y571">
            <v>1</v>
          </cell>
          <cell r="Z571">
            <v>1</v>
          </cell>
          <cell r="AA571">
            <v>1</v>
          </cell>
          <cell r="AB571">
            <v>1</v>
          </cell>
        </row>
        <row r="572">
          <cell r="A572" t="str">
            <v>K180x100x8,8</v>
          </cell>
          <cell r="C572">
            <v>34.6813</v>
          </cell>
          <cell r="D572">
            <v>180</v>
          </cell>
          <cell r="E572">
            <v>100</v>
          </cell>
          <cell r="F572">
            <v>8.8000000000000007</v>
          </cell>
          <cell r="G572">
            <v>8.8000000000000007</v>
          </cell>
          <cell r="H572">
            <v>4418</v>
          </cell>
          <cell r="I572">
            <v>17630000</v>
          </cell>
          <cell r="J572">
            <v>195936</v>
          </cell>
          <cell r="K572">
            <v>249081</v>
          </cell>
          <cell r="L572">
            <v>63.2</v>
          </cell>
          <cell r="N572">
            <v>6960000</v>
          </cell>
          <cell r="O572">
            <v>139273</v>
          </cell>
          <cell r="P572">
            <v>164694</v>
          </cell>
          <cell r="Q572">
            <v>39.700000000000003</v>
          </cell>
          <cell r="S572">
            <v>16870000</v>
          </cell>
          <cell r="W572">
            <v>1</v>
          </cell>
          <cell r="X572">
            <v>1</v>
          </cell>
          <cell r="Y572">
            <v>1</v>
          </cell>
          <cell r="Z572">
            <v>1</v>
          </cell>
          <cell r="AA572">
            <v>1</v>
          </cell>
          <cell r="AB572">
            <v>1</v>
          </cell>
        </row>
        <row r="573">
          <cell r="A573" t="str">
            <v>K180x100x10,0</v>
          </cell>
          <cell r="C573">
            <v>38.794699999999999</v>
          </cell>
          <cell r="D573">
            <v>180</v>
          </cell>
          <cell r="E573">
            <v>100</v>
          </cell>
          <cell r="F573">
            <v>10</v>
          </cell>
          <cell r="G573">
            <v>10</v>
          </cell>
          <cell r="H573">
            <v>4942</v>
          </cell>
          <cell r="I573">
            <v>19290000</v>
          </cell>
          <cell r="J573">
            <v>214399</v>
          </cell>
          <cell r="K573">
            <v>275306</v>
          </cell>
          <cell r="L573">
            <v>62.5</v>
          </cell>
          <cell r="N573">
            <v>7570000</v>
          </cell>
          <cell r="O573">
            <v>151587</v>
          </cell>
          <cell r="P573">
            <v>181607</v>
          </cell>
          <cell r="Q573">
            <v>39.200000000000003</v>
          </cell>
          <cell r="S573">
            <v>18630000</v>
          </cell>
          <cell r="W573">
            <v>1</v>
          </cell>
          <cell r="X573">
            <v>1</v>
          </cell>
          <cell r="Y573">
            <v>1</v>
          </cell>
          <cell r="Z573">
            <v>1</v>
          </cell>
          <cell r="AA573">
            <v>1</v>
          </cell>
          <cell r="AB573">
            <v>1</v>
          </cell>
        </row>
        <row r="574">
          <cell r="A574" t="str">
            <v>K200x100x5,6</v>
          </cell>
          <cell r="C574">
            <v>24.751049999999999</v>
          </cell>
          <cell r="D574">
            <v>200</v>
          </cell>
          <cell r="E574">
            <v>100</v>
          </cell>
          <cell r="F574">
            <v>5.6</v>
          </cell>
          <cell r="G574">
            <v>5.6</v>
          </cell>
          <cell r="H574">
            <v>3153</v>
          </cell>
          <cell r="I574">
            <v>16070000</v>
          </cell>
          <cell r="J574">
            <v>160752</v>
          </cell>
          <cell r="K574">
            <v>200680</v>
          </cell>
          <cell r="L574">
            <v>71.400000000000006</v>
          </cell>
          <cell r="N574">
            <v>5450000</v>
          </cell>
          <cell r="O574">
            <v>109130</v>
          </cell>
          <cell r="P574">
            <v>123854</v>
          </cell>
          <cell r="Q574">
            <v>41.6</v>
          </cell>
          <cell r="S574">
            <v>13340000</v>
          </cell>
          <cell r="W574">
            <v>1</v>
          </cell>
          <cell r="X574">
            <v>1</v>
          </cell>
          <cell r="Y574">
            <v>1</v>
          </cell>
          <cell r="Z574">
            <v>1</v>
          </cell>
          <cell r="AA574">
            <v>2</v>
          </cell>
          <cell r="AB574">
            <v>3</v>
          </cell>
        </row>
        <row r="575">
          <cell r="A575" t="str">
            <v>K200x100x7,1</v>
          </cell>
          <cell r="C575">
            <v>30.834799999999998</v>
          </cell>
          <cell r="D575">
            <v>200</v>
          </cell>
          <cell r="E575">
            <v>100</v>
          </cell>
          <cell r="F575">
            <v>7.1</v>
          </cell>
          <cell r="G575">
            <v>7.1</v>
          </cell>
          <cell r="H575">
            <v>3928</v>
          </cell>
          <cell r="I575">
            <v>19540000</v>
          </cell>
          <cell r="J575">
            <v>195425</v>
          </cell>
          <cell r="K575">
            <v>246702</v>
          </cell>
          <cell r="L575">
            <v>70.5</v>
          </cell>
          <cell r="N575">
            <v>6580000</v>
          </cell>
          <cell r="O575">
            <v>131601</v>
          </cell>
          <cell r="P575">
            <v>151734</v>
          </cell>
          <cell r="Q575">
            <v>40.9</v>
          </cell>
          <cell r="S575">
            <v>16370000</v>
          </cell>
          <cell r="W575">
            <v>1</v>
          </cell>
          <cell r="X575">
            <v>1</v>
          </cell>
          <cell r="Y575">
            <v>1</v>
          </cell>
          <cell r="Z575">
            <v>1</v>
          </cell>
          <cell r="AA575">
            <v>1</v>
          </cell>
          <cell r="AB575">
            <v>1</v>
          </cell>
        </row>
        <row r="576">
          <cell r="A576" t="str">
            <v>K200x100x8,0</v>
          </cell>
          <cell r="C576">
            <v>34.375149999999998</v>
          </cell>
          <cell r="D576">
            <v>200</v>
          </cell>
          <cell r="E576">
            <v>100</v>
          </cell>
          <cell r="F576">
            <v>8</v>
          </cell>
          <cell r="G576">
            <v>8</v>
          </cell>
          <cell r="H576">
            <v>4379</v>
          </cell>
          <cell r="I576">
            <v>21460000</v>
          </cell>
          <cell r="J576">
            <v>214621</v>
          </cell>
          <cell r="K576">
            <v>272790</v>
          </cell>
          <cell r="L576">
            <v>70</v>
          </cell>
          <cell r="N576">
            <v>7190000</v>
          </cell>
          <cell r="O576">
            <v>143837</v>
          </cell>
          <cell r="P576">
            <v>167430</v>
          </cell>
          <cell r="Q576">
            <v>40.5</v>
          </cell>
          <cell r="S576">
            <v>18070000</v>
          </cell>
          <cell r="W576">
            <v>1</v>
          </cell>
          <cell r="X576">
            <v>1</v>
          </cell>
          <cell r="Y576">
            <v>1</v>
          </cell>
          <cell r="Z576">
            <v>1</v>
          </cell>
          <cell r="AA576">
            <v>1</v>
          </cell>
          <cell r="AB576">
            <v>1</v>
          </cell>
        </row>
        <row r="577">
          <cell r="A577" t="str">
            <v>K200x100x8,8</v>
          </cell>
          <cell r="C577">
            <v>37.444499999999998</v>
          </cell>
          <cell r="D577">
            <v>200</v>
          </cell>
          <cell r="E577">
            <v>100</v>
          </cell>
          <cell r="F577">
            <v>8.8000000000000007</v>
          </cell>
          <cell r="G577">
            <v>8.8000000000000007</v>
          </cell>
          <cell r="H577">
            <v>4770</v>
          </cell>
          <cell r="I577">
            <v>23060000</v>
          </cell>
          <cell r="J577">
            <v>230694</v>
          </cell>
          <cell r="K577">
            <v>295029</v>
          </cell>
          <cell r="L577">
            <v>69.5</v>
          </cell>
          <cell r="N577">
            <v>7690000</v>
          </cell>
          <cell r="O577">
            <v>153958</v>
          </cell>
          <cell r="P577">
            <v>180745</v>
          </cell>
          <cell r="Q577">
            <v>40.200000000000003</v>
          </cell>
          <cell r="S577">
            <v>19520000</v>
          </cell>
          <cell r="W577">
            <v>1</v>
          </cell>
          <cell r="X577">
            <v>1</v>
          </cell>
          <cell r="Y577">
            <v>1</v>
          </cell>
          <cell r="Z577">
            <v>1</v>
          </cell>
          <cell r="AA577">
            <v>1</v>
          </cell>
          <cell r="AB577">
            <v>1</v>
          </cell>
        </row>
        <row r="578">
          <cell r="A578" t="str">
            <v>K200x100x10,0</v>
          </cell>
          <cell r="C578">
            <v>41.934699999999999</v>
          </cell>
          <cell r="D578">
            <v>200</v>
          </cell>
          <cell r="E578">
            <v>100</v>
          </cell>
          <cell r="F578">
            <v>10</v>
          </cell>
          <cell r="G578">
            <v>10</v>
          </cell>
          <cell r="H578">
            <v>5342</v>
          </cell>
          <cell r="I578">
            <v>25310000</v>
          </cell>
          <cell r="J578">
            <v>253096</v>
          </cell>
          <cell r="K578">
            <v>326731</v>
          </cell>
          <cell r="L578">
            <v>68.8</v>
          </cell>
          <cell r="N578">
            <v>8390000</v>
          </cell>
          <cell r="O578">
            <v>167853</v>
          </cell>
          <cell r="P578">
            <v>199607</v>
          </cell>
          <cell r="Q578">
            <v>39.6</v>
          </cell>
          <cell r="S578">
            <v>21580000</v>
          </cell>
          <cell r="W578">
            <v>1</v>
          </cell>
          <cell r="X578">
            <v>1</v>
          </cell>
          <cell r="Y578">
            <v>1</v>
          </cell>
          <cell r="Z578">
            <v>1</v>
          </cell>
          <cell r="AA578">
            <v>1</v>
          </cell>
          <cell r="AB578">
            <v>1</v>
          </cell>
        </row>
        <row r="579">
          <cell r="A579" t="str">
            <v>K200x100x12,5</v>
          </cell>
          <cell r="C579">
            <v>50.789499999999997</v>
          </cell>
          <cell r="D579">
            <v>200</v>
          </cell>
          <cell r="E579">
            <v>100</v>
          </cell>
          <cell r="F579">
            <v>12.5</v>
          </cell>
          <cell r="G579">
            <v>12.5</v>
          </cell>
          <cell r="H579">
            <v>6470</v>
          </cell>
          <cell r="I579">
            <v>29300000</v>
          </cell>
          <cell r="J579">
            <v>293000</v>
          </cell>
          <cell r="K579">
            <v>384234</v>
          </cell>
          <cell r="L579">
            <v>67.3</v>
          </cell>
          <cell r="N579">
            <v>9610000</v>
          </cell>
          <cell r="O579">
            <v>192000</v>
          </cell>
          <cell r="P579">
            <v>233684</v>
          </cell>
          <cell r="Q579">
            <v>38.54</v>
          </cell>
          <cell r="S579">
            <v>25000000</v>
          </cell>
          <cell r="W579">
            <v>1</v>
          </cell>
          <cell r="X579">
            <v>1</v>
          </cell>
          <cell r="Y579">
            <v>1</v>
          </cell>
          <cell r="Z579">
            <v>1</v>
          </cell>
          <cell r="AA579">
            <v>1</v>
          </cell>
          <cell r="AB579">
            <v>1</v>
          </cell>
        </row>
        <row r="580">
          <cell r="A580" t="str">
            <v>K200x100x16</v>
          </cell>
          <cell r="C580">
            <v>66.332499999999996</v>
          </cell>
          <cell r="D580">
            <v>200</v>
          </cell>
          <cell r="E580">
            <v>100</v>
          </cell>
          <cell r="F580">
            <v>16</v>
          </cell>
          <cell r="G580">
            <v>16</v>
          </cell>
          <cell r="H580">
            <v>8450</v>
          </cell>
          <cell r="I580">
            <v>38074800</v>
          </cell>
          <cell r="J580">
            <v>380748</v>
          </cell>
          <cell r="K580">
            <v>504186</v>
          </cell>
          <cell r="L580">
            <v>67.099999999999994</v>
          </cell>
          <cell r="N580">
            <v>10800000</v>
          </cell>
          <cell r="O580">
            <v>216000</v>
          </cell>
          <cell r="P580">
            <v>296000</v>
          </cell>
          <cell r="Q580">
            <v>35.75</v>
          </cell>
          <cell r="S580">
            <v>29000000</v>
          </cell>
          <cell r="W580">
            <v>1</v>
          </cell>
          <cell r="X580">
            <v>1</v>
          </cell>
          <cell r="Y580">
            <v>1</v>
          </cell>
          <cell r="Z580">
            <v>1</v>
          </cell>
          <cell r="AA580">
            <v>1</v>
          </cell>
          <cell r="AB580">
            <v>1</v>
          </cell>
        </row>
        <row r="581">
          <cell r="A581" t="str">
            <v>K200x120x6,3</v>
          </cell>
          <cell r="C581">
            <v>29.602349999999998</v>
          </cell>
          <cell r="D581">
            <v>200</v>
          </cell>
          <cell r="E581">
            <v>120</v>
          </cell>
          <cell r="F581">
            <v>6.3</v>
          </cell>
          <cell r="G581">
            <v>6.3</v>
          </cell>
          <cell r="H581">
            <v>3771</v>
          </cell>
          <cell r="I581">
            <v>20100000</v>
          </cell>
          <cell r="J581">
            <v>201000</v>
          </cell>
          <cell r="K581">
            <v>246961</v>
          </cell>
          <cell r="L581">
            <v>73</v>
          </cell>
          <cell r="N581">
            <v>9100000</v>
          </cell>
          <cell r="O581">
            <v>151672</v>
          </cell>
          <cell r="P581">
            <v>173584</v>
          </cell>
          <cell r="Q581">
            <v>49.1</v>
          </cell>
          <cell r="S581">
            <v>20320000</v>
          </cell>
          <cell r="W581">
            <v>1</v>
          </cell>
          <cell r="X581">
            <v>1</v>
          </cell>
          <cell r="Y581">
            <v>1</v>
          </cell>
          <cell r="Z581">
            <v>1</v>
          </cell>
          <cell r="AA581">
            <v>1</v>
          </cell>
          <cell r="AB581">
            <v>2</v>
          </cell>
        </row>
        <row r="582">
          <cell r="A582" t="str">
            <v>K200x120x7,1</v>
          </cell>
          <cell r="C582">
            <v>33.0642</v>
          </cell>
          <cell r="D582">
            <v>200</v>
          </cell>
          <cell r="E582">
            <v>120</v>
          </cell>
          <cell r="F582">
            <v>7.1</v>
          </cell>
          <cell r="G582">
            <v>7.1</v>
          </cell>
          <cell r="H582">
            <v>4212</v>
          </cell>
          <cell r="I582">
            <v>22180000</v>
          </cell>
          <cell r="J582">
            <v>221856</v>
          </cell>
          <cell r="K582">
            <v>274094</v>
          </cell>
          <cell r="L582">
            <v>72.599999999999994</v>
          </cell>
          <cell r="N582">
            <v>10010000</v>
          </cell>
          <cell r="O582">
            <v>166951</v>
          </cell>
          <cell r="P582">
            <v>192439</v>
          </cell>
          <cell r="Q582">
            <v>48.8</v>
          </cell>
          <cell r="S582">
            <v>22570000</v>
          </cell>
          <cell r="W582">
            <v>1</v>
          </cell>
          <cell r="X582">
            <v>1</v>
          </cell>
          <cell r="Y582">
            <v>1</v>
          </cell>
          <cell r="Z582">
            <v>1</v>
          </cell>
          <cell r="AA582">
            <v>1</v>
          </cell>
          <cell r="AB582">
            <v>1</v>
          </cell>
        </row>
        <row r="583">
          <cell r="A583" t="str">
            <v>K200x120x8,0</v>
          </cell>
          <cell r="C583">
            <v>36.887149999999998</v>
          </cell>
          <cell r="D583">
            <v>200</v>
          </cell>
          <cell r="E583">
            <v>120</v>
          </cell>
          <cell r="F583">
            <v>8</v>
          </cell>
          <cell r="G583">
            <v>8</v>
          </cell>
          <cell r="H583">
            <v>4699</v>
          </cell>
          <cell r="I583">
            <v>24410000</v>
          </cell>
          <cell r="J583">
            <v>244129</v>
          </cell>
          <cell r="K583">
            <v>303510</v>
          </cell>
          <cell r="L583">
            <v>72.099999999999994</v>
          </cell>
          <cell r="N583">
            <v>10980000</v>
          </cell>
          <cell r="O583">
            <v>183151</v>
          </cell>
          <cell r="P583">
            <v>212822</v>
          </cell>
          <cell r="Q583">
            <v>48.4</v>
          </cell>
          <cell r="S583">
            <v>25000000</v>
          </cell>
          <cell r="W583">
            <v>1</v>
          </cell>
          <cell r="X583">
            <v>1</v>
          </cell>
          <cell r="Y583">
            <v>1</v>
          </cell>
          <cell r="Z583">
            <v>1</v>
          </cell>
          <cell r="AA583">
            <v>1</v>
          </cell>
          <cell r="AB583">
            <v>1</v>
          </cell>
        </row>
        <row r="584">
          <cell r="A584" t="str">
            <v>K200x120x10,0</v>
          </cell>
          <cell r="C584">
            <v>45.0747</v>
          </cell>
          <cell r="D584">
            <v>200</v>
          </cell>
          <cell r="E584">
            <v>120</v>
          </cell>
          <cell r="F584">
            <v>10</v>
          </cell>
          <cell r="G584">
            <v>10</v>
          </cell>
          <cell r="H584">
            <v>5742</v>
          </cell>
          <cell r="I584">
            <v>28920000</v>
          </cell>
          <cell r="J584">
            <v>289229</v>
          </cell>
          <cell r="K584">
            <v>364731</v>
          </cell>
          <cell r="L584">
            <v>71</v>
          </cell>
          <cell r="N584">
            <v>12930000</v>
          </cell>
          <cell r="O584">
            <v>215540</v>
          </cell>
          <cell r="P584">
            <v>255032</v>
          </cell>
          <cell r="Q584">
            <v>47.5</v>
          </cell>
          <cell r="S584">
            <v>30050000</v>
          </cell>
          <cell r="W584">
            <v>1</v>
          </cell>
          <cell r="X584">
            <v>1</v>
          </cell>
          <cell r="Y584">
            <v>1</v>
          </cell>
          <cell r="Z584">
            <v>1</v>
          </cell>
          <cell r="AA584">
            <v>1</v>
          </cell>
          <cell r="AB584">
            <v>1</v>
          </cell>
        </row>
        <row r="585">
          <cell r="A585" t="str">
            <v>K200x120x12,5</v>
          </cell>
          <cell r="C585">
            <v>54.730199999999996</v>
          </cell>
          <cell r="D585">
            <v>200</v>
          </cell>
          <cell r="E585">
            <v>120</v>
          </cell>
          <cell r="F585">
            <v>12.5</v>
          </cell>
          <cell r="G585">
            <v>12.5</v>
          </cell>
          <cell r="H585">
            <v>6972</v>
          </cell>
          <cell r="I585">
            <v>33740000</v>
          </cell>
          <cell r="J585">
            <v>337402</v>
          </cell>
          <cell r="K585">
            <v>433362</v>
          </cell>
          <cell r="L585">
            <v>69.599999999999994</v>
          </cell>
          <cell r="N585">
            <v>14960000</v>
          </cell>
          <cell r="O585">
            <v>249416</v>
          </cell>
          <cell r="P585">
            <v>301957</v>
          </cell>
          <cell r="Q585">
            <v>46.3</v>
          </cell>
          <cell r="S585">
            <v>35690000</v>
          </cell>
          <cell r="W585">
            <v>1</v>
          </cell>
          <cell r="X585">
            <v>1</v>
          </cell>
          <cell r="Y585">
            <v>1</v>
          </cell>
          <cell r="Z585">
            <v>1</v>
          </cell>
          <cell r="AA585">
            <v>1</v>
          </cell>
          <cell r="AB585">
            <v>1</v>
          </cell>
        </row>
        <row r="586">
          <cell r="A586" t="str">
            <v>K200x120x6,3</v>
          </cell>
          <cell r="C586">
            <v>31.580549999999999</v>
          </cell>
          <cell r="D586">
            <v>200</v>
          </cell>
          <cell r="E586">
            <v>120</v>
          </cell>
          <cell r="F586">
            <v>6.3</v>
          </cell>
          <cell r="G586">
            <v>6.3</v>
          </cell>
          <cell r="H586">
            <v>4023</v>
          </cell>
          <cell r="I586">
            <v>25420000</v>
          </cell>
          <cell r="J586">
            <v>231134</v>
          </cell>
          <cell r="K586">
            <v>285931</v>
          </cell>
          <cell r="L586">
            <v>79.5</v>
          </cell>
          <cell r="N586">
            <v>9910000</v>
          </cell>
          <cell r="O586">
            <v>165260</v>
          </cell>
          <cell r="P586">
            <v>187911</v>
          </cell>
          <cell r="Q586">
            <v>49.6</v>
          </cell>
          <cell r="S586">
            <v>23200000</v>
          </cell>
          <cell r="W586">
            <v>1</v>
          </cell>
          <cell r="X586">
            <v>1</v>
          </cell>
          <cell r="Y586">
            <v>1</v>
          </cell>
          <cell r="Z586">
            <v>1</v>
          </cell>
          <cell r="AA586">
            <v>1</v>
          </cell>
          <cell r="AB586">
            <v>2</v>
          </cell>
        </row>
        <row r="587">
          <cell r="A587" t="str">
            <v>K220x120x7,1</v>
          </cell>
          <cell r="C587">
            <v>35.293599999999998</v>
          </cell>
          <cell r="D587">
            <v>220</v>
          </cell>
          <cell r="E587">
            <v>120</v>
          </cell>
          <cell r="F587">
            <v>7.1</v>
          </cell>
          <cell r="G587">
            <v>7.1</v>
          </cell>
          <cell r="H587">
            <v>4496</v>
          </cell>
          <cell r="I587">
            <v>28090000</v>
          </cell>
          <cell r="J587">
            <v>255438</v>
          </cell>
          <cell r="K587">
            <v>317639</v>
          </cell>
          <cell r="L587">
            <v>79</v>
          </cell>
          <cell r="N587">
            <v>10920000</v>
          </cell>
          <cell r="O587">
            <v>182054</v>
          </cell>
          <cell r="P587">
            <v>208471</v>
          </cell>
          <cell r="Q587">
            <v>49.3</v>
          </cell>
          <cell r="S587">
            <v>25770000</v>
          </cell>
          <cell r="W587">
            <v>1</v>
          </cell>
          <cell r="X587">
            <v>1</v>
          </cell>
          <cell r="Y587">
            <v>1</v>
          </cell>
          <cell r="Z587">
            <v>1</v>
          </cell>
          <cell r="AA587">
            <v>1</v>
          </cell>
          <cell r="AB587">
            <v>2</v>
          </cell>
        </row>
        <row r="588">
          <cell r="A588" t="str">
            <v>K220x120x8,0</v>
          </cell>
          <cell r="C588">
            <v>39.399149999999999</v>
          </cell>
          <cell r="D588">
            <v>220</v>
          </cell>
          <cell r="E588">
            <v>120</v>
          </cell>
          <cell r="F588">
            <v>8</v>
          </cell>
          <cell r="G588">
            <v>8</v>
          </cell>
          <cell r="H588">
            <v>5019</v>
          </cell>
          <cell r="I588">
            <v>30960000</v>
          </cell>
          <cell r="J588">
            <v>281488</v>
          </cell>
          <cell r="K588">
            <v>352102</v>
          </cell>
          <cell r="L588">
            <v>78.5</v>
          </cell>
          <cell r="N588">
            <v>11990000</v>
          </cell>
          <cell r="O588">
            <v>199904</v>
          </cell>
          <cell r="P588">
            <v>230742</v>
          </cell>
          <cell r="Q588">
            <v>48.9</v>
          </cell>
          <cell r="S588">
            <v>28560000</v>
          </cell>
          <cell r="W588">
            <v>1</v>
          </cell>
          <cell r="X588">
            <v>1</v>
          </cell>
          <cell r="Y588">
            <v>1</v>
          </cell>
          <cell r="Z588">
            <v>1</v>
          </cell>
          <cell r="AA588">
            <v>1</v>
          </cell>
          <cell r="AB588">
            <v>1</v>
          </cell>
        </row>
        <row r="589">
          <cell r="A589" t="str">
            <v>K220x120x10,0</v>
          </cell>
          <cell r="C589">
            <v>48.214700000000001</v>
          </cell>
          <cell r="D589">
            <v>220</v>
          </cell>
          <cell r="E589">
            <v>120</v>
          </cell>
          <cell r="F589">
            <v>10</v>
          </cell>
          <cell r="G589">
            <v>10</v>
          </cell>
          <cell r="H589">
            <v>6142</v>
          </cell>
          <cell r="I589">
            <v>36800000</v>
          </cell>
          <cell r="J589">
            <v>334592</v>
          </cell>
          <cell r="K589">
            <v>424156</v>
          </cell>
          <cell r="L589">
            <v>77.400000000000006</v>
          </cell>
          <cell r="N589">
            <v>14140000</v>
          </cell>
          <cell r="O589">
            <v>235762</v>
          </cell>
          <cell r="P589">
            <v>277032</v>
          </cell>
          <cell r="Q589">
            <v>48</v>
          </cell>
          <cell r="S589">
            <v>34370000</v>
          </cell>
          <cell r="W589">
            <v>1</v>
          </cell>
          <cell r="X589">
            <v>1</v>
          </cell>
          <cell r="Y589">
            <v>1</v>
          </cell>
          <cell r="Z589">
            <v>1</v>
          </cell>
          <cell r="AA589">
            <v>1</v>
          </cell>
          <cell r="AB589">
            <v>1</v>
          </cell>
        </row>
        <row r="590">
          <cell r="A590" t="str">
            <v>K220x120x12,5</v>
          </cell>
          <cell r="C590">
            <v>58.655200000000001</v>
          </cell>
          <cell r="D590">
            <v>220</v>
          </cell>
          <cell r="E590">
            <v>120</v>
          </cell>
          <cell r="F590">
            <v>12.5</v>
          </cell>
          <cell r="G590">
            <v>12.5</v>
          </cell>
          <cell r="H590">
            <v>7472</v>
          </cell>
          <cell r="I590">
            <v>43120000</v>
          </cell>
          <cell r="J590">
            <v>392013</v>
          </cell>
          <cell r="K590">
            <v>505588</v>
          </cell>
          <cell r="L590">
            <v>76</v>
          </cell>
          <cell r="N590">
            <v>16410000</v>
          </cell>
          <cell r="O590">
            <v>273600</v>
          </cell>
          <cell r="P590">
            <v>328832</v>
          </cell>
          <cell r="Q590">
            <v>46.9</v>
          </cell>
          <cell r="S590">
            <v>40880000</v>
          </cell>
          <cell r="W590">
            <v>1</v>
          </cell>
          <cell r="X590">
            <v>1</v>
          </cell>
          <cell r="Y590">
            <v>1</v>
          </cell>
          <cell r="Z590">
            <v>1</v>
          </cell>
          <cell r="AA590">
            <v>1</v>
          </cell>
          <cell r="AB590">
            <v>1</v>
          </cell>
        </row>
        <row r="591">
          <cell r="A591" t="str">
            <v>K250x150x6,3</v>
          </cell>
          <cell r="C591">
            <v>37.515149999999998</v>
          </cell>
          <cell r="D591">
            <v>250</v>
          </cell>
          <cell r="E591">
            <v>150</v>
          </cell>
          <cell r="F591">
            <v>6.3</v>
          </cell>
          <cell r="G591">
            <v>6.3</v>
          </cell>
          <cell r="H591">
            <v>4779</v>
          </cell>
          <cell r="I591">
            <v>40550000</v>
          </cell>
          <cell r="J591">
            <v>324398</v>
          </cell>
          <cell r="K591">
            <v>395171</v>
          </cell>
          <cell r="L591">
            <v>92.1</v>
          </cell>
          <cell r="N591">
            <v>18430000</v>
          </cell>
          <cell r="O591">
            <v>245854</v>
          </cell>
          <cell r="P591">
            <v>278250</v>
          </cell>
          <cell r="Q591">
            <v>62.1</v>
          </cell>
          <cell r="S591">
            <v>40620000</v>
          </cell>
          <cell r="W591">
            <v>1</v>
          </cell>
          <cell r="X591">
            <v>1</v>
          </cell>
          <cell r="Y591">
            <v>1</v>
          </cell>
          <cell r="Z591">
            <v>2</v>
          </cell>
          <cell r="AA591">
            <v>3</v>
          </cell>
          <cell r="AB591">
            <v>3</v>
          </cell>
        </row>
        <row r="592">
          <cell r="A592" t="str">
            <v>K250x150x8,0</v>
          </cell>
          <cell r="C592">
            <v>46.93515</v>
          </cell>
          <cell r="D592">
            <v>250</v>
          </cell>
          <cell r="E592">
            <v>150</v>
          </cell>
          <cell r="F592">
            <v>8</v>
          </cell>
          <cell r="G592">
            <v>8</v>
          </cell>
          <cell r="H592">
            <v>5979</v>
          </cell>
          <cell r="I592">
            <v>49720000</v>
          </cell>
          <cell r="J592">
            <v>397778</v>
          </cell>
          <cell r="K592">
            <v>489069</v>
          </cell>
          <cell r="L592">
            <v>91.2</v>
          </cell>
          <cell r="N592">
            <v>22500000</v>
          </cell>
          <cell r="O592">
            <v>300055</v>
          </cell>
          <cell r="P592">
            <v>343710</v>
          </cell>
          <cell r="Q592">
            <v>61.3</v>
          </cell>
          <cell r="S592">
            <v>50320000</v>
          </cell>
          <cell r="W592">
            <v>1</v>
          </cell>
          <cell r="X592">
            <v>1</v>
          </cell>
          <cell r="Y592">
            <v>1</v>
          </cell>
          <cell r="Z592">
            <v>1</v>
          </cell>
          <cell r="AA592">
            <v>1</v>
          </cell>
          <cell r="AB592">
            <v>2</v>
          </cell>
        </row>
        <row r="593">
          <cell r="A593" t="str">
            <v>K250x150x10,0</v>
          </cell>
          <cell r="C593">
            <v>57.634699999999995</v>
          </cell>
          <cell r="D593">
            <v>250</v>
          </cell>
          <cell r="E593">
            <v>150</v>
          </cell>
          <cell r="F593">
            <v>10</v>
          </cell>
          <cell r="G593">
            <v>10</v>
          </cell>
          <cell r="H593">
            <v>7342</v>
          </cell>
          <cell r="I593">
            <v>59600000</v>
          </cell>
          <cell r="J593">
            <v>476815</v>
          </cell>
          <cell r="K593">
            <v>592793</v>
          </cell>
          <cell r="L593">
            <v>90.1</v>
          </cell>
          <cell r="N593">
            <v>26820000</v>
          </cell>
          <cell r="O593">
            <v>357716</v>
          </cell>
          <cell r="P593">
            <v>415669</v>
          </cell>
          <cell r="Q593">
            <v>60.4</v>
          </cell>
          <cell r="S593">
            <v>61040000</v>
          </cell>
          <cell r="W593">
            <v>1</v>
          </cell>
          <cell r="X593">
            <v>1</v>
          </cell>
          <cell r="Y593">
            <v>1</v>
          </cell>
          <cell r="Z593">
            <v>1</v>
          </cell>
          <cell r="AA593">
            <v>1</v>
          </cell>
          <cell r="AB593">
            <v>1</v>
          </cell>
        </row>
        <row r="594">
          <cell r="A594" t="str">
            <v>K260x140x6,3</v>
          </cell>
          <cell r="C594">
            <v>37.515149999999998</v>
          </cell>
          <cell r="D594">
            <v>260</v>
          </cell>
          <cell r="E594">
            <v>140</v>
          </cell>
          <cell r="F594">
            <v>6.3</v>
          </cell>
          <cell r="G594">
            <v>6.3</v>
          </cell>
          <cell r="H594">
            <v>4779</v>
          </cell>
          <cell r="I594">
            <v>42590000</v>
          </cell>
          <cell r="J594">
            <v>327647</v>
          </cell>
          <cell r="K594">
            <v>403398</v>
          </cell>
          <cell r="L594">
            <v>94.4</v>
          </cell>
          <cell r="N594">
            <v>16330000</v>
          </cell>
          <cell r="O594">
            <v>233407</v>
          </cell>
          <cell r="P594">
            <v>263093</v>
          </cell>
          <cell r="Q594">
            <v>58.5</v>
          </cell>
          <cell r="S594">
            <v>38110000</v>
          </cell>
          <cell r="W594">
            <v>1</v>
          </cell>
          <cell r="X594">
            <v>1</v>
          </cell>
          <cell r="Y594">
            <v>1</v>
          </cell>
          <cell r="Z594">
            <v>3</v>
          </cell>
          <cell r="AA594">
            <v>3</v>
          </cell>
          <cell r="AB594">
            <v>3</v>
          </cell>
        </row>
        <row r="595">
          <cell r="A595" t="str">
            <v>K260x140x7,1</v>
          </cell>
          <cell r="C595">
            <v>41.9818</v>
          </cell>
          <cell r="D595">
            <v>260</v>
          </cell>
          <cell r="E595">
            <v>140</v>
          </cell>
          <cell r="F595">
            <v>7.1</v>
          </cell>
          <cell r="G595">
            <v>7.1</v>
          </cell>
          <cell r="H595">
            <v>5348</v>
          </cell>
          <cell r="I595">
            <v>47220000</v>
          </cell>
          <cell r="J595">
            <v>363234</v>
          </cell>
          <cell r="K595">
            <v>449069</v>
          </cell>
          <cell r="L595">
            <v>94</v>
          </cell>
          <cell r="N595">
            <v>18060000</v>
          </cell>
          <cell r="O595">
            <v>258032</v>
          </cell>
          <cell r="P595">
            <v>292600</v>
          </cell>
          <cell r="Q595">
            <v>58.1</v>
          </cell>
          <cell r="S595">
            <v>42430000</v>
          </cell>
          <cell r="W595">
            <v>1</v>
          </cell>
          <cell r="X595">
            <v>1</v>
          </cell>
          <cell r="Y595">
            <v>1</v>
          </cell>
          <cell r="Z595">
            <v>2</v>
          </cell>
          <cell r="AA595">
            <v>2</v>
          </cell>
          <cell r="AB595">
            <v>3</v>
          </cell>
        </row>
        <row r="596">
          <cell r="A596" t="str">
            <v>K260x140x8,0</v>
          </cell>
          <cell r="C596">
            <v>46.93515</v>
          </cell>
          <cell r="D596">
            <v>260</v>
          </cell>
          <cell r="E596">
            <v>140</v>
          </cell>
          <cell r="F596">
            <v>8</v>
          </cell>
          <cell r="G596">
            <v>8</v>
          </cell>
          <cell r="H596">
            <v>5979</v>
          </cell>
          <cell r="I596">
            <v>52220000</v>
          </cell>
          <cell r="J596">
            <v>401714</v>
          </cell>
          <cell r="K596">
            <v>499205</v>
          </cell>
          <cell r="L596">
            <v>93.5</v>
          </cell>
          <cell r="N596">
            <v>19910000</v>
          </cell>
          <cell r="O596">
            <v>284471</v>
          </cell>
          <cell r="P596">
            <v>324774</v>
          </cell>
          <cell r="Q596">
            <v>57.7</v>
          </cell>
          <cell r="S596">
            <v>47150000</v>
          </cell>
          <cell r="W596">
            <v>1</v>
          </cell>
          <cell r="X596">
            <v>1</v>
          </cell>
          <cell r="Y596">
            <v>1</v>
          </cell>
          <cell r="Z596">
            <v>1</v>
          </cell>
          <cell r="AA596">
            <v>1</v>
          </cell>
          <cell r="AB596">
            <v>2</v>
          </cell>
        </row>
        <row r="597">
          <cell r="A597" t="str">
            <v>K260x140x10,0</v>
          </cell>
          <cell r="C597">
            <v>57.634699999999995</v>
          </cell>
          <cell r="D597">
            <v>260</v>
          </cell>
          <cell r="E597">
            <v>140</v>
          </cell>
          <cell r="F597">
            <v>10</v>
          </cell>
          <cell r="G597">
            <v>10</v>
          </cell>
          <cell r="H597">
            <v>7342</v>
          </cell>
          <cell r="I597">
            <v>62580000</v>
          </cell>
          <cell r="J597">
            <v>481449</v>
          </cell>
          <cell r="K597">
            <v>605005</v>
          </cell>
          <cell r="L597">
            <v>92.3</v>
          </cell>
          <cell r="N597">
            <v>23700000</v>
          </cell>
          <cell r="O597">
            <v>338580</v>
          </cell>
          <cell r="P597">
            <v>392456</v>
          </cell>
          <cell r="Q597">
            <v>56.8</v>
          </cell>
          <cell r="S597">
            <v>57100000</v>
          </cell>
          <cell r="W597">
            <v>1</v>
          </cell>
          <cell r="X597">
            <v>1</v>
          </cell>
          <cell r="Y597">
            <v>1</v>
          </cell>
          <cell r="Z597">
            <v>1</v>
          </cell>
          <cell r="AA597">
            <v>1</v>
          </cell>
          <cell r="AB597">
            <v>1</v>
          </cell>
        </row>
        <row r="598">
          <cell r="A598" t="str">
            <v>K260x140x12,5</v>
          </cell>
          <cell r="C598">
            <v>70.430199999999999</v>
          </cell>
          <cell r="D598">
            <v>260</v>
          </cell>
          <cell r="E598">
            <v>140</v>
          </cell>
          <cell r="F598">
            <v>12.5</v>
          </cell>
          <cell r="G598">
            <v>12.5</v>
          </cell>
          <cell r="H598">
            <v>8972</v>
          </cell>
          <cell r="I598">
            <v>74130000</v>
          </cell>
          <cell r="J598">
            <v>570238</v>
          </cell>
          <cell r="K598">
            <v>726916</v>
          </cell>
          <cell r="L598">
            <v>90.9</v>
          </cell>
          <cell r="N598">
            <v>27830000</v>
          </cell>
          <cell r="O598">
            <v>397624</v>
          </cell>
          <cell r="P598">
            <v>469809</v>
          </cell>
          <cell r="Q598">
            <v>55.7</v>
          </cell>
          <cell r="S598">
            <v>68510000</v>
          </cell>
          <cell r="W598">
            <v>1</v>
          </cell>
          <cell r="X598">
            <v>1</v>
          </cell>
          <cell r="Y598">
            <v>1</v>
          </cell>
          <cell r="Z598">
            <v>1</v>
          </cell>
          <cell r="AA598">
            <v>1</v>
          </cell>
          <cell r="AB598">
            <v>1</v>
          </cell>
        </row>
        <row r="599">
          <cell r="A599" t="str">
            <v>K260x180x6,3</v>
          </cell>
          <cell r="C599">
            <v>41.471550000000001</v>
          </cell>
          <cell r="D599">
            <v>260</v>
          </cell>
          <cell r="E599">
            <v>180</v>
          </cell>
          <cell r="F599">
            <v>6.3</v>
          </cell>
          <cell r="G599">
            <v>6.3</v>
          </cell>
          <cell r="H599">
            <v>5283</v>
          </cell>
          <cell r="I599">
            <v>50700000</v>
          </cell>
          <cell r="J599">
            <v>390043</v>
          </cell>
          <cell r="K599">
            <v>467330</v>
          </cell>
          <cell r="L599">
            <v>98</v>
          </cell>
          <cell r="N599">
            <v>28840000</v>
          </cell>
          <cell r="O599">
            <v>320456</v>
          </cell>
          <cell r="P599">
            <v>363714</v>
          </cell>
          <cell r="Q599">
            <v>73.900000000000006</v>
          </cell>
          <cell r="S599">
            <v>58220000</v>
          </cell>
          <cell r="W599">
            <v>1</v>
          </cell>
          <cell r="X599">
            <v>1</v>
          </cell>
          <cell r="Y599">
            <v>1</v>
          </cell>
          <cell r="Z599">
            <v>3</v>
          </cell>
          <cell r="AA599">
            <v>3</v>
          </cell>
          <cell r="AB599">
            <v>3</v>
          </cell>
        </row>
        <row r="600">
          <cell r="A600" t="str">
            <v>K260x180x8,0</v>
          </cell>
          <cell r="C600">
            <v>51.959150000000001</v>
          </cell>
          <cell r="D600">
            <v>260</v>
          </cell>
          <cell r="E600">
            <v>180</v>
          </cell>
          <cell r="F600">
            <v>8</v>
          </cell>
          <cell r="G600">
            <v>8</v>
          </cell>
          <cell r="H600">
            <v>6619</v>
          </cell>
          <cell r="I600">
            <v>62380000</v>
          </cell>
          <cell r="J600">
            <v>479899</v>
          </cell>
          <cell r="K600">
            <v>579845</v>
          </cell>
          <cell r="L600">
            <v>97.1</v>
          </cell>
          <cell r="N600">
            <v>35380000</v>
          </cell>
          <cell r="O600">
            <v>393121</v>
          </cell>
          <cell r="P600">
            <v>450758</v>
          </cell>
          <cell r="Q600">
            <v>73.099999999999994</v>
          </cell>
          <cell r="S600">
            <v>72380000</v>
          </cell>
          <cell r="W600">
            <v>1</v>
          </cell>
          <cell r="X600">
            <v>1</v>
          </cell>
          <cell r="Y600">
            <v>1</v>
          </cell>
          <cell r="Z600">
            <v>1</v>
          </cell>
          <cell r="AA600">
            <v>1</v>
          </cell>
          <cell r="AB600">
            <v>2</v>
          </cell>
        </row>
        <row r="601">
          <cell r="A601" t="str">
            <v>K260x180x10,0</v>
          </cell>
          <cell r="C601">
            <v>63.914699999999996</v>
          </cell>
          <cell r="D601">
            <v>260</v>
          </cell>
          <cell r="E601">
            <v>180</v>
          </cell>
          <cell r="F601">
            <v>10</v>
          </cell>
          <cell r="G601">
            <v>10</v>
          </cell>
          <cell r="H601">
            <v>8142</v>
          </cell>
          <cell r="I601">
            <v>75090000</v>
          </cell>
          <cell r="J601">
            <v>577654</v>
          </cell>
          <cell r="K601">
            <v>705005</v>
          </cell>
          <cell r="L601">
            <v>96</v>
          </cell>
          <cell r="N601">
            <v>42440000</v>
          </cell>
          <cell r="O601">
            <v>471584</v>
          </cell>
          <cell r="P601">
            <v>547306</v>
          </cell>
          <cell r="Q601">
            <v>72.2</v>
          </cell>
          <cell r="S601">
            <v>88190000</v>
          </cell>
          <cell r="W601">
            <v>1</v>
          </cell>
          <cell r="X601">
            <v>1</v>
          </cell>
          <cell r="Y601">
            <v>1</v>
          </cell>
          <cell r="Z601">
            <v>1</v>
          </cell>
          <cell r="AA601">
            <v>1</v>
          </cell>
          <cell r="AB601">
            <v>1</v>
          </cell>
        </row>
        <row r="602">
          <cell r="A602" t="str">
            <v>K260x180x12,5</v>
          </cell>
          <cell r="C602">
            <v>78.280199999999994</v>
          </cell>
          <cell r="D602">
            <v>260</v>
          </cell>
          <cell r="E602">
            <v>180</v>
          </cell>
          <cell r="F602">
            <v>12.5</v>
          </cell>
          <cell r="G602">
            <v>12.5</v>
          </cell>
          <cell r="H602">
            <v>9972</v>
          </cell>
          <cell r="I602">
            <v>89450000</v>
          </cell>
          <cell r="J602">
            <v>688138</v>
          </cell>
          <cell r="K602">
            <v>850666</v>
          </cell>
          <cell r="L602">
            <v>94.7</v>
          </cell>
          <cell r="N602">
            <v>50340000</v>
          </cell>
          <cell r="O602">
            <v>559427</v>
          </cell>
          <cell r="P602">
            <v>659261</v>
          </cell>
          <cell r="Q602">
            <v>71.099999999999994</v>
          </cell>
          <cell r="S602">
            <v>106660000</v>
          </cell>
          <cell r="W602">
            <v>1</v>
          </cell>
          <cell r="X602">
            <v>1</v>
          </cell>
          <cell r="Y602">
            <v>1</v>
          </cell>
          <cell r="Z602">
            <v>1</v>
          </cell>
          <cell r="AA602">
            <v>1</v>
          </cell>
          <cell r="AB602">
            <v>1</v>
          </cell>
        </row>
        <row r="603">
          <cell r="A603" t="str">
            <v>K300x200x12,5</v>
          </cell>
          <cell r="C603">
            <v>91.4</v>
          </cell>
          <cell r="D603">
            <v>300</v>
          </cell>
          <cell r="E603">
            <v>200</v>
          </cell>
          <cell r="F603">
            <v>12.5</v>
          </cell>
          <cell r="G603">
            <v>12.5</v>
          </cell>
          <cell r="H603">
            <v>11640</v>
          </cell>
          <cell r="I603">
            <v>140880000</v>
          </cell>
          <cell r="J603">
            <v>939200</v>
          </cell>
          <cell r="K603">
            <v>1154000</v>
          </cell>
          <cell r="L603">
            <v>110</v>
          </cell>
          <cell r="N603">
            <v>74480000</v>
          </cell>
          <cell r="O603">
            <v>744800</v>
          </cell>
          <cell r="P603">
            <v>869000</v>
          </cell>
          <cell r="Q603">
            <v>80</v>
          </cell>
          <cell r="S603">
            <v>157410000</v>
          </cell>
          <cell r="W603">
            <v>1</v>
          </cell>
          <cell r="X603">
            <v>1</v>
          </cell>
          <cell r="Y603">
            <v>1</v>
          </cell>
          <cell r="Z603">
            <v>1</v>
          </cell>
          <cell r="AA603">
            <v>1</v>
          </cell>
          <cell r="AB603">
            <v>1</v>
          </cell>
        </row>
        <row r="604">
          <cell r="A604" t="str">
            <v>K350x350x8,0</v>
          </cell>
          <cell r="C604">
            <v>85.4</v>
          </cell>
          <cell r="D604">
            <v>350</v>
          </cell>
          <cell r="E604">
            <v>350</v>
          </cell>
          <cell r="F604">
            <v>8</v>
          </cell>
          <cell r="G604">
            <v>8</v>
          </cell>
          <cell r="H604">
            <v>10900</v>
          </cell>
          <cell r="I604">
            <v>211290000</v>
          </cell>
          <cell r="J604">
            <v>1207000</v>
          </cell>
          <cell r="K604">
            <v>1392000</v>
          </cell>
          <cell r="L604">
            <v>139</v>
          </cell>
          <cell r="N604">
            <v>254530000</v>
          </cell>
          <cell r="O604">
            <v>1454499</v>
          </cell>
          <cell r="P604">
            <v>1689917</v>
          </cell>
          <cell r="Q604">
            <v>138.1</v>
          </cell>
          <cell r="S604">
            <v>399730000</v>
          </cell>
          <cell r="W604">
            <v>1</v>
          </cell>
          <cell r="X604">
            <v>1</v>
          </cell>
          <cell r="Y604">
            <v>1</v>
          </cell>
          <cell r="Z604">
            <v>1</v>
          </cell>
          <cell r="AA604">
            <v>1</v>
          </cell>
          <cell r="AB604">
            <v>1</v>
          </cell>
        </row>
        <row r="605">
          <cell r="A605" t="str">
            <v>KUT</v>
          </cell>
        </row>
        <row r="612">
          <cell r="A612" t="str">
            <v>HD-profielen</v>
          </cell>
          <cell r="C612" t="str">
            <v>g</v>
          </cell>
          <cell r="D612" t="str">
            <v>h</v>
          </cell>
          <cell r="E612" t="str">
            <v>b</v>
          </cell>
          <cell r="F612" t="str">
            <v>t</v>
          </cell>
          <cell r="G612" t="str">
            <v>t</v>
          </cell>
          <cell r="H612" t="str">
            <v>A</v>
          </cell>
          <cell r="I612" t="str">
            <v>Iy</v>
          </cell>
          <cell r="J612" t="str">
            <v>Wy</v>
          </cell>
          <cell r="K612" t="str">
            <v>Wply</v>
          </cell>
          <cell r="L612" t="str">
            <v>iy</v>
          </cell>
          <cell r="N612" t="str">
            <v>Iz</v>
          </cell>
          <cell r="O612" t="str">
            <v>Wz</v>
          </cell>
          <cell r="P612" t="str">
            <v>Wplz</v>
          </cell>
          <cell r="Q612" t="str">
            <v>iz</v>
          </cell>
          <cell r="S612" t="str">
            <v>It</v>
          </cell>
          <cell r="W612">
            <v>235</v>
          </cell>
          <cell r="X612">
            <v>275</v>
          </cell>
          <cell r="Y612">
            <v>355</v>
          </cell>
          <cell r="Z612">
            <v>235</v>
          </cell>
          <cell r="AA612">
            <v>275</v>
          </cell>
          <cell r="AB612">
            <v>355</v>
          </cell>
        </row>
        <row r="613">
          <cell r="C613" t="str">
            <v>kg/m</v>
          </cell>
          <cell r="D613" t="str">
            <v>mm</v>
          </cell>
          <cell r="E613" t="str">
            <v>mm</v>
          </cell>
          <cell r="F613" t="str">
            <v>mm</v>
          </cell>
          <cell r="G613" t="str">
            <v>mm</v>
          </cell>
          <cell r="H613" t="str">
            <v>mm2</v>
          </cell>
          <cell r="I613" t="str">
            <v>mm4</v>
          </cell>
          <cell r="J613" t="str">
            <v>mm3</v>
          </cell>
          <cell r="K613" t="str">
            <v>mm3</v>
          </cell>
          <cell r="L613" t="str">
            <v>mm</v>
          </cell>
          <cell r="N613" t="str">
            <v>mm4</v>
          </cell>
          <cell r="O613" t="str">
            <v>mm3</v>
          </cell>
          <cell r="P613" t="str">
            <v>mm3</v>
          </cell>
          <cell r="Q613" t="str">
            <v>mm</v>
          </cell>
          <cell r="S613" t="str">
            <v>mm4</v>
          </cell>
        </row>
        <row r="614">
          <cell r="A614" t="str">
            <v>HD 260 x 54.1</v>
          </cell>
          <cell r="C614">
            <v>54.1</v>
          </cell>
          <cell r="D614">
            <v>244</v>
          </cell>
          <cell r="E614">
            <v>260</v>
          </cell>
          <cell r="F614">
            <v>6.5</v>
          </cell>
          <cell r="G614">
            <v>9.5</v>
          </cell>
          <cell r="H614">
            <v>6897</v>
          </cell>
          <cell r="I614">
            <v>79810000</v>
          </cell>
          <cell r="J614">
            <v>654100</v>
          </cell>
          <cell r="K614">
            <v>714500</v>
          </cell>
          <cell r="L614">
            <v>107.6</v>
          </cell>
          <cell r="M614">
            <v>2475</v>
          </cell>
          <cell r="N614">
            <v>27880000</v>
          </cell>
          <cell r="O614">
            <v>214500</v>
          </cell>
          <cell r="P614">
            <v>327700</v>
          </cell>
          <cell r="Q614">
            <v>63.6</v>
          </cell>
          <cell r="R614">
            <v>53.62</v>
          </cell>
          <cell r="S614">
            <v>303100</v>
          </cell>
          <cell r="T614">
            <v>382600000</v>
          </cell>
          <cell r="W614">
            <v>1</v>
          </cell>
          <cell r="X614">
            <v>1</v>
          </cell>
          <cell r="Y614">
            <v>1</v>
          </cell>
          <cell r="Z614">
            <v>2</v>
          </cell>
          <cell r="AA614">
            <v>2</v>
          </cell>
          <cell r="AB614">
            <v>3</v>
          </cell>
        </row>
        <row r="615">
          <cell r="A615" t="str">
            <v>HD 260 x 68.2</v>
          </cell>
          <cell r="C615">
            <v>68.2</v>
          </cell>
          <cell r="D615">
            <v>250</v>
          </cell>
          <cell r="E615">
            <v>260</v>
          </cell>
          <cell r="F615">
            <v>7.5</v>
          </cell>
          <cell r="G615">
            <v>12.5</v>
          </cell>
          <cell r="H615">
            <v>8682</v>
          </cell>
          <cell r="I615">
            <v>104500000</v>
          </cell>
          <cell r="J615">
            <v>836400</v>
          </cell>
          <cell r="K615">
            <v>919800</v>
          </cell>
          <cell r="L615">
            <v>109.7</v>
          </cell>
          <cell r="M615">
            <v>2876</v>
          </cell>
          <cell r="N615">
            <v>36680000</v>
          </cell>
          <cell r="O615">
            <v>282100</v>
          </cell>
          <cell r="P615">
            <v>430200</v>
          </cell>
          <cell r="Q615">
            <v>65</v>
          </cell>
          <cell r="R615">
            <v>60.62</v>
          </cell>
          <cell r="S615">
            <v>523700</v>
          </cell>
          <cell r="T615">
            <v>516400000</v>
          </cell>
          <cell r="W615">
            <v>1</v>
          </cell>
          <cell r="X615">
            <v>1</v>
          </cell>
          <cell r="Y615">
            <v>1</v>
          </cell>
          <cell r="Z615">
            <v>1</v>
          </cell>
          <cell r="AA615">
            <v>1</v>
          </cell>
          <cell r="AB615">
            <v>2</v>
          </cell>
        </row>
        <row r="616">
          <cell r="A616" t="str">
            <v>HD 260 x 93</v>
          </cell>
          <cell r="C616">
            <v>93</v>
          </cell>
          <cell r="D616">
            <v>260</v>
          </cell>
          <cell r="E616">
            <v>260</v>
          </cell>
          <cell r="F616">
            <v>10</v>
          </cell>
          <cell r="G616">
            <v>17.5</v>
          </cell>
          <cell r="H616">
            <v>11840</v>
          </cell>
          <cell r="I616">
            <v>149200000</v>
          </cell>
          <cell r="J616">
            <v>1148000</v>
          </cell>
          <cell r="K616">
            <v>1283000</v>
          </cell>
          <cell r="L616">
            <v>112.2</v>
          </cell>
          <cell r="M616">
            <v>3759</v>
          </cell>
          <cell r="N616">
            <v>51350000</v>
          </cell>
          <cell r="O616">
            <v>395000</v>
          </cell>
          <cell r="P616">
            <v>602200</v>
          </cell>
          <cell r="Q616">
            <v>65.8</v>
          </cell>
          <cell r="R616">
            <v>73.12</v>
          </cell>
          <cell r="S616">
            <v>1238000</v>
          </cell>
          <cell r="T616">
            <v>753700000</v>
          </cell>
        </row>
        <row r="617">
          <cell r="A617" t="str">
            <v>HD 260 x 114</v>
          </cell>
          <cell r="C617">
            <v>114</v>
          </cell>
          <cell r="D617">
            <v>268</v>
          </cell>
          <cell r="E617">
            <v>262</v>
          </cell>
          <cell r="F617">
            <v>12.5</v>
          </cell>
          <cell r="G617">
            <v>21.5</v>
          </cell>
          <cell r="H617">
            <v>14570</v>
          </cell>
          <cell r="I617">
            <v>189100000</v>
          </cell>
          <cell r="J617">
            <v>1411000</v>
          </cell>
          <cell r="K617">
            <v>1600000</v>
          </cell>
          <cell r="L617">
            <v>113.9</v>
          </cell>
          <cell r="M617">
            <v>4608</v>
          </cell>
          <cell r="N617">
            <v>64560000</v>
          </cell>
          <cell r="O617">
            <v>492800</v>
          </cell>
          <cell r="P617">
            <v>752500</v>
          </cell>
          <cell r="Q617">
            <v>66.599999999999994</v>
          </cell>
          <cell r="R617">
            <v>83.62</v>
          </cell>
          <cell r="S617">
            <v>2224000</v>
          </cell>
          <cell r="T617">
            <v>979000000</v>
          </cell>
        </row>
        <row r="618">
          <cell r="A618" t="str">
            <v>HD 260 x 142</v>
          </cell>
          <cell r="C618">
            <v>142</v>
          </cell>
          <cell r="D618">
            <v>278</v>
          </cell>
          <cell r="E618">
            <v>265</v>
          </cell>
          <cell r="F618">
            <v>15.5</v>
          </cell>
          <cell r="G618">
            <v>26.5</v>
          </cell>
          <cell r="H618">
            <v>18030</v>
          </cell>
          <cell r="I618">
            <v>243300000</v>
          </cell>
          <cell r="J618">
            <v>1750000</v>
          </cell>
          <cell r="K618">
            <v>2015000</v>
          </cell>
          <cell r="L618">
            <v>116.2</v>
          </cell>
          <cell r="M618">
            <v>5665</v>
          </cell>
          <cell r="N618">
            <v>82360000</v>
          </cell>
          <cell r="O618">
            <v>621600</v>
          </cell>
          <cell r="P618">
            <v>950500</v>
          </cell>
          <cell r="Q618">
            <v>67.599999999999994</v>
          </cell>
          <cell r="R618">
            <v>96.62</v>
          </cell>
          <cell r="S618">
            <v>4068000</v>
          </cell>
          <cell r="T618">
            <v>1300000000</v>
          </cell>
        </row>
        <row r="619">
          <cell r="A619" t="str">
            <v>HD 260 x 172</v>
          </cell>
          <cell r="C619">
            <v>172</v>
          </cell>
          <cell r="D619">
            <v>290</v>
          </cell>
          <cell r="E619">
            <v>268</v>
          </cell>
          <cell r="F619">
            <v>18</v>
          </cell>
          <cell r="G619">
            <v>32.5</v>
          </cell>
          <cell r="H619">
            <v>21960</v>
          </cell>
          <cell r="I619">
            <v>313100000</v>
          </cell>
          <cell r="J619">
            <v>2159000</v>
          </cell>
          <cell r="K619">
            <v>2524000</v>
          </cell>
          <cell r="L619">
            <v>119.4</v>
          </cell>
          <cell r="M619">
            <v>6689</v>
          </cell>
          <cell r="N619">
            <v>104500000</v>
          </cell>
          <cell r="O619">
            <v>779700</v>
          </cell>
          <cell r="P619">
            <v>1192000</v>
          </cell>
          <cell r="Q619">
            <v>69</v>
          </cell>
          <cell r="R619">
            <v>111.1</v>
          </cell>
          <cell r="S619">
            <v>7190000</v>
          </cell>
          <cell r="T619">
            <v>1728000000</v>
          </cell>
        </row>
        <row r="620">
          <cell r="A620" t="str">
            <v>HD 320 x 74.2</v>
          </cell>
          <cell r="C620">
            <v>74.2</v>
          </cell>
          <cell r="D620">
            <v>301</v>
          </cell>
          <cell r="E620">
            <v>300</v>
          </cell>
          <cell r="F620">
            <v>8</v>
          </cell>
          <cell r="G620">
            <v>11</v>
          </cell>
          <cell r="H620">
            <v>9458</v>
          </cell>
          <cell r="I620">
            <v>164500000</v>
          </cell>
          <cell r="J620">
            <v>1093000</v>
          </cell>
          <cell r="K620">
            <v>1196000</v>
          </cell>
          <cell r="L620">
            <v>131.9</v>
          </cell>
          <cell r="M620">
            <v>3540</v>
          </cell>
          <cell r="N620">
            <v>49590000</v>
          </cell>
          <cell r="O620">
            <v>330600</v>
          </cell>
          <cell r="P620">
            <v>505700</v>
          </cell>
          <cell r="Q620">
            <v>72.400000000000006</v>
          </cell>
          <cell r="R620">
            <v>61.63</v>
          </cell>
          <cell r="S620">
            <v>558700</v>
          </cell>
          <cell r="T620">
            <v>1041000000</v>
          </cell>
        </row>
        <row r="621">
          <cell r="A621" t="str">
            <v>HD 320 x 97.6</v>
          </cell>
          <cell r="C621">
            <v>97.6</v>
          </cell>
          <cell r="D621">
            <v>310</v>
          </cell>
          <cell r="E621">
            <v>300</v>
          </cell>
          <cell r="F621">
            <v>9</v>
          </cell>
          <cell r="G621">
            <v>15.5</v>
          </cell>
          <cell r="H621">
            <v>12440</v>
          </cell>
          <cell r="I621">
            <v>229300000</v>
          </cell>
          <cell r="J621">
            <v>1479000</v>
          </cell>
          <cell r="K621">
            <v>1628000</v>
          </cell>
          <cell r="L621">
            <v>135.80000000000001</v>
          </cell>
          <cell r="M621">
            <v>4113</v>
          </cell>
          <cell r="N621">
            <v>69850000</v>
          </cell>
          <cell r="O621">
            <v>465700</v>
          </cell>
          <cell r="P621">
            <v>709700</v>
          </cell>
          <cell r="Q621">
            <v>74.900000000000006</v>
          </cell>
          <cell r="R621">
            <v>71.63</v>
          </cell>
          <cell r="S621">
            <v>1080000</v>
          </cell>
          <cell r="T621">
            <v>1512000000</v>
          </cell>
        </row>
        <row r="622">
          <cell r="A622" t="str">
            <v>HD 320 x 127</v>
          </cell>
          <cell r="C622">
            <v>127</v>
          </cell>
          <cell r="D622">
            <v>320</v>
          </cell>
          <cell r="E622">
            <v>300</v>
          </cell>
          <cell r="F622">
            <v>11.5</v>
          </cell>
          <cell r="G622">
            <v>20.5</v>
          </cell>
          <cell r="H622">
            <v>16130</v>
          </cell>
          <cell r="I622">
            <v>308200000</v>
          </cell>
          <cell r="J622">
            <v>1926000</v>
          </cell>
          <cell r="K622">
            <v>2149000</v>
          </cell>
          <cell r="L622">
            <v>138.19999999999999</v>
          </cell>
          <cell r="M622">
            <v>5177</v>
          </cell>
          <cell r="N622">
            <v>92390000</v>
          </cell>
          <cell r="O622">
            <v>615900</v>
          </cell>
          <cell r="P622">
            <v>939100</v>
          </cell>
          <cell r="Q622">
            <v>75.7</v>
          </cell>
          <cell r="R622">
            <v>84.13</v>
          </cell>
          <cell r="S622">
            <v>2251000</v>
          </cell>
          <cell r="T622">
            <v>2069000000</v>
          </cell>
        </row>
        <row r="623">
          <cell r="A623" t="str">
            <v>HD 320 x 158</v>
          </cell>
          <cell r="C623">
            <v>158</v>
          </cell>
          <cell r="D623">
            <v>330</v>
          </cell>
          <cell r="E623">
            <v>303</v>
          </cell>
          <cell r="F623">
            <v>14.5</v>
          </cell>
          <cell r="G623">
            <v>25.5</v>
          </cell>
          <cell r="H623">
            <v>20120</v>
          </cell>
          <cell r="I623">
            <v>396400000</v>
          </cell>
          <cell r="J623">
            <v>2403000</v>
          </cell>
          <cell r="K623">
            <v>2718000</v>
          </cell>
          <cell r="L623">
            <v>140.4</v>
          </cell>
          <cell r="M623">
            <v>6418</v>
          </cell>
          <cell r="N623">
            <v>118400000</v>
          </cell>
          <cell r="O623">
            <v>781700</v>
          </cell>
          <cell r="P623">
            <v>1194000</v>
          </cell>
          <cell r="Q623">
            <v>76.7</v>
          </cell>
          <cell r="R623">
            <v>97.13</v>
          </cell>
          <cell r="S623">
            <v>4205000</v>
          </cell>
          <cell r="T623">
            <v>2741000000</v>
          </cell>
        </row>
        <row r="624">
          <cell r="A624" t="str">
            <v>HD 320 x 198</v>
          </cell>
          <cell r="C624">
            <v>198</v>
          </cell>
          <cell r="D624">
            <v>343</v>
          </cell>
          <cell r="E624">
            <v>306</v>
          </cell>
          <cell r="F624">
            <v>18</v>
          </cell>
          <cell r="G624">
            <v>32</v>
          </cell>
          <cell r="H624">
            <v>25230</v>
          </cell>
          <cell r="I624">
            <v>519000000</v>
          </cell>
          <cell r="J624">
            <v>3026000</v>
          </cell>
          <cell r="K624">
            <v>3479000</v>
          </cell>
          <cell r="L624">
            <v>143.4</v>
          </cell>
          <cell r="M624">
            <v>7952</v>
          </cell>
          <cell r="N624">
            <v>153100000</v>
          </cell>
          <cell r="O624">
            <v>1001000</v>
          </cell>
          <cell r="P624">
            <v>1530000</v>
          </cell>
          <cell r="Q624">
            <v>77.900000000000006</v>
          </cell>
          <cell r="R624">
            <v>113.6</v>
          </cell>
          <cell r="S624">
            <v>8053000</v>
          </cell>
          <cell r="T624">
            <v>3695000000</v>
          </cell>
        </row>
        <row r="625">
          <cell r="A625" t="str">
            <v>HD 320 x 245</v>
          </cell>
          <cell r="C625">
            <v>245</v>
          </cell>
          <cell r="D625">
            <v>359</v>
          </cell>
          <cell r="E625">
            <v>309</v>
          </cell>
          <cell r="F625">
            <v>21</v>
          </cell>
          <cell r="G625">
            <v>40</v>
          </cell>
          <cell r="H625">
            <v>31200</v>
          </cell>
          <cell r="I625">
            <v>681300000</v>
          </cell>
          <cell r="J625">
            <v>3796000</v>
          </cell>
          <cell r="K625">
            <v>4435000</v>
          </cell>
          <cell r="L625">
            <v>147.80000000000001</v>
          </cell>
          <cell r="M625">
            <v>9485</v>
          </cell>
          <cell r="N625">
            <v>197100000</v>
          </cell>
          <cell r="O625">
            <v>1276000</v>
          </cell>
          <cell r="P625">
            <v>1951000</v>
          </cell>
          <cell r="Q625">
            <v>79.5</v>
          </cell>
          <cell r="R625">
            <v>132.6</v>
          </cell>
          <cell r="S625">
            <v>15010000</v>
          </cell>
          <cell r="T625">
            <v>5004000000</v>
          </cell>
        </row>
        <row r="626">
          <cell r="A626" t="str">
            <v>HD 320 x 300</v>
          </cell>
          <cell r="C626">
            <v>300</v>
          </cell>
          <cell r="D626">
            <v>375</v>
          </cell>
          <cell r="E626">
            <v>313</v>
          </cell>
          <cell r="F626">
            <v>27</v>
          </cell>
          <cell r="G626">
            <v>48</v>
          </cell>
          <cell r="H626">
            <v>38210</v>
          </cell>
          <cell r="I626">
            <v>869000000</v>
          </cell>
          <cell r="J626">
            <v>4635000</v>
          </cell>
          <cell r="K626">
            <v>5522000</v>
          </cell>
          <cell r="L626">
            <v>150.80000000000001</v>
          </cell>
          <cell r="M626">
            <v>12047</v>
          </cell>
          <cell r="N626">
            <v>246000000</v>
          </cell>
          <cell r="O626">
            <v>1572000</v>
          </cell>
          <cell r="P626">
            <v>2414000</v>
          </cell>
          <cell r="Q626">
            <v>80.2</v>
          </cell>
          <cell r="R626">
            <v>154.6</v>
          </cell>
          <cell r="S626">
            <v>26500000</v>
          </cell>
          <cell r="T626">
            <v>6558000000</v>
          </cell>
        </row>
        <row r="627">
          <cell r="A627" t="str">
            <v>HD 360 x 134</v>
          </cell>
          <cell r="C627">
            <v>134</v>
          </cell>
          <cell r="D627">
            <v>356</v>
          </cell>
          <cell r="E627">
            <v>369</v>
          </cell>
          <cell r="F627">
            <v>11.2</v>
          </cell>
          <cell r="G627">
            <v>18</v>
          </cell>
          <cell r="H627">
            <v>17060</v>
          </cell>
          <cell r="I627">
            <v>415100000</v>
          </cell>
          <cell r="J627">
            <v>2332000</v>
          </cell>
          <cell r="K627">
            <v>2562000</v>
          </cell>
          <cell r="L627">
            <v>156</v>
          </cell>
          <cell r="M627">
            <v>4519</v>
          </cell>
          <cell r="N627">
            <v>150800000</v>
          </cell>
          <cell r="O627">
            <v>817300</v>
          </cell>
          <cell r="P627">
            <v>1237000</v>
          </cell>
          <cell r="Q627">
            <v>94</v>
          </cell>
          <cell r="R627">
            <v>64.77</v>
          </cell>
          <cell r="S627">
            <v>1688000</v>
          </cell>
          <cell r="T627">
            <v>4305000000</v>
          </cell>
        </row>
        <row r="628">
          <cell r="A628" t="str">
            <v>HD 360 x 147</v>
          </cell>
          <cell r="C628">
            <v>147</v>
          </cell>
          <cell r="D628">
            <v>360</v>
          </cell>
          <cell r="E628">
            <v>370</v>
          </cell>
          <cell r="F628">
            <v>12.3</v>
          </cell>
          <cell r="G628">
            <v>19.8</v>
          </cell>
          <cell r="H628">
            <v>18790</v>
          </cell>
          <cell r="I628">
            <v>462900000</v>
          </cell>
          <cell r="J628">
            <v>2572000</v>
          </cell>
          <cell r="K628">
            <v>2838000</v>
          </cell>
          <cell r="L628">
            <v>157</v>
          </cell>
          <cell r="M628">
            <v>4972</v>
          </cell>
          <cell r="N628">
            <v>167200000</v>
          </cell>
          <cell r="O628">
            <v>903900</v>
          </cell>
          <cell r="P628">
            <v>1369000</v>
          </cell>
          <cell r="Q628">
            <v>94.3</v>
          </cell>
          <cell r="R628">
            <v>69.47</v>
          </cell>
          <cell r="S628">
            <v>2237000</v>
          </cell>
          <cell r="T628">
            <v>4836000000</v>
          </cell>
        </row>
        <row r="629">
          <cell r="A629" t="str">
            <v>HD 360 x 162</v>
          </cell>
          <cell r="C629">
            <v>162</v>
          </cell>
          <cell r="D629">
            <v>364</v>
          </cell>
          <cell r="E629">
            <v>371</v>
          </cell>
          <cell r="F629">
            <v>13.3</v>
          </cell>
          <cell r="G629">
            <v>21.8</v>
          </cell>
          <cell r="H629">
            <v>20630</v>
          </cell>
          <cell r="I629">
            <v>515400000</v>
          </cell>
          <cell r="J629">
            <v>2832000</v>
          </cell>
          <cell r="K629">
            <v>3139000</v>
          </cell>
          <cell r="L629">
            <v>158.1</v>
          </cell>
          <cell r="M629">
            <v>5398</v>
          </cell>
          <cell r="N629">
            <v>185600000</v>
          </cell>
          <cell r="O629">
            <v>1001000</v>
          </cell>
          <cell r="P629">
            <v>1516000</v>
          </cell>
          <cell r="Q629">
            <v>94.9</v>
          </cell>
          <cell r="R629">
            <v>74.47</v>
          </cell>
          <cell r="S629">
            <v>2955000</v>
          </cell>
          <cell r="T629">
            <v>5432000000</v>
          </cell>
        </row>
        <row r="630">
          <cell r="A630" t="str">
            <v>HD 360 x 179</v>
          </cell>
          <cell r="C630">
            <v>179</v>
          </cell>
          <cell r="D630">
            <v>368</v>
          </cell>
          <cell r="E630">
            <v>373</v>
          </cell>
          <cell r="F630">
            <v>15</v>
          </cell>
          <cell r="G630">
            <v>23.9</v>
          </cell>
          <cell r="H630">
            <v>22830</v>
          </cell>
          <cell r="I630">
            <v>574400000</v>
          </cell>
          <cell r="J630">
            <v>3122000</v>
          </cell>
          <cell r="K630">
            <v>3482000</v>
          </cell>
          <cell r="L630">
            <v>158.6</v>
          </cell>
          <cell r="M630">
            <v>6072</v>
          </cell>
          <cell r="N630">
            <v>206800000</v>
          </cell>
          <cell r="O630">
            <v>1109000</v>
          </cell>
          <cell r="P630">
            <v>1683000</v>
          </cell>
          <cell r="Q630">
            <v>95.2</v>
          </cell>
          <cell r="R630">
            <v>80.37</v>
          </cell>
          <cell r="S630">
            <v>3938000</v>
          </cell>
          <cell r="T630">
            <v>6119000000</v>
          </cell>
        </row>
        <row r="631">
          <cell r="A631" t="str">
            <v>HD 360 x 196</v>
          </cell>
          <cell r="C631">
            <v>196</v>
          </cell>
          <cell r="D631">
            <v>372</v>
          </cell>
          <cell r="E631">
            <v>374</v>
          </cell>
          <cell r="F631">
            <v>16.399999999999999</v>
          </cell>
          <cell r="G631">
            <v>26.2</v>
          </cell>
          <cell r="H631">
            <v>25030</v>
          </cell>
          <cell r="I631">
            <v>636300000</v>
          </cell>
          <cell r="J631">
            <v>3421000</v>
          </cell>
          <cell r="K631">
            <v>3837000</v>
          </cell>
          <cell r="L631">
            <v>159.4</v>
          </cell>
          <cell r="M631">
            <v>6650</v>
          </cell>
          <cell r="N631">
            <v>228600000</v>
          </cell>
          <cell r="O631">
            <v>1222000</v>
          </cell>
          <cell r="P631">
            <v>1856000</v>
          </cell>
          <cell r="Q631">
            <v>95.6</v>
          </cell>
          <cell r="R631">
            <v>86.37</v>
          </cell>
          <cell r="S631">
            <v>5171000</v>
          </cell>
          <cell r="T631">
            <v>6829000000</v>
          </cell>
        </row>
        <row r="632">
          <cell r="A632" t="str">
            <v>HD 400 x 187</v>
          </cell>
          <cell r="C632">
            <v>187</v>
          </cell>
          <cell r="D632">
            <v>368</v>
          </cell>
          <cell r="E632">
            <v>391</v>
          </cell>
          <cell r="F632">
            <v>15</v>
          </cell>
          <cell r="G632">
            <v>24</v>
          </cell>
          <cell r="H632">
            <v>23760</v>
          </cell>
          <cell r="I632">
            <v>601800000</v>
          </cell>
          <cell r="J632">
            <v>3271000</v>
          </cell>
          <cell r="K632">
            <v>3642000</v>
          </cell>
          <cell r="L632">
            <v>159.1</v>
          </cell>
          <cell r="M632">
            <v>6073</v>
          </cell>
          <cell r="N632">
            <v>239200000</v>
          </cell>
          <cell r="O632">
            <v>1224000</v>
          </cell>
          <cell r="P632">
            <v>1855000</v>
          </cell>
          <cell r="Q632">
            <v>100.3</v>
          </cell>
          <cell r="R632">
            <v>80.569999999999993</v>
          </cell>
          <cell r="S632">
            <v>4146000</v>
          </cell>
          <cell r="T632">
            <v>7074000000</v>
          </cell>
        </row>
        <row r="633">
          <cell r="A633" t="str">
            <v>HD 400 x 216</v>
          </cell>
          <cell r="C633">
            <v>216</v>
          </cell>
          <cell r="D633">
            <v>375</v>
          </cell>
          <cell r="E633">
            <v>394</v>
          </cell>
          <cell r="F633">
            <v>17.3</v>
          </cell>
          <cell r="G633">
            <v>27.7</v>
          </cell>
          <cell r="H633">
            <v>27550</v>
          </cell>
          <cell r="I633">
            <v>711400000</v>
          </cell>
          <cell r="J633">
            <v>3794000</v>
          </cell>
          <cell r="K633">
            <v>4262000</v>
          </cell>
          <cell r="L633">
            <v>160.69999999999999</v>
          </cell>
          <cell r="M633">
            <v>7032</v>
          </cell>
          <cell r="N633">
            <v>282500000</v>
          </cell>
          <cell r="O633">
            <v>1434000</v>
          </cell>
          <cell r="P633">
            <v>2176000</v>
          </cell>
          <cell r="Q633">
            <v>101.3</v>
          </cell>
          <cell r="R633">
            <v>90.27</v>
          </cell>
          <cell r="S633">
            <v>6373000</v>
          </cell>
          <cell r="T633">
            <v>8515000000</v>
          </cell>
        </row>
        <row r="634">
          <cell r="A634" t="str">
            <v>HD 400 x 237</v>
          </cell>
          <cell r="C634">
            <v>237</v>
          </cell>
          <cell r="D634">
            <v>380</v>
          </cell>
          <cell r="E634">
            <v>395</v>
          </cell>
          <cell r="F634">
            <v>18.899999999999999</v>
          </cell>
          <cell r="G634">
            <v>30.2</v>
          </cell>
          <cell r="H634">
            <v>30090</v>
          </cell>
          <cell r="I634">
            <v>787800000</v>
          </cell>
          <cell r="J634">
            <v>4146000</v>
          </cell>
          <cell r="K634">
            <v>4686000</v>
          </cell>
          <cell r="L634">
            <v>161.80000000000001</v>
          </cell>
          <cell r="M634">
            <v>7710</v>
          </cell>
          <cell r="N634">
            <v>310400000</v>
          </cell>
          <cell r="O634">
            <v>1572000</v>
          </cell>
          <cell r="P634">
            <v>2387000</v>
          </cell>
          <cell r="Q634">
            <v>101.6</v>
          </cell>
          <cell r="R634">
            <v>96.87</v>
          </cell>
          <cell r="S634">
            <v>8255000</v>
          </cell>
          <cell r="T634">
            <v>9489000000</v>
          </cell>
        </row>
        <row r="635">
          <cell r="A635" t="str">
            <v>HD 400 x 262</v>
          </cell>
          <cell r="C635">
            <v>262</v>
          </cell>
          <cell r="D635">
            <v>387</v>
          </cell>
          <cell r="E635">
            <v>398</v>
          </cell>
          <cell r="F635">
            <v>21.1</v>
          </cell>
          <cell r="G635">
            <v>33.299999999999997</v>
          </cell>
          <cell r="H635">
            <v>33460</v>
          </cell>
          <cell r="I635">
            <v>894100000</v>
          </cell>
          <cell r="J635">
            <v>4620000</v>
          </cell>
          <cell r="K635">
            <v>5260000</v>
          </cell>
          <cell r="L635">
            <v>163.5</v>
          </cell>
          <cell r="M635">
            <v>8655</v>
          </cell>
          <cell r="N635">
            <v>350200000</v>
          </cell>
          <cell r="O635">
            <v>1760000</v>
          </cell>
          <cell r="P635">
            <v>2676000</v>
          </cell>
          <cell r="Q635">
            <v>102.3</v>
          </cell>
          <cell r="R635">
            <v>105.3</v>
          </cell>
          <cell r="S635">
            <v>11160000</v>
          </cell>
          <cell r="T635">
            <v>10940000000</v>
          </cell>
        </row>
        <row r="636">
          <cell r="A636" t="str">
            <v>HD 400 x 287</v>
          </cell>
          <cell r="C636">
            <v>287</v>
          </cell>
          <cell r="D636">
            <v>393</v>
          </cell>
          <cell r="E636">
            <v>399</v>
          </cell>
          <cell r="F636">
            <v>22.6</v>
          </cell>
          <cell r="G636">
            <v>36.6</v>
          </cell>
          <cell r="H636">
            <v>36630</v>
          </cell>
          <cell r="I636">
            <v>997100000</v>
          </cell>
          <cell r="J636">
            <v>5074000</v>
          </cell>
          <cell r="K636">
            <v>5813000</v>
          </cell>
          <cell r="L636">
            <v>165</v>
          </cell>
          <cell r="M636">
            <v>9346</v>
          </cell>
          <cell r="N636">
            <v>387800000</v>
          </cell>
          <cell r="O636">
            <v>1944000</v>
          </cell>
          <cell r="P636">
            <v>2957000</v>
          </cell>
          <cell r="Q636">
            <v>102.9</v>
          </cell>
          <cell r="R636">
            <v>113.4</v>
          </cell>
          <cell r="S636">
            <v>14640000</v>
          </cell>
          <cell r="T636">
            <v>12300000000</v>
          </cell>
        </row>
        <row r="637">
          <cell r="A637" t="str">
            <v>HD 400 x 314</v>
          </cell>
          <cell r="C637">
            <v>314</v>
          </cell>
          <cell r="D637">
            <v>399</v>
          </cell>
          <cell r="E637">
            <v>401</v>
          </cell>
          <cell r="F637">
            <v>24.9</v>
          </cell>
          <cell r="G637">
            <v>39.6</v>
          </cell>
          <cell r="H637">
            <v>39920</v>
          </cell>
          <cell r="I637">
            <v>1102000000</v>
          </cell>
          <cell r="J637">
            <v>5525000</v>
          </cell>
          <cell r="K637">
            <v>6374000</v>
          </cell>
          <cell r="L637">
            <v>166.2</v>
          </cell>
          <cell r="M637">
            <v>10330</v>
          </cell>
          <cell r="N637">
            <v>426000000</v>
          </cell>
          <cell r="O637">
            <v>2125000</v>
          </cell>
          <cell r="P637">
            <v>3236000</v>
          </cell>
          <cell r="Q637">
            <v>103.3</v>
          </cell>
          <cell r="R637">
            <v>121.7</v>
          </cell>
          <cell r="S637">
            <v>18700000</v>
          </cell>
          <cell r="T637">
            <v>13740000000</v>
          </cell>
        </row>
        <row r="638">
          <cell r="A638" t="str">
            <v>HD 400 x 347</v>
          </cell>
          <cell r="C638">
            <v>347</v>
          </cell>
          <cell r="D638">
            <v>407</v>
          </cell>
          <cell r="E638">
            <v>404</v>
          </cell>
          <cell r="F638">
            <v>27.2</v>
          </cell>
          <cell r="G638">
            <v>43.7</v>
          </cell>
          <cell r="H638">
            <v>44200</v>
          </cell>
          <cell r="I638">
            <v>1249000000</v>
          </cell>
          <cell r="J638">
            <v>6140000</v>
          </cell>
          <cell r="K638">
            <v>7139000</v>
          </cell>
          <cell r="L638">
            <v>168.1</v>
          </cell>
          <cell r="M638">
            <v>11390</v>
          </cell>
          <cell r="N638">
            <v>480900000</v>
          </cell>
          <cell r="O638">
            <v>2380000</v>
          </cell>
          <cell r="P638">
            <v>3629000</v>
          </cell>
          <cell r="Q638">
            <v>104.3</v>
          </cell>
          <cell r="R638">
            <v>132.19999999999999</v>
          </cell>
          <cell r="S638">
            <v>25100000</v>
          </cell>
          <cell r="T638">
            <v>15850000000</v>
          </cell>
        </row>
        <row r="639">
          <cell r="A639" t="str">
            <v>HD 400 x 382</v>
          </cell>
          <cell r="C639">
            <v>382</v>
          </cell>
          <cell r="D639">
            <v>416</v>
          </cell>
          <cell r="E639">
            <v>406</v>
          </cell>
          <cell r="F639">
            <v>29.8</v>
          </cell>
          <cell r="G639">
            <v>48</v>
          </cell>
          <cell r="H639">
            <v>48710</v>
          </cell>
          <cell r="I639">
            <v>1413000000</v>
          </cell>
          <cell r="J639">
            <v>6794000</v>
          </cell>
          <cell r="K639">
            <v>7965000</v>
          </cell>
          <cell r="L639">
            <v>170.3</v>
          </cell>
          <cell r="M639">
            <v>12600</v>
          </cell>
          <cell r="N639">
            <v>536200000</v>
          </cell>
          <cell r="O639">
            <v>2641000</v>
          </cell>
          <cell r="P639">
            <v>4031000</v>
          </cell>
          <cell r="Q639">
            <v>104.9</v>
          </cell>
          <cell r="R639">
            <v>143.4</v>
          </cell>
          <cell r="S639">
            <v>33260000</v>
          </cell>
          <cell r="T639">
            <v>18130000000</v>
          </cell>
        </row>
        <row r="640">
          <cell r="A640" t="str">
            <v>HD 400 x 421</v>
          </cell>
          <cell r="C640">
            <v>421</v>
          </cell>
          <cell r="D640">
            <v>425</v>
          </cell>
          <cell r="E640">
            <v>409</v>
          </cell>
          <cell r="F640">
            <v>32.799999999999997</v>
          </cell>
          <cell r="G640">
            <v>52.6</v>
          </cell>
          <cell r="H640">
            <v>53710</v>
          </cell>
          <cell r="I640">
            <v>1596000000</v>
          </cell>
          <cell r="J640">
            <v>7510000</v>
          </cell>
          <cell r="K640">
            <v>8880000</v>
          </cell>
          <cell r="L640">
            <v>172.4</v>
          </cell>
          <cell r="M640">
            <v>13990</v>
          </cell>
          <cell r="N640">
            <v>600800000</v>
          </cell>
          <cell r="O640">
            <v>2938000</v>
          </cell>
          <cell r="P640">
            <v>4489000</v>
          </cell>
          <cell r="Q640">
            <v>105.8</v>
          </cell>
          <cell r="R640">
            <v>155.6</v>
          </cell>
          <cell r="S640">
            <v>43980000</v>
          </cell>
          <cell r="T640">
            <v>20800000000</v>
          </cell>
        </row>
        <row r="641">
          <cell r="A641" t="str">
            <v>HD 400 x 463</v>
          </cell>
          <cell r="C641">
            <v>463</v>
          </cell>
          <cell r="D641">
            <v>435</v>
          </cell>
          <cell r="E641">
            <v>412</v>
          </cell>
          <cell r="F641">
            <v>35.799999999999997</v>
          </cell>
          <cell r="G641">
            <v>57.4</v>
          </cell>
          <cell r="H641">
            <v>58950</v>
          </cell>
          <cell r="I641">
            <v>1802000000</v>
          </cell>
          <cell r="J641">
            <v>8283000</v>
          </cell>
          <cell r="K641">
            <v>9878000</v>
          </cell>
          <cell r="L641">
            <v>174.8</v>
          </cell>
          <cell r="M641">
            <v>15430</v>
          </cell>
          <cell r="N641">
            <v>670400000</v>
          </cell>
          <cell r="O641">
            <v>3254000</v>
          </cell>
          <cell r="P641">
            <v>4978000</v>
          </cell>
          <cell r="Q641">
            <v>106.6</v>
          </cell>
          <cell r="R641">
            <v>168.2</v>
          </cell>
          <cell r="S641">
            <v>57350000</v>
          </cell>
          <cell r="T641">
            <v>23850000000</v>
          </cell>
        </row>
        <row r="642">
          <cell r="A642" t="str">
            <v>HD 400 x 509</v>
          </cell>
          <cell r="C642">
            <v>509</v>
          </cell>
          <cell r="D642">
            <v>446</v>
          </cell>
          <cell r="E642">
            <v>416</v>
          </cell>
          <cell r="F642">
            <v>39.1</v>
          </cell>
          <cell r="G642">
            <v>62.7</v>
          </cell>
          <cell r="H642">
            <v>64900</v>
          </cell>
          <cell r="I642">
            <v>2045000000</v>
          </cell>
          <cell r="J642">
            <v>9172000</v>
          </cell>
          <cell r="K642">
            <v>11030000</v>
          </cell>
          <cell r="L642">
            <v>177.5</v>
          </cell>
          <cell r="M642">
            <v>17060</v>
          </cell>
          <cell r="N642">
            <v>754000000</v>
          </cell>
          <cell r="O642">
            <v>3625000</v>
          </cell>
          <cell r="P642">
            <v>5552000</v>
          </cell>
          <cell r="Q642">
            <v>107.8</v>
          </cell>
          <cell r="R642">
            <v>182.1</v>
          </cell>
          <cell r="S642">
            <v>75130000</v>
          </cell>
          <cell r="T642">
            <v>27630000000</v>
          </cell>
        </row>
        <row r="643">
          <cell r="A643" t="str">
            <v>HD 400 x 551</v>
          </cell>
          <cell r="C643">
            <v>551</v>
          </cell>
          <cell r="D643">
            <v>455</v>
          </cell>
          <cell r="E643">
            <v>418</v>
          </cell>
          <cell r="F643">
            <v>42</v>
          </cell>
          <cell r="G643">
            <v>67.599999999999994</v>
          </cell>
          <cell r="H643">
            <v>70140</v>
          </cell>
          <cell r="I643">
            <v>2261000000</v>
          </cell>
          <cell r="J643">
            <v>9939000</v>
          </cell>
          <cell r="K643">
            <v>12050000</v>
          </cell>
          <cell r="L643">
            <v>179.5</v>
          </cell>
          <cell r="M643">
            <v>18490</v>
          </cell>
          <cell r="N643">
            <v>824900000</v>
          </cell>
          <cell r="O643">
            <v>3947000</v>
          </cell>
          <cell r="P643">
            <v>6051000</v>
          </cell>
          <cell r="Q643">
            <v>108.5</v>
          </cell>
          <cell r="R643">
            <v>194.8</v>
          </cell>
          <cell r="S643">
            <v>94100000</v>
          </cell>
          <cell r="T643">
            <v>30870000000</v>
          </cell>
        </row>
        <row r="644">
          <cell r="A644" t="str">
            <v>HD 400 x 592</v>
          </cell>
          <cell r="C644">
            <v>592</v>
          </cell>
          <cell r="D644">
            <v>465</v>
          </cell>
          <cell r="E644">
            <v>421</v>
          </cell>
          <cell r="F644">
            <v>45</v>
          </cell>
          <cell r="G644">
            <v>72.3</v>
          </cell>
          <cell r="H644">
            <v>75490</v>
          </cell>
          <cell r="I644">
            <v>2502000000</v>
          </cell>
          <cell r="J644">
            <v>10760000</v>
          </cell>
          <cell r="K644">
            <v>13140000</v>
          </cell>
          <cell r="L644">
            <v>182</v>
          </cell>
          <cell r="M644">
            <v>20030</v>
          </cell>
          <cell r="N644">
            <v>901700000</v>
          </cell>
          <cell r="O644">
            <v>4284000</v>
          </cell>
          <cell r="P644">
            <v>6574000</v>
          </cell>
          <cell r="Q644">
            <v>109.3</v>
          </cell>
          <cell r="R644">
            <v>207.2</v>
          </cell>
          <cell r="S644">
            <v>115600000</v>
          </cell>
          <cell r="T644">
            <v>34670000000</v>
          </cell>
        </row>
        <row r="645">
          <cell r="A645" t="str">
            <v>HD 400 x 634</v>
          </cell>
          <cell r="C645">
            <v>634</v>
          </cell>
          <cell r="D645">
            <v>474</v>
          </cell>
          <cell r="E645">
            <v>424</v>
          </cell>
          <cell r="F645">
            <v>47.6</v>
          </cell>
          <cell r="G645">
            <v>77.099999999999994</v>
          </cell>
          <cell r="H645">
            <v>80800</v>
          </cell>
          <cell r="I645">
            <v>2742000000</v>
          </cell>
          <cell r="J645">
            <v>11570000</v>
          </cell>
          <cell r="K645">
            <v>14220000</v>
          </cell>
          <cell r="L645">
            <v>184.2</v>
          </cell>
          <cell r="M645">
            <v>21400</v>
          </cell>
          <cell r="N645">
            <v>982500000</v>
          </cell>
          <cell r="O645">
            <v>4634000</v>
          </cell>
          <cell r="P645">
            <v>7117000</v>
          </cell>
          <cell r="Q645">
            <v>110.3</v>
          </cell>
          <cell r="R645">
            <v>219.4</v>
          </cell>
          <cell r="S645">
            <v>140200000</v>
          </cell>
          <cell r="T645">
            <v>38570000000</v>
          </cell>
        </row>
        <row r="646">
          <cell r="A646" t="str">
            <v>HD 400 x 677</v>
          </cell>
          <cell r="C646">
            <v>677</v>
          </cell>
          <cell r="D646">
            <v>483</v>
          </cell>
          <cell r="E646">
            <v>428</v>
          </cell>
          <cell r="F646">
            <v>51.2</v>
          </cell>
          <cell r="G646">
            <v>81.5</v>
          </cell>
          <cell r="H646">
            <v>86340</v>
          </cell>
          <cell r="I646">
            <v>2995000000</v>
          </cell>
          <cell r="J646">
            <v>12400000</v>
          </cell>
          <cell r="K646">
            <v>15350000</v>
          </cell>
          <cell r="L646">
            <v>186.2</v>
          </cell>
          <cell r="M646">
            <v>23190</v>
          </cell>
          <cell r="N646">
            <v>1069000000</v>
          </cell>
          <cell r="O646">
            <v>4994000</v>
          </cell>
          <cell r="P646">
            <v>7680000</v>
          </cell>
          <cell r="Q646">
            <v>111.3</v>
          </cell>
          <cell r="R646">
            <v>231.8</v>
          </cell>
          <cell r="S646">
            <v>167900000</v>
          </cell>
          <cell r="T646">
            <v>42920000000</v>
          </cell>
        </row>
        <row r="647">
          <cell r="A647" t="str">
            <v>HD 400 x 744</v>
          </cell>
          <cell r="C647">
            <v>744</v>
          </cell>
          <cell r="D647">
            <v>498</v>
          </cell>
          <cell r="E647">
            <v>432</v>
          </cell>
          <cell r="F647">
            <v>55.6</v>
          </cell>
          <cell r="G647">
            <v>88.9</v>
          </cell>
          <cell r="H647">
            <v>94810</v>
          </cell>
          <cell r="I647">
            <v>3421000000</v>
          </cell>
          <cell r="J647">
            <v>13740000</v>
          </cell>
          <cell r="K647">
            <v>17170000</v>
          </cell>
          <cell r="L647">
            <v>190</v>
          </cell>
          <cell r="M647">
            <v>25610</v>
          </cell>
          <cell r="N647">
            <v>1199000000</v>
          </cell>
          <cell r="O647">
            <v>5552000</v>
          </cell>
          <cell r="P647">
            <v>8549000</v>
          </cell>
          <cell r="Q647">
            <v>112.5</v>
          </cell>
          <cell r="R647">
            <v>251</v>
          </cell>
          <cell r="S647">
            <v>218400000</v>
          </cell>
          <cell r="T647">
            <v>49980000000</v>
          </cell>
        </row>
        <row r="648">
          <cell r="A648" t="str">
            <v>HD 400 x 818</v>
          </cell>
          <cell r="C648">
            <v>818</v>
          </cell>
          <cell r="D648">
            <v>514</v>
          </cell>
          <cell r="E648">
            <v>437</v>
          </cell>
          <cell r="F648">
            <v>60.5</v>
          </cell>
          <cell r="G648">
            <v>97</v>
          </cell>
          <cell r="H648">
            <v>104300</v>
          </cell>
          <cell r="I648">
            <v>3922000000</v>
          </cell>
          <cell r="J648">
            <v>15260000</v>
          </cell>
          <cell r="K648">
            <v>19260000</v>
          </cell>
          <cell r="L648">
            <v>193.9</v>
          </cell>
          <cell r="M648">
            <v>28330</v>
          </cell>
          <cell r="N648">
            <v>1355000000</v>
          </cell>
          <cell r="O648">
            <v>6203000</v>
          </cell>
          <cell r="P648">
            <v>9561000</v>
          </cell>
          <cell r="Q648">
            <v>114</v>
          </cell>
          <cell r="R648">
            <v>272.10000000000002</v>
          </cell>
          <cell r="S648">
            <v>285100000</v>
          </cell>
          <cell r="T648">
            <v>58650000000</v>
          </cell>
        </row>
        <row r="649">
          <cell r="A649" t="str">
            <v>HD 400 x 900</v>
          </cell>
          <cell r="C649">
            <v>900</v>
          </cell>
          <cell r="D649">
            <v>531</v>
          </cell>
          <cell r="E649">
            <v>442</v>
          </cell>
          <cell r="F649">
            <v>65.900000000000006</v>
          </cell>
          <cell r="G649">
            <v>106</v>
          </cell>
          <cell r="H649">
            <v>114900</v>
          </cell>
          <cell r="I649">
            <v>4502000000</v>
          </cell>
          <cell r="J649">
            <v>16960000</v>
          </cell>
          <cell r="K649">
            <v>21620000</v>
          </cell>
          <cell r="L649">
            <v>197.9</v>
          </cell>
          <cell r="M649">
            <v>31380</v>
          </cell>
          <cell r="N649">
            <v>1533000000</v>
          </cell>
          <cell r="O649">
            <v>6938000</v>
          </cell>
          <cell r="P649">
            <v>10710000</v>
          </cell>
          <cell r="Q649">
            <v>115.5</v>
          </cell>
          <cell r="R649">
            <v>295.5</v>
          </cell>
          <cell r="S649">
            <v>373500000</v>
          </cell>
          <cell r="T649">
            <v>68890000000</v>
          </cell>
        </row>
        <row r="650">
          <cell r="A650" t="str">
            <v>HD 400 x 990</v>
          </cell>
          <cell r="C650">
            <v>990</v>
          </cell>
          <cell r="D650">
            <v>550</v>
          </cell>
          <cell r="E650">
            <v>448</v>
          </cell>
          <cell r="F650">
            <v>71.900000000000006</v>
          </cell>
          <cell r="G650">
            <v>115</v>
          </cell>
          <cell r="H650">
            <v>126200</v>
          </cell>
          <cell r="I650">
            <v>5189000000</v>
          </cell>
          <cell r="J650">
            <v>18870000</v>
          </cell>
          <cell r="K650">
            <v>24280000</v>
          </cell>
          <cell r="L650">
            <v>202.7</v>
          </cell>
          <cell r="M650">
            <v>34920</v>
          </cell>
          <cell r="N650">
            <v>1734000000</v>
          </cell>
          <cell r="O650">
            <v>7739000</v>
          </cell>
          <cell r="P650">
            <v>11960000</v>
          </cell>
          <cell r="Q650">
            <v>117.2</v>
          </cell>
          <cell r="R650">
            <v>319.5</v>
          </cell>
          <cell r="S650">
            <v>482100000</v>
          </cell>
          <cell r="T650">
            <v>81530000000</v>
          </cell>
        </row>
        <row r="651">
          <cell r="A651" t="str">
            <v>HD 400 x 1086</v>
          </cell>
          <cell r="C651">
            <v>1086</v>
          </cell>
          <cell r="D651">
            <v>569</v>
          </cell>
          <cell r="E651">
            <v>454</v>
          </cell>
          <cell r="F651">
            <v>78</v>
          </cell>
          <cell r="G651">
            <v>125</v>
          </cell>
          <cell r="H651">
            <v>138600</v>
          </cell>
          <cell r="I651">
            <v>5957000000</v>
          </cell>
          <cell r="J651">
            <v>20940000</v>
          </cell>
          <cell r="K651">
            <v>27210000</v>
          </cell>
          <cell r="L651">
            <v>207.3</v>
          </cell>
          <cell r="M651">
            <v>38580</v>
          </cell>
          <cell r="N651">
            <v>1962000000</v>
          </cell>
          <cell r="O651">
            <v>8645000</v>
          </cell>
          <cell r="P651">
            <v>13380000</v>
          </cell>
          <cell r="Q651">
            <v>119</v>
          </cell>
          <cell r="R651">
            <v>345.6</v>
          </cell>
          <cell r="S651">
            <v>622900000</v>
          </cell>
          <cell r="T651">
            <v>96080000000</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refreshError="1"/>
    </sheetDataSet>
  </externalBook>
</externalLink>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26" Type="http://schemas.openxmlformats.org/officeDocument/2006/relationships/oleObject" Target="../embeddings/oleObject12.bin"/><Relationship Id="rId21" Type="http://schemas.openxmlformats.org/officeDocument/2006/relationships/image" Target="../media/image9.wmf"/><Relationship Id="rId34" Type="http://schemas.openxmlformats.org/officeDocument/2006/relationships/image" Target="../media/image15.wmf"/><Relationship Id="rId42" Type="http://schemas.openxmlformats.org/officeDocument/2006/relationships/image" Target="../media/image19.wmf"/><Relationship Id="rId47" Type="http://schemas.openxmlformats.org/officeDocument/2006/relationships/oleObject" Target="../embeddings/oleObject25.bin"/><Relationship Id="rId50" Type="http://schemas.openxmlformats.org/officeDocument/2006/relationships/image" Target="../media/image20.wmf"/><Relationship Id="rId55" Type="http://schemas.openxmlformats.org/officeDocument/2006/relationships/oleObject" Target="../embeddings/oleObject30.bin"/><Relationship Id="rId63" Type="http://schemas.openxmlformats.org/officeDocument/2006/relationships/ctrlProp" Target="../ctrlProps/ctrlProp1.xml"/><Relationship Id="rId7" Type="http://schemas.openxmlformats.org/officeDocument/2006/relationships/image" Target="../media/image2.wmf"/><Relationship Id="rId2" Type="http://schemas.openxmlformats.org/officeDocument/2006/relationships/drawing" Target="../drawings/drawing1.xml"/><Relationship Id="rId16" Type="http://schemas.openxmlformats.org/officeDocument/2006/relationships/oleObject" Target="../embeddings/oleObject7.bin"/><Relationship Id="rId29" Type="http://schemas.openxmlformats.org/officeDocument/2006/relationships/oleObject" Target="../embeddings/oleObject14.bin"/><Relationship Id="rId11" Type="http://schemas.openxmlformats.org/officeDocument/2006/relationships/image" Target="../media/image4.wmf"/><Relationship Id="rId24" Type="http://schemas.openxmlformats.org/officeDocument/2006/relationships/oleObject" Target="../embeddings/oleObject11.bin"/><Relationship Id="rId32" Type="http://schemas.openxmlformats.org/officeDocument/2006/relationships/image" Target="../media/image14.wmf"/><Relationship Id="rId37" Type="http://schemas.openxmlformats.org/officeDocument/2006/relationships/oleObject" Target="../embeddings/oleObject18.bin"/><Relationship Id="rId40" Type="http://schemas.openxmlformats.org/officeDocument/2006/relationships/image" Target="../media/image18.wmf"/><Relationship Id="rId45" Type="http://schemas.openxmlformats.org/officeDocument/2006/relationships/oleObject" Target="../embeddings/oleObject23.bin"/><Relationship Id="rId53" Type="http://schemas.openxmlformats.org/officeDocument/2006/relationships/oleObject" Target="../embeddings/oleObject29.bin"/><Relationship Id="rId58" Type="http://schemas.openxmlformats.org/officeDocument/2006/relationships/image" Target="../media/image24.wmf"/><Relationship Id="rId66" Type="http://schemas.openxmlformats.org/officeDocument/2006/relationships/comments" Target="../comments1.xml"/><Relationship Id="rId5" Type="http://schemas.openxmlformats.org/officeDocument/2006/relationships/image" Target="../media/image1.wmf"/><Relationship Id="rId61" Type="http://schemas.openxmlformats.org/officeDocument/2006/relationships/oleObject" Target="../embeddings/oleObject33.bin"/><Relationship Id="rId19" Type="http://schemas.openxmlformats.org/officeDocument/2006/relationships/image" Target="../media/image8.w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oleObject" Target="../embeddings/oleObject13.bin"/><Relationship Id="rId30" Type="http://schemas.openxmlformats.org/officeDocument/2006/relationships/image" Target="../media/image13.wmf"/><Relationship Id="rId35" Type="http://schemas.openxmlformats.org/officeDocument/2006/relationships/oleObject" Target="../embeddings/oleObject17.bin"/><Relationship Id="rId43" Type="http://schemas.openxmlformats.org/officeDocument/2006/relationships/oleObject" Target="../embeddings/oleObject21.bin"/><Relationship Id="rId48" Type="http://schemas.openxmlformats.org/officeDocument/2006/relationships/oleObject" Target="../embeddings/oleObject26.bin"/><Relationship Id="rId56" Type="http://schemas.openxmlformats.org/officeDocument/2006/relationships/image" Target="../media/image23.wmf"/><Relationship Id="rId64" Type="http://schemas.openxmlformats.org/officeDocument/2006/relationships/ctrlProp" Target="../ctrlProps/ctrlProp2.xml"/><Relationship Id="rId8" Type="http://schemas.openxmlformats.org/officeDocument/2006/relationships/oleObject" Target="../embeddings/oleObject3.bin"/><Relationship Id="rId51" Type="http://schemas.openxmlformats.org/officeDocument/2006/relationships/oleObject" Target="../embeddings/oleObject28.bin"/><Relationship Id="rId3" Type="http://schemas.openxmlformats.org/officeDocument/2006/relationships/vmlDrawing" Target="../drawings/vmlDrawing1.vml"/><Relationship Id="rId12" Type="http://schemas.openxmlformats.org/officeDocument/2006/relationships/oleObject" Target="../embeddings/oleObject5.bin"/><Relationship Id="rId17" Type="http://schemas.openxmlformats.org/officeDocument/2006/relationships/image" Target="../media/image7.wmf"/><Relationship Id="rId25" Type="http://schemas.openxmlformats.org/officeDocument/2006/relationships/image" Target="../media/image11.wmf"/><Relationship Id="rId33" Type="http://schemas.openxmlformats.org/officeDocument/2006/relationships/oleObject" Target="../embeddings/oleObject16.bin"/><Relationship Id="rId38" Type="http://schemas.openxmlformats.org/officeDocument/2006/relationships/image" Target="../media/image17.wmf"/><Relationship Id="rId46" Type="http://schemas.openxmlformats.org/officeDocument/2006/relationships/oleObject" Target="../embeddings/oleObject24.bin"/><Relationship Id="rId59" Type="http://schemas.openxmlformats.org/officeDocument/2006/relationships/oleObject" Target="../embeddings/oleObject32.bin"/><Relationship Id="rId20" Type="http://schemas.openxmlformats.org/officeDocument/2006/relationships/oleObject" Target="../embeddings/oleObject9.bin"/><Relationship Id="rId41" Type="http://schemas.openxmlformats.org/officeDocument/2006/relationships/oleObject" Target="../embeddings/oleObject20.bin"/><Relationship Id="rId54" Type="http://schemas.openxmlformats.org/officeDocument/2006/relationships/image" Target="../media/image22.wmf"/><Relationship Id="rId62" Type="http://schemas.openxmlformats.org/officeDocument/2006/relationships/image" Target="../media/image26.wmf"/><Relationship Id="rId1" Type="http://schemas.openxmlformats.org/officeDocument/2006/relationships/printerSettings" Target="../printerSettings/printerSettings1.bin"/><Relationship Id="rId6" Type="http://schemas.openxmlformats.org/officeDocument/2006/relationships/oleObject" Target="../embeddings/oleObject2.bin"/><Relationship Id="rId15" Type="http://schemas.openxmlformats.org/officeDocument/2006/relationships/image" Target="../media/image6.wmf"/><Relationship Id="rId23" Type="http://schemas.openxmlformats.org/officeDocument/2006/relationships/image" Target="../media/image10.wmf"/><Relationship Id="rId28" Type="http://schemas.openxmlformats.org/officeDocument/2006/relationships/image" Target="../media/image12.wmf"/><Relationship Id="rId36" Type="http://schemas.openxmlformats.org/officeDocument/2006/relationships/image" Target="../media/image16.wmf"/><Relationship Id="rId49" Type="http://schemas.openxmlformats.org/officeDocument/2006/relationships/oleObject" Target="../embeddings/oleObject27.bin"/><Relationship Id="rId57" Type="http://schemas.openxmlformats.org/officeDocument/2006/relationships/oleObject" Target="../embeddings/oleObject31.bin"/><Relationship Id="rId10" Type="http://schemas.openxmlformats.org/officeDocument/2006/relationships/oleObject" Target="../embeddings/oleObject4.bin"/><Relationship Id="rId31" Type="http://schemas.openxmlformats.org/officeDocument/2006/relationships/oleObject" Target="../embeddings/oleObject15.bin"/><Relationship Id="rId44" Type="http://schemas.openxmlformats.org/officeDocument/2006/relationships/oleObject" Target="../embeddings/oleObject22.bin"/><Relationship Id="rId52" Type="http://schemas.openxmlformats.org/officeDocument/2006/relationships/image" Target="../media/image21.wmf"/><Relationship Id="rId60" Type="http://schemas.openxmlformats.org/officeDocument/2006/relationships/image" Target="../media/image25.emf"/><Relationship Id="rId65" Type="http://schemas.openxmlformats.org/officeDocument/2006/relationships/ctrlProp" Target="../ctrlProps/ctrlProp3.xml"/><Relationship Id="rId4" Type="http://schemas.openxmlformats.org/officeDocument/2006/relationships/oleObject" Target="../embeddings/oleObject1.bin"/><Relationship Id="rId9" Type="http://schemas.openxmlformats.org/officeDocument/2006/relationships/image" Target="../media/image3.wmf"/><Relationship Id="rId13" Type="http://schemas.openxmlformats.org/officeDocument/2006/relationships/image" Target="../media/image5.wmf"/><Relationship Id="rId18" Type="http://schemas.openxmlformats.org/officeDocument/2006/relationships/oleObject" Target="../embeddings/oleObject8.bin"/><Relationship Id="rId39" Type="http://schemas.openxmlformats.org/officeDocument/2006/relationships/oleObject" Target="../embeddings/oleObject19.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10.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2:F23"/>
  <sheetViews>
    <sheetView workbookViewId="0">
      <selection activeCell="F9" sqref="F9"/>
    </sheetView>
  </sheetViews>
  <sheetFormatPr defaultColWidth="10.90625" defaultRowHeight="12.5"/>
  <cols>
    <col min="2" max="2" width="12.54296875" style="370" customWidth="1"/>
    <col min="3" max="5" width="11.453125" style="370"/>
    <col min="6" max="6" width="117.54296875" style="378" customWidth="1"/>
  </cols>
  <sheetData>
    <row r="2" spans="2:6" ht="26">
      <c r="B2" s="373" t="s">
        <v>628</v>
      </c>
      <c r="C2" s="374"/>
      <c r="D2" s="374"/>
      <c r="E2" s="374"/>
      <c r="F2" s="373"/>
    </row>
    <row r="5" spans="2:6" s="17" customFormat="1" ht="29">
      <c r="B5" s="375" t="s">
        <v>398</v>
      </c>
      <c r="C5" s="375" t="s">
        <v>629</v>
      </c>
      <c r="D5" s="376" t="s">
        <v>630</v>
      </c>
      <c r="E5" s="376" t="s">
        <v>631</v>
      </c>
      <c r="F5" s="377" t="s">
        <v>632</v>
      </c>
    </row>
    <row r="6" spans="2:6">
      <c r="B6" s="379"/>
      <c r="C6" s="380"/>
      <c r="D6" s="380" t="s">
        <v>634</v>
      </c>
      <c r="E6" s="380"/>
      <c r="F6" s="381" t="s">
        <v>635</v>
      </c>
    </row>
    <row r="7" spans="2:6">
      <c r="B7" s="379">
        <v>43739</v>
      </c>
      <c r="C7" s="380" t="s">
        <v>633</v>
      </c>
      <c r="D7" s="380" t="s">
        <v>636</v>
      </c>
      <c r="E7" s="380"/>
      <c r="F7" s="382" t="s">
        <v>637</v>
      </c>
    </row>
    <row r="8" spans="2:6" ht="48" customHeight="1">
      <c r="B8" s="379">
        <v>43739</v>
      </c>
      <c r="C8" s="380" t="s">
        <v>642</v>
      </c>
      <c r="D8" s="383" t="s">
        <v>638</v>
      </c>
      <c r="E8" s="380"/>
      <c r="F8" s="382" t="s">
        <v>639</v>
      </c>
    </row>
    <row r="9" spans="2:6">
      <c r="B9" s="379"/>
      <c r="C9" s="380"/>
      <c r="D9" s="380"/>
      <c r="E9" s="380"/>
      <c r="F9" s="382"/>
    </row>
    <row r="10" spans="2:6">
      <c r="B10" s="380"/>
      <c r="C10" s="380"/>
      <c r="D10" s="380"/>
      <c r="E10" s="380"/>
      <c r="F10" s="381"/>
    </row>
    <row r="11" spans="2:6">
      <c r="B11" s="380"/>
      <c r="C11" s="380"/>
      <c r="D11" s="380"/>
      <c r="E11" s="380"/>
      <c r="F11" s="381"/>
    </row>
    <row r="12" spans="2:6">
      <c r="B12" s="380"/>
      <c r="C12" s="380"/>
      <c r="D12" s="380"/>
      <c r="E12" s="380"/>
      <c r="F12" s="381"/>
    </row>
    <row r="13" spans="2:6">
      <c r="B13" s="380"/>
      <c r="C13" s="380"/>
      <c r="D13" s="380"/>
      <c r="E13" s="380"/>
      <c r="F13" s="381"/>
    </row>
    <row r="14" spans="2:6">
      <c r="B14" s="380"/>
      <c r="C14" s="380"/>
      <c r="D14" s="380"/>
      <c r="E14" s="380"/>
      <c r="F14" s="381"/>
    </row>
    <row r="15" spans="2:6">
      <c r="B15" s="380"/>
      <c r="C15" s="380"/>
      <c r="D15" s="380"/>
      <c r="E15" s="380"/>
      <c r="F15" s="381"/>
    </row>
    <row r="16" spans="2:6">
      <c r="B16" s="380"/>
      <c r="C16" s="380"/>
      <c r="D16" s="380"/>
      <c r="E16" s="380"/>
      <c r="F16" s="381"/>
    </row>
    <row r="17" spans="2:6">
      <c r="B17" s="380"/>
      <c r="C17" s="380"/>
      <c r="D17" s="380"/>
      <c r="E17" s="380"/>
      <c r="F17" s="381"/>
    </row>
    <row r="18" spans="2:6">
      <c r="B18" s="380"/>
      <c r="C18" s="380"/>
      <c r="D18" s="380"/>
      <c r="E18" s="380"/>
      <c r="F18" s="381"/>
    </row>
    <row r="19" spans="2:6">
      <c r="B19" s="380"/>
      <c r="C19" s="380"/>
      <c r="D19" s="380"/>
      <c r="E19" s="380"/>
      <c r="F19" s="381"/>
    </row>
    <row r="20" spans="2:6">
      <c r="B20" s="380"/>
      <c r="C20" s="380"/>
      <c r="D20" s="380"/>
      <c r="E20" s="380"/>
      <c r="F20" s="381"/>
    </row>
    <row r="21" spans="2:6">
      <c r="B21" s="380"/>
      <c r="C21" s="380"/>
      <c r="D21" s="380"/>
      <c r="E21" s="380"/>
      <c r="F21" s="381"/>
    </row>
    <row r="22" spans="2:6">
      <c r="B22" s="380"/>
      <c r="C22" s="380"/>
      <c r="D22" s="380"/>
      <c r="E22" s="380"/>
      <c r="F22" s="381"/>
    </row>
    <row r="23" spans="2:6">
      <c r="B23" s="380"/>
      <c r="C23" s="380"/>
      <c r="D23" s="380"/>
      <c r="E23" s="380"/>
      <c r="F23" s="381"/>
    </row>
  </sheetData>
  <pageMargins left="0.7" right="0.7" top="0.75" bottom="0.75" header="0.3" footer="0.3"/>
  <headerFooter>
    <oddFooter>&amp;R_x000D_&amp;1#&amp;"Aptos"&amp;10&amp;K000000 Data sensitivity - Public</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1">
    <pageSetUpPr fitToPage="1"/>
  </sheetPr>
  <dimension ref="B1:GA114"/>
  <sheetViews>
    <sheetView tabSelected="1" zoomScaleNormal="100" workbookViewId="0">
      <selection activeCell="C2" sqref="C2"/>
    </sheetView>
  </sheetViews>
  <sheetFormatPr defaultColWidth="10.90625" defaultRowHeight="12.5"/>
  <cols>
    <col min="1" max="1" width="1.54296875" customWidth="1"/>
    <col min="2" max="2" width="5.81640625" customWidth="1"/>
    <col min="3" max="3" width="5.54296875" customWidth="1"/>
    <col min="4" max="4" width="7.453125" customWidth="1"/>
    <col min="5" max="5" width="6.81640625" customWidth="1"/>
    <col min="6" max="6" width="9" customWidth="1"/>
    <col min="7" max="7" width="12.54296875" customWidth="1"/>
    <col min="8" max="8" width="6.54296875" customWidth="1"/>
    <col min="9" max="9" width="6.453125" customWidth="1"/>
    <col min="10" max="10" width="7" customWidth="1"/>
    <col min="11" max="11" width="5.54296875" customWidth="1"/>
    <col min="12" max="12" width="5.1796875" bestFit="1" customWidth="1"/>
    <col min="13" max="13" width="9.81640625" customWidth="1"/>
    <col min="14" max="14" width="5.81640625" customWidth="1"/>
    <col min="15" max="15" width="6.1796875" customWidth="1"/>
    <col min="16" max="16" width="13.81640625" customWidth="1"/>
    <col min="17" max="17" width="9" customWidth="1"/>
    <col min="18" max="18" width="5.453125" customWidth="1"/>
    <col min="19" max="19" width="5.81640625" customWidth="1"/>
    <col min="20" max="20" width="5" customWidth="1"/>
    <col min="21" max="21" width="6" customWidth="1"/>
    <col min="22" max="22" width="7" customWidth="1"/>
    <col min="23" max="23" width="7.453125" customWidth="1"/>
    <col min="24" max="24" width="7.54296875" customWidth="1"/>
    <col min="25" max="25" width="5.54296875" customWidth="1"/>
    <col min="26" max="26" width="4.81640625" customWidth="1"/>
    <col min="27" max="27" width="12" customWidth="1"/>
    <col min="28" max="28" width="13.54296875" customWidth="1"/>
    <col min="29" max="29" width="14.1796875" customWidth="1"/>
    <col min="30" max="30" width="13.453125" customWidth="1"/>
    <col min="31" max="31" width="14.1796875" customWidth="1"/>
    <col min="32" max="32" width="15" customWidth="1"/>
    <col min="33" max="33" width="13.54296875" customWidth="1"/>
    <col min="34" max="34" width="10" customWidth="1"/>
    <col min="35" max="35" width="12.54296875" customWidth="1"/>
    <col min="36" max="36" width="8.54296875" customWidth="1"/>
    <col min="37" max="37" width="7.453125" customWidth="1"/>
    <col min="38" max="38" width="13.1796875" customWidth="1"/>
    <col min="39" max="39" width="11.54296875" customWidth="1"/>
    <col min="40" max="40" width="13" customWidth="1"/>
    <col min="41" max="41" width="7.1796875" style="9" customWidth="1"/>
    <col min="42" max="42" width="8.453125" customWidth="1"/>
    <col min="43" max="43" width="17.453125" customWidth="1"/>
    <col min="44" max="44" width="17.54296875" customWidth="1"/>
    <col min="45" max="45" width="10.453125" customWidth="1"/>
    <col min="46" max="46" width="9.81640625" customWidth="1"/>
    <col min="47" max="49" width="8.453125" customWidth="1"/>
    <col min="50" max="50" width="14.453125" customWidth="1"/>
    <col min="51" max="51" width="6.54296875" customWidth="1"/>
    <col min="52" max="52" width="8.453125" customWidth="1"/>
    <col min="53" max="53" width="6.54296875" customWidth="1"/>
    <col min="54" max="54" width="8.453125" customWidth="1"/>
    <col min="55" max="55" width="14.1796875" customWidth="1"/>
    <col min="56" max="56" width="12.453125" customWidth="1"/>
    <col min="57" max="57" width="7.54296875" customWidth="1"/>
    <col min="58" max="58" width="8.453125" bestFit="1" customWidth="1"/>
    <col min="59" max="59" width="5.1796875" bestFit="1" customWidth="1"/>
    <col min="60" max="60" width="8.453125" bestFit="1" customWidth="1"/>
    <col min="61" max="61" width="13.453125" customWidth="1"/>
    <col min="62" max="62" width="7.81640625" customWidth="1"/>
    <col min="63" max="63" width="7.54296875" customWidth="1"/>
    <col min="64" max="64" width="5.54296875" bestFit="1" customWidth="1"/>
    <col min="65" max="65" width="13" customWidth="1"/>
    <col min="66" max="66" width="11.54296875" customWidth="1"/>
    <col min="67" max="67" width="10.81640625" customWidth="1"/>
    <col min="69" max="69" width="11.1796875" customWidth="1"/>
    <col min="70" max="70" width="13.453125" customWidth="1"/>
    <col min="71" max="71" width="5.54296875" customWidth="1"/>
    <col min="72" max="72" width="5.54296875" bestFit="1" customWidth="1"/>
    <col min="73" max="73" width="13" bestFit="1" customWidth="1"/>
    <col min="74" max="74" width="6.54296875" customWidth="1"/>
    <col min="75" max="75" width="16.1796875" customWidth="1"/>
    <col min="76" max="76" width="13" customWidth="1"/>
    <col min="77" max="77" width="5.54296875" bestFit="1" customWidth="1"/>
    <col min="78" max="78" width="5.1796875" bestFit="1" customWidth="1"/>
    <col min="83" max="83" width="13.1796875" customWidth="1"/>
    <col min="87" max="87" width="8.81640625" customWidth="1"/>
    <col min="88" max="88" width="9.453125" bestFit="1" customWidth="1"/>
    <col min="89" max="89" width="7.54296875" bestFit="1" customWidth="1"/>
    <col min="90" max="90" width="6.54296875" bestFit="1" customWidth="1"/>
    <col min="91" max="91" width="7.54296875" customWidth="1"/>
    <col min="93" max="93" width="11.54296875" bestFit="1" customWidth="1"/>
  </cols>
  <sheetData>
    <row r="1" spans="2:67" ht="20.5" thickBot="1">
      <c r="B1" s="340"/>
      <c r="C1" s="341"/>
      <c r="D1" s="349"/>
      <c r="E1" s="351"/>
      <c r="F1" s="82" t="s">
        <v>375</v>
      </c>
      <c r="G1" s="230"/>
      <c r="H1" s="220"/>
      <c r="I1" s="220"/>
      <c r="J1" s="357" t="str">
        <f>IF(MAX(X23:X30,X31:X33,X35:X38)&gt;1,"vérification &gt; 1.0 !","")</f>
        <v/>
      </c>
      <c r="K1" s="83"/>
      <c r="L1" s="83"/>
      <c r="M1" s="84"/>
      <c r="N1" s="180"/>
      <c r="O1" s="292" t="s">
        <v>503</v>
      </c>
      <c r="P1" s="292"/>
      <c r="Q1" s="292"/>
      <c r="R1" s="292"/>
      <c r="S1" s="294"/>
      <c r="T1" s="293" t="str">
        <f>AC11</f>
        <v>IPE 80</v>
      </c>
      <c r="U1" s="292"/>
      <c r="V1" s="294"/>
      <c r="W1" s="294"/>
      <c r="X1" s="294"/>
      <c r="Y1" s="294"/>
      <c r="Z1" s="295"/>
      <c r="AF1" s="61" t="s">
        <v>206</v>
      </c>
      <c r="AG1" s="229">
        <v>1</v>
      </c>
    </row>
    <row r="2" spans="2:67" ht="13">
      <c r="B2" s="413" t="s">
        <v>1937</v>
      </c>
      <c r="C2" s="343"/>
      <c r="D2" s="344"/>
      <c r="E2" s="348"/>
      <c r="F2" s="221" t="s">
        <v>614</v>
      </c>
      <c r="G2" s="87" t="s">
        <v>662</v>
      </c>
      <c r="I2" s="360"/>
      <c r="J2" s="317" t="s">
        <v>597</v>
      </c>
      <c r="L2" s="355">
        <f>MAX(X20/(Lo*1000/I10),X21/(Lo*1000/I11))</f>
        <v>0.12940435945543757</v>
      </c>
      <c r="M2" s="362" t="s">
        <v>606</v>
      </c>
      <c r="N2" s="247"/>
      <c r="O2" s="3" t="s">
        <v>12</v>
      </c>
      <c r="Q2" s="52">
        <f t="shared" ref="Q2:Q7" si="0">AC12</f>
        <v>80</v>
      </c>
      <c r="R2" s="3" t="s">
        <v>0</v>
      </c>
      <c r="U2" t="s">
        <v>408</v>
      </c>
      <c r="W2" s="9">
        <f>fy</f>
        <v>235</v>
      </c>
      <c r="X2" t="s">
        <v>318</v>
      </c>
      <c r="Y2" s="24" t="s">
        <v>316</v>
      </c>
      <c r="Z2" s="248"/>
      <c r="AA2" s="61" t="s">
        <v>205</v>
      </c>
      <c r="AB2" s="229">
        <v>1</v>
      </c>
      <c r="AC2" s="66" t="s">
        <v>295</v>
      </c>
      <c r="AD2" s="63" t="s">
        <v>317</v>
      </c>
      <c r="AG2" s="66">
        <f>VLOOKUP(AG1,AF4:AG9,2)</f>
        <v>235</v>
      </c>
      <c r="AH2" s="66">
        <f>IF(tf&lt;=40,VLOOKUP(AG1,AF4:AH9,2),VLOOKUP(AG1,AF4:AH9,3))</f>
        <v>235</v>
      </c>
      <c r="AI2" s="63" t="s">
        <v>318</v>
      </c>
      <c r="AL2" t="s">
        <v>615</v>
      </c>
      <c r="AU2" s="34"/>
      <c r="BJ2" s="400" t="s">
        <v>583</v>
      </c>
      <c r="BK2" s="400"/>
      <c r="BL2" s="400"/>
      <c r="BM2" s="400" t="s">
        <v>559</v>
      </c>
      <c r="BN2" s="400"/>
      <c r="BO2" s="400"/>
    </row>
    <row r="3" spans="2:67" ht="13">
      <c r="B3" s="413" t="s">
        <v>1938</v>
      </c>
      <c r="C3" s="343"/>
      <c r="D3" s="344"/>
      <c r="E3" s="347"/>
      <c r="G3" t="s">
        <v>624</v>
      </c>
      <c r="I3" s="1"/>
      <c r="J3" s="317" t="s">
        <v>604</v>
      </c>
      <c r="L3" s="356">
        <f>Z22</f>
        <v>3.6195353522389916E-2</v>
      </c>
      <c r="M3" s="363" t="s">
        <v>530</v>
      </c>
      <c r="O3" s="3" t="s">
        <v>13</v>
      </c>
      <c r="Q3" s="52">
        <f t="shared" si="0"/>
        <v>46</v>
      </c>
      <c r="R3" s="3" t="s">
        <v>0</v>
      </c>
      <c r="U3" t="s">
        <v>271</v>
      </c>
      <c r="W3" s="9">
        <f>MAX(AC37:AC38)</f>
        <v>1</v>
      </c>
      <c r="X3" s="252"/>
      <c r="Y3" s="24" t="s">
        <v>108</v>
      </c>
      <c r="Z3" s="1"/>
      <c r="AA3" s="63">
        <v>1</v>
      </c>
      <c r="AB3" s="66" t="s">
        <v>192</v>
      </c>
      <c r="AC3" s="66">
        <f>'Calcul classe'!D7</f>
        <v>1</v>
      </c>
      <c r="AD3" s="66">
        <f>'Calcul classe'!D8</f>
        <v>1</v>
      </c>
      <c r="AE3" s="167"/>
      <c r="AG3" s="66" t="s">
        <v>269</v>
      </c>
      <c r="AH3" s="66" t="s">
        <v>270</v>
      </c>
      <c r="AJ3" s="21"/>
      <c r="AL3" s="36">
        <f>-1000*Lo/I10</f>
        <v>-25.833333333333332</v>
      </c>
      <c r="AM3" s="36">
        <f>1000*Lo/I10</f>
        <v>25.833333333333332</v>
      </c>
      <c r="AR3" s="400" t="s">
        <v>558</v>
      </c>
      <c r="AS3" t="s">
        <v>570</v>
      </c>
      <c r="AT3" s="16">
        <f>H22</f>
        <v>0</v>
      </c>
      <c r="AV3" s="16" t="s">
        <v>568</v>
      </c>
      <c r="AW3" s="16">
        <f>H24</f>
        <v>0</v>
      </c>
      <c r="BJ3" s="406" t="s">
        <v>582</v>
      </c>
      <c r="BK3" s="406" t="s">
        <v>584</v>
      </c>
      <c r="BL3" s="406" t="s">
        <v>554</v>
      </c>
      <c r="BM3" s="406" t="s">
        <v>582</v>
      </c>
      <c r="BN3" s="406" t="s">
        <v>584</v>
      </c>
      <c r="BO3" s="406" t="s">
        <v>554</v>
      </c>
    </row>
    <row r="4" spans="2:67" ht="13">
      <c r="B4" s="342"/>
      <c r="C4" s="343"/>
      <c r="E4" s="348"/>
      <c r="F4" s="308"/>
      <c r="G4" s="87" t="s">
        <v>625</v>
      </c>
      <c r="I4" s="1"/>
      <c r="J4" s="317" t="s">
        <v>605</v>
      </c>
      <c r="L4" s="356">
        <f>MAX(X35:X38)</f>
        <v>0.17842850931031465</v>
      </c>
      <c r="M4" s="364" t="s">
        <v>531</v>
      </c>
      <c r="O4" s="3" t="s">
        <v>66</v>
      </c>
      <c r="Q4" s="52">
        <f t="shared" si="0"/>
        <v>3.8</v>
      </c>
      <c r="R4" s="3" t="s">
        <v>0</v>
      </c>
      <c r="U4" t="s">
        <v>487</v>
      </c>
      <c r="X4" s="101" t="str">
        <f>AC33</f>
        <v>a</v>
      </c>
      <c r="Y4" s="24" t="s">
        <v>109</v>
      </c>
      <c r="Z4" s="1"/>
      <c r="AA4" s="63">
        <v>2</v>
      </c>
      <c r="AB4" s="66" t="s">
        <v>170</v>
      </c>
      <c r="AC4" s="66">
        <f>'Calcul classe'!D7</f>
        <v>1</v>
      </c>
      <c r="AD4" s="66">
        <f>'Calcul classe'!D8</f>
        <v>1</v>
      </c>
      <c r="AE4" s="167"/>
      <c r="AF4" s="63">
        <v>1</v>
      </c>
      <c r="AG4" s="66">
        <v>235</v>
      </c>
      <c r="AH4" s="66">
        <v>215</v>
      </c>
      <c r="AJ4" s="63"/>
      <c r="AK4" s="87"/>
      <c r="AL4" s="36">
        <f>-1000*Lo/I11</f>
        <v>-25.833333333333332</v>
      </c>
      <c r="AM4" s="36">
        <f>1000*Lo/I11</f>
        <v>25.833333333333332</v>
      </c>
      <c r="AN4" s="9"/>
      <c r="AR4" s="400"/>
      <c r="AS4" s="247" t="s">
        <v>571</v>
      </c>
      <c r="AT4" s="16">
        <f>Lo-AT3</f>
        <v>7.75</v>
      </c>
      <c r="AU4" s="247"/>
      <c r="AV4" s="250" t="s">
        <v>569</v>
      </c>
      <c r="AW4" s="250">
        <f>Lo-AW3</f>
        <v>7.75</v>
      </c>
      <c r="BJ4" s="406"/>
      <c r="BK4" s="406"/>
      <c r="BL4" s="406"/>
      <c r="BM4" s="406"/>
      <c r="BN4" s="406"/>
      <c r="BO4" s="406"/>
    </row>
    <row r="5" spans="2:67" ht="13.5" customHeight="1" thickBot="1">
      <c r="B5" s="352" t="s">
        <v>602</v>
      </c>
      <c r="C5" s="346"/>
      <c r="D5" s="350"/>
      <c r="E5" s="353" t="s">
        <v>603</v>
      </c>
      <c r="F5" s="309"/>
      <c r="G5" s="309"/>
      <c r="H5" s="354"/>
      <c r="I5" s="361"/>
      <c r="J5" s="354" t="s">
        <v>626</v>
      </c>
      <c r="K5" s="354"/>
      <c r="L5" s="371">
        <f>IF(J14="3. Appuyé / Appuyé",9.87,IF(J14="2. Appuyé / Encastré",15.4,IF(J14="1. Encastré / Encastré",22.4,IF(J14="4. Encastré / ",3.51,0))))*SQRT(E*Q7/(AN26*100*1000000*Lo*10000))/(2*PI())</f>
        <v>2.1728169014661938</v>
      </c>
      <c r="M5" s="372" t="s">
        <v>627</v>
      </c>
      <c r="O5" s="3" t="s">
        <v>490</v>
      </c>
      <c r="Q5" s="52">
        <f t="shared" si="0"/>
        <v>5.2</v>
      </c>
      <c r="R5" s="3" t="s">
        <v>0</v>
      </c>
      <c r="U5" t="s">
        <v>488</v>
      </c>
      <c r="X5" s="101" t="str">
        <f>AC34</f>
        <v>b</v>
      </c>
      <c r="Y5" s="24" t="s">
        <v>109</v>
      </c>
      <c r="Z5" s="1"/>
      <c r="AA5" s="63">
        <v>3</v>
      </c>
      <c r="AB5" s="66" t="s">
        <v>193</v>
      </c>
      <c r="AC5" s="66">
        <f>'Calcul classe'!D7</f>
        <v>1</v>
      </c>
      <c r="AD5" s="66">
        <f>'Calcul classe'!D8</f>
        <v>1</v>
      </c>
      <c r="AE5" s="167"/>
      <c r="AF5" s="63">
        <v>2</v>
      </c>
      <c r="AG5" s="66">
        <v>275</v>
      </c>
      <c r="AH5" s="66">
        <v>255</v>
      </c>
      <c r="AJ5" s="63"/>
      <c r="AK5" s="87"/>
      <c r="AL5" s="87"/>
      <c r="AM5" s="9"/>
      <c r="AN5" s="9"/>
      <c r="AP5" s="16"/>
      <c r="AQ5" s="16"/>
      <c r="AR5" s="407" t="s">
        <v>567</v>
      </c>
      <c r="AS5" s="252" t="s">
        <v>565</v>
      </c>
      <c r="AT5" s="16">
        <f>H23</f>
        <v>2.4</v>
      </c>
      <c r="AV5" s="16" t="s">
        <v>563</v>
      </c>
      <c r="AW5" s="16">
        <f>H25</f>
        <v>0</v>
      </c>
      <c r="BJ5" s="406"/>
      <c r="BK5" s="406"/>
      <c r="BL5" s="406"/>
      <c r="BM5" s="406"/>
      <c r="BN5" s="406"/>
      <c r="BO5" s="406"/>
    </row>
    <row r="6" spans="2:67" s="247" customFormat="1" ht="13">
      <c r="B6" s="345"/>
      <c r="D6" t="s">
        <v>247</v>
      </c>
      <c r="E6"/>
      <c r="F6"/>
      <c r="G6"/>
      <c r="H6"/>
      <c r="I6"/>
      <c r="J6" s="62" t="s">
        <v>533</v>
      </c>
      <c r="K6" s="306" t="str">
        <f>IF(classe=4,"classe = 4, non vérifiable","")</f>
        <v/>
      </c>
      <c r="L6" s="277"/>
      <c r="M6" s="277"/>
      <c r="N6" s="277"/>
      <c r="O6" s="3" t="s">
        <v>16</v>
      </c>
      <c r="P6" s="157"/>
      <c r="Q6" s="36">
        <f t="shared" si="0"/>
        <v>764</v>
      </c>
      <c r="R6" s="3" t="s">
        <v>319</v>
      </c>
      <c r="T6" s="157"/>
      <c r="U6" t="s">
        <v>253</v>
      </c>
      <c r="V6"/>
      <c r="W6" s="28">
        <f>A*fy/W13/1000</f>
        <v>179.54</v>
      </c>
      <c r="X6" t="s">
        <v>77</v>
      </c>
      <c r="Y6" s="24" t="s">
        <v>82</v>
      </c>
      <c r="Z6" s="248"/>
      <c r="AA6" s="63">
        <v>4</v>
      </c>
      <c r="AB6" s="66" t="s">
        <v>194</v>
      </c>
      <c r="AC6" s="66">
        <f>'Calcul classe'!D7</f>
        <v>1</v>
      </c>
      <c r="AD6" s="66">
        <f>'Calcul classe'!D8</f>
        <v>1</v>
      </c>
      <c r="AE6" s="167"/>
      <c r="AF6" s="63">
        <v>3</v>
      </c>
      <c r="AG6" s="66">
        <v>355</v>
      </c>
      <c r="AH6" s="66">
        <v>335</v>
      </c>
      <c r="AJ6" s="63"/>
      <c r="AM6" s="249"/>
      <c r="AN6" s="249"/>
      <c r="AO6" s="249"/>
      <c r="AP6" s="250"/>
      <c r="AQ6" s="250"/>
      <c r="AR6" s="407"/>
      <c r="AS6" s="331" t="s">
        <v>566</v>
      </c>
      <c r="AT6" s="16">
        <f>Lo-AT5</f>
        <v>5.35</v>
      </c>
      <c r="AV6" s="250" t="s">
        <v>564</v>
      </c>
      <c r="AW6" s="250">
        <f>Lo-AW5</f>
        <v>7.75</v>
      </c>
      <c r="BJ6" s="406"/>
      <c r="BK6" s="406"/>
      <c r="BL6" s="406"/>
      <c r="BM6" s="406"/>
      <c r="BN6" s="406"/>
      <c r="BO6" s="406"/>
    </row>
    <row r="7" spans="2:67" ht="13.5" customHeight="1">
      <c r="B7" s="95"/>
      <c r="M7">
        <f>Q6*7850*10^-6</f>
        <v>5.9973999999999998</v>
      </c>
      <c r="O7" s="3" t="s">
        <v>2</v>
      </c>
      <c r="Q7" s="278">
        <f t="shared" si="0"/>
        <v>801400</v>
      </c>
      <c r="R7" s="3" t="s">
        <v>492</v>
      </c>
      <c r="U7" t="str">
        <f>IF(classe=3,"Vz,el,Rd","Vz,pl,Rd")</f>
        <v>Vz,pl,Rd</v>
      </c>
      <c r="W7" s="28">
        <f>IF(classe=3,IF(OR(AB2=5,AB2=6),Iy*2*tw*fy/SQRT(3)/SVz/1000,Iy*tw*fy/SQRT(3)/SVz/1000),Avz*fy/SQRT(3)/W13/1000)</f>
        <v>48.572478146923217</v>
      </c>
      <c r="X7" t="s">
        <v>77</v>
      </c>
      <c r="Y7" s="24" t="str">
        <f>IF(classe=3,"§ 6.2.6 (4)","[6.18]")</f>
        <v>[6.18]</v>
      </c>
      <c r="Z7" s="1"/>
      <c r="AA7" s="63">
        <v>5</v>
      </c>
      <c r="AB7" s="66" t="s">
        <v>202</v>
      </c>
      <c r="AC7" s="131">
        <f>'Calcul classe'!D132</f>
        <v>1</v>
      </c>
      <c r="AD7" s="66" t="s">
        <v>199</v>
      </c>
      <c r="AE7" s="167"/>
      <c r="AF7" s="63">
        <v>4</v>
      </c>
      <c r="AG7" s="66">
        <v>420</v>
      </c>
      <c r="AH7" s="66">
        <v>390</v>
      </c>
      <c r="AJ7" s="63"/>
      <c r="AK7" s="87"/>
      <c r="AL7" s="87"/>
      <c r="AM7" s="9"/>
      <c r="AN7" s="9"/>
      <c r="AP7" s="16"/>
      <c r="AS7" s="16"/>
      <c r="AT7" s="103"/>
      <c r="BJ7" s="406"/>
      <c r="BK7" s="406"/>
      <c r="BL7" s="406"/>
      <c r="BM7" s="406"/>
      <c r="BN7" s="406"/>
      <c r="BO7" s="406"/>
    </row>
    <row r="8" spans="2:67" ht="13">
      <c r="B8" s="95"/>
      <c r="D8" t="s">
        <v>248</v>
      </c>
      <c r="G8" s="17" t="s">
        <v>79</v>
      </c>
      <c r="H8" s="17"/>
      <c r="I8" s="17"/>
      <c r="K8" t="s">
        <v>318</v>
      </c>
      <c r="O8" s="3" t="s">
        <v>63</v>
      </c>
      <c r="Q8" s="278">
        <f t="shared" ref="Q8:Q15" si="1">AC18</f>
        <v>20030</v>
      </c>
      <c r="R8" s="3" t="s">
        <v>351</v>
      </c>
      <c r="U8" t="str">
        <f>IF(classe=3,"Vy,el,Rd","Vy,pl,Rd")</f>
        <v>Vy,pl,Rd</v>
      </c>
      <c r="W8" s="28">
        <f>IF(classe=3,IF(OR(AB2=5,AB2=6),Iz*2*tf*fy/SQRT(3)/SVy/1000,Iz*tf*fy/SQRT(3)/SVy/1000),Avy*fy/SQRT(3)/W13/1000)</f>
        <v>67.773531519416437</v>
      </c>
      <c r="X8" t="s">
        <v>77</v>
      </c>
      <c r="Y8" s="24" t="str">
        <f>IF(classe=3,"§ 6.2.6 (4)","[6.18]")</f>
        <v>[6.18]</v>
      </c>
      <c r="Z8" s="1"/>
      <c r="AA8" s="63">
        <v>6</v>
      </c>
      <c r="AB8" s="66" t="s">
        <v>203</v>
      </c>
      <c r="AC8" s="66">
        <f>'Calcul classe'!D69</f>
        <v>1</v>
      </c>
      <c r="AD8" s="66">
        <f>'Calcul classe'!D70</f>
        <v>1</v>
      </c>
      <c r="AE8" s="167"/>
      <c r="AF8" s="63">
        <v>5</v>
      </c>
      <c r="AG8" s="66">
        <v>460</v>
      </c>
      <c r="AH8" s="66">
        <v>430</v>
      </c>
      <c r="AJ8" s="63"/>
      <c r="AK8" s="87"/>
      <c r="AL8" s="87"/>
      <c r="AM8" s="9"/>
      <c r="AN8" s="9"/>
      <c r="AP8" s="16"/>
      <c r="AS8" s="16"/>
      <c r="AT8" s="103"/>
      <c r="BJ8" s="406"/>
      <c r="BK8" s="406"/>
      <c r="BL8" s="406"/>
      <c r="BM8" s="406"/>
      <c r="BN8" s="406"/>
      <c r="BO8" s="406"/>
    </row>
    <row r="9" spans="2:67" ht="13">
      <c r="B9" s="95"/>
      <c r="O9" s="3" t="s">
        <v>81</v>
      </c>
      <c r="Q9" s="278">
        <f t="shared" si="1"/>
        <v>23220</v>
      </c>
      <c r="R9" s="3" t="s">
        <v>351</v>
      </c>
      <c r="U9" t="s">
        <v>254</v>
      </c>
      <c r="W9" s="28">
        <f>Wyel*fy/W13/1000000</f>
        <v>4.7070499999999997</v>
      </c>
      <c r="X9" t="s">
        <v>78</v>
      </c>
      <c r="Y9" s="24" t="s">
        <v>83</v>
      </c>
      <c r="Z9" s="1"/>
      <c r="AA9" s="63">
        <v>7</v>
      </c>
      <c r="AB9" s="91" t="s">
        <v>195</v>
      </c>
      <c r="AC9" s="66"/>
      <c r="AD9" s="66"/>
      <c r="AF9" s="63">
        <v>6</v>
      </c>
      <c r="AG9" s="91">
        <v>218</v>
      </c>
      <c r="AH9" s="91">
        <f>AG9-30</f>
        <v>188</v>
      </c>
      <c r="AJ9" s="63"/>
      <c r="AK9" s="87"/>
      <c r="AL9" s="87"/>
      <c r="AM9" s="9"/>
      <c r="AN9" s="9"/>
      <c r="AP9" s="16"/>
      <c r="AS9" s="16"/>
      <c r="AT9" s="103"/>
      <c r="BJ9" s="406"/>
      <c r="BK9" s="406"/>
      <c r="BL9" s="406"/>
      <c r="BM9" s="406"/>
      <c r="BN9" s="406"/>
      <c r="BO9" s="406"/>
    </row>
    <row r="10" spans="2:67" ht="13">
      <c r="B10" s="95"/>
      <c r="D10" t="s">
        <v>600</v>
      </c>
      <c r="G10" t="s">
        <v>612</v>
      </c>
      <c r="H10" s="47" t="s">
        <v>601</v>
      </c>
      <c r="I10" s="384">
        <v>300</v>
      </c>
      <c r="J10">
        <f>Lo/I10*10^3</f>
        <v>25.833333333333332</v>
      </c>
      <c r="M10" s="307" t="str">
        <f>IF(fy="custom","type value in R7","")</f>
        <v/>
      </c>
      <c r="N10" s="307"/>
      <c r="O10" s="3" t="s">
        <v>6</v>
      </c>
      <c r="Q10" s="52">
        <f t="shared" si="1"/>
        <v>32.4</v>
      </c>
      <c r="R10" s="3" t="s">
        <v>0</v>
      </c>
      <c r="U10" t="s">
        <v>255</v>
      </c>
      <c r="W10" s="28">
        <f>Wypl*fy/W13/1000000</f>
        <v>5.4566999999999997</v>
      </c>
      <c r="X10" t="s">
        <v>78</v>
      </c>
      <c r="Y10" s="24" t="s">
        <v>84</v>
      </c>
      <c r="Z10" s="1"/>
      <c r="AA10" s="61" t="s">
        <v>200</v>
      </c>
      <c r="AB10" s="229">
        <v>1</v>
      </c>
      <c r="AJ10" s="63"/>
      <c r="AK10" s="87"/>
      <c r="AL10" s="87"/>
      <c r="AM10" s="9"/>
      <c r="AN10" s="9"/>
      <c r="AP10" s="16"/>
      <c r="AS10" s="400" t="s">
        <v>209</v>
      </c>
      <c r="AT10" s="400"/>
      <c r="AU10" s="401"/>
      <c r="AV10" s="400" t="s">
        <v>208</v>
      </c>
      <c r="AW10" s="400"/>
      <c r="AX10" s="401"/>
      <c r="AY10" s="400" t="s">
        <v>234</v>
      </c>
      <c r="AZ10" s="400"/>
      <c r="BA10" s="400"/>
      <c r="BB10" s="408" t="s">
        <v>235</v>
      </c>
      <c r="BC10" s="400"/>
      <c r="BD10" s="401"/>
      <c r="BE10" s="121"/>
      <c r="BH10" s="332" t="s">
        <v>572</v>
      </c>
    </row>
    <row r="11" spans="2:67" ht="13">
      <c r="B11" s="95"/>
      <c r="G11" t="s">
        <v>613</v>
      </c>
      <c r="H11" s="47" t="s">
        <v>601</v>
      </c>
      <c r="I11" s="384">
        <v>300</v>
      </c>
      <c r="L11" s="20" t="s">
        <v>616</v>
      </c>
      <c r="M11">
        <f>1000*MAX(G15:G16)/MIN(Q10,Q15)</f>
        <v>738.09523809523807</v>
      </c>
      <c r="O11" s="65" t="s">
        <v>18</v>
      </c>
      <c r="Q11" s="53">
        <f t="shared" si="1"/>
        <v>358</v>
      </c>
      <c r="R11" s="3" t="s">
        <v>319</v>
      </c>
      <c r="T11" s="174"/>
      <c r="U11" t="s">
        <v>256</v>
      </c>
      <c r="W11" s="28">
        <f>Wzel*fy/W13/1000000</f>
        <v>0.86714999999999998</v>
      </c>
      <c r="X11" t="s">
        <v>78</v>
      </c>
      <c r="Y11" s="24" t="s">
        <v>83</v>
      </c>
      <c r="Z11" s="1"/>
      <c r="AB11" s="155"/>
      <c r="AC11" s="160" t="str">
        <f>IF($AB$2=1,VLOOKUP($AB$10,IPE!A:Z,AE11),IF($AB$2=2,VLOOKUP($AB$10,IPN!A:Z,AE11),IF($AB$2=3,VLOOKUP($AB$10,HE!A:Z,AE11),IF($AB$2=4,VLOOKUP($AB$10,HD!A:Z,AE11),IF($AB$2=5,VLOOKUP($AB$10,CHS!A:AE,AE11),IF($AB$2=6,VLOOKUP($AB$10,RHS!A:AE,AE11),IF($AB$2=7,VLOOKUP($AB$10,Custom!A:AC,AE11),0)))))))</f>
        <v>IPE 80</v>
      </c>
      <c r="AD11" s="161"/>
      <c r="AE11" s="85">
        <v>2</v>
      </c>
      <c r="AF11" s="239" t="s">
        <v>394</v>
      </c>
      <c r="AG11" s="239" t="s">
        <v>398</v>
      </c>
      <c r="AH11" s="239" t="s">
        <v>397</v>
      </c>
      <c r="AI11" s="240"/>
      <c r="AJ11" s="240"/>
      <c r="AK11" s="240"/>
      <c r="AL11" s="240"/>
      <c r="AN11" s="239" t="s">
        <v>553</v>
      </c>
      <c r="AO11"/>
      <c r="AQ11" s="88"/>
      <c r="AR11" s="322"/>
      <c r="AS11" s="328" t="s">
        <v>555</v>
      </c>
      <c r="AT11" s="329" t="s">
        <v>556</v>
      </c>
      <c r="AU11" s="330" t="s">
        <v>557</v>
      </c>
      <c r="AV11" s="329" t="s">
        <v>555</v>
      </c>
      <c r="AW11" s="329" t="s">
        <v>556</v>
      </c>
      <c r="AX11" s="330" t="s">
        <v>557</v>
      </c>
      <c r="AY11" s="329" t="s">
        <v>555</v>
      </c>
      <c r="AZ11" s="329" t="s">
        <v>556</v>
      </c>
      <c r="BA11" s="329" t="s">
        <v>557</v>
      </c>
      <c r="BB11" s="328" t="s">
        <v>555</v>
      </c>
      <c r="BC11" s="329" t="s">
        <v>556</v>
      </c>
      <c r="BD11" s="330" t="s">
        <v>557</v>
      </c>
      <c r="BE11" s="330" t="s">
        <v>560</v>
      </c>
      <c r="BH11" s="332" t="s">
        <v>573</v>
      </c>
      <c r="BI11">
        <f>Lo/10</f>
        <v>0.77500000000000002</v>
      </c>
      <c r="BJ11" s="38">
        <f t="shared" ref="BJ11:BJ19" si="2">IF(BI11&lt;agz,-1000^4*($G$22+AN26)*bgz^2*BI11^2*(3*agz*Lo-BI11*(Lo+2*agz))/(6*205000*$Q$7*Lo^3),-1000^4*($G$22+AN26)*agz^2*(Lo-BI11)^2*(3*Lo*BI11-agz*(Lo+2*BI11))/(6*205000*$Q$7*Lo^3))</f>
        <v>0</v>
      </c>
      <c r="BK11" s="38">
        <f t="shared" ref="BK11:BK19" si="3">1000^4*IF(BI11&lt;agz,-$G$22*(Lo-agz)^2*BI11*((2*Lo+agz)*BI11^2-3*agz*Lo^2)/(12*205000*$Q$7*Lo^3),$G$22*agz*(Lo-BI11)^2*(3*Lo*(Lo^2-agz^2)-(3*Lo^2-agz^2)*(Lo-BI11))/(12*205000*$Q$7*Lo^3))</f>
        <v>0</v>
      </c>
      <c r="BL11" s="38">
        <f t="shared" ref="BL11:BL19" si="4">1000^4*IF(BI11&lt;agz,$G$22*bgz*BI11*(Lo^2-bgz^2-BI11^2)/(6*205000*$Q$7*Lo),$G$22*agz*(Lo-BI11)*(BI11*(2*Lo-BI11)-agz^2)/(6*205000*$Q$7*Lo))</f>
        <v>0</v>
      </c>
      <c r="BM11" s="38">
        <f t="shared" ref="BM11:BM19" si="5">IF(BI11&lt;aqz,-1000^4*$G$23*bqz^2*BI11^2*(3*aqz*Lo-BI11*(Lo+2*aqz))/(6*205000*$Q$7*Lo^3),-1000^4*$G$23*aqz^2*(Lo-BI11)^2*(3*Lo*BI11-aqz*(Lo+2*BI11))/(6*205000*$Q$7*Lo^3))</f>
        <v>0</v>
      </c>
      <c r="BN11" s="38">
        <f t="shared" ref="BN11:BN19" si="6">1000^4*IF(BI11&lt;aqz,-$G$23*(Lo-aqz)^2*BI11*((2*Lo+aqz)*BI11^2-3*aqz*Lo^2)/(12*205000*$Q$7*Lo^3),$G$23*aqz*(Lo-BI11)^2*(3*Lo*(Lo^2-aqz^2)-(3*Lo^2-aqz^2)*(Lo-BI11))/(12*205000*$Q$7*Lo^3))</f>
        <v>0</v>
      </c>
      <c r="BO11" s="38">
        <f t="shared" ref="BO11:BO19" si="7">1000^4*IF(BI11&lt;aqz,$G$23*bqz*BI11*(Lo^2-bqz^2-BI11^2)/(6*205000*$Q$7*Lo),$G$23*aqz*(Lo-BI11)*(BI11*(2*Lo-BI11)-aqz^2)/(6*205000*$Q$7*Lo))</f>
        <v>0</v>
      </c>
    </row>
    <row r="12" spans="2:67" ht="14.25" customHeight="1">
      <c r="B12" s="290" t="s">
        <v>502</v>
      </c>
      <c r="C12" s="164"/>
      <c r="D12" s="164"/>
      <c r="E12" s="164"/>
      <c r="F12" s="164"/>
      <c r="G12" s="164"/>
      <c r="H12" s="164"/>
      <c r="I12" s="164"/>
      <c r="J12" s="291"/>
      <c r="O12" s="3" t="s">
        <v>7</v>
      </c>
      <c r="Q12" s="278">
        <f t="shared" si="1"/>
        <v>84900</v>
      </c>
      <c r="R12" s="3" t="s">
        <v>492</v>
      </c>
      <c r="U12" t="s">
        <v>257</v>
      </c>
      <c r="W12" s="28">
        <f>Wzpl*fy/W13/1000000</f>
        <v>1.3676999999999999</v>
      </c>
      <c r="X12" t="s">
        <v>78</v>
      </c>
      <c r="Y12" s="24" t="s">
        <v>84</v>
      </c>
      <c r="Z12" s="1"/>
      <c r="AA12" s="61"/>
      <c r="AB12" s="3" t="s">
        <v>12</v>
      </c>
      <c r="AC12" s="64">
        <f>IF($AB$2=1,VLOOKUP($AB$10,IPE!A:Z,AE12),IF($AB$2=2,VLOOKUP($AB$10,IPN!A:Z,AE12),IF($AB$2=3,VLOOKUP($AB$10,HE!A:Z,AE12),IF($AB$2=4,VLOOKUP($AB$10,HD!A:Z,AE12),IF($AB$2=5,VLOOKUP($AB$10,CHS!A:AE,AE12),IF($AB$2=6,VLOOKUP($AB$10,RHS!A:AE,AE12),IF($AB$2=7,VLOOKUP($AB$10,Custom!A:AC,AE12),0)))))))</f>
        <v>80</v>
      </c>
      <c r="AD12" s="3" t="s">
        <v>0</v>
      </c>
      <c r="AE12" s="85">
        <v>5</v>
      </c>
      <c r="AF12" s="233" t="s">
        <v>395</v>
      </c>
      <c r="AG12" s="234">
        <v>38664</v>
      </c>
      <c r="AH12" s="235" t="s">
        <v>396</v>
      </c>
      <c r="AI12" s="235"/>
      <c r="AJ12" s="235"/>
      <c r="AK12" s="235"/>
      <c r="AL12" s="235"/>
      <c r="AN12" t="s">
        <v>590</v>
      </c>
      <c r="AO12">
        <v>1</v>
      </c>
      <c r="AP12" s="412" t="s">
        <v>558</v>
      </c>
      <c r="AQ12" s="405" t="s">
        <v>561</v>
      </c>
      <c r="AR12" s="334" t="s">
        <v>586</v>
      </c>
      <c r="AS12" s="16">
        <f>(F22+AN26)*G14/2</f>
        <v>0.22653153900000003</v>
      </c>
      <c r="AT12" s="16">
        <v>0</v>
      </c>
      <c r="AU12" s="324">
        <f>(F22+AN26)*G14/2</f>
        <v>0.22653153900000003</v>
      </c>
      <c r="AV12" s="16">
        <f>F24*G14/2</f>
        <v>0</v>
      </c>
      <c r="AW12" s="16">
        <v>0</v>
      </c>
      <c r="AX12" s="324">
        <f>F24*G14/2</f>
        <v>0</v>
      </c>
      <c r="AY12" s="16">
        <f>(F22+AN26)*G14^2/12</f>
        <v>0.29260323787500003</v>
      </c>
      <c r="AZ12" s="16">
        <f>(F22+AN26)*G14^2/24</f>
        <v>0.14630161893750002</v>
      </c>
      <c r="BA12" s="16">
        <f>(F22+AN26)*G14^2/12</f>
        <v>0.29260323787500003</v>
      </c>
      <c r="BB12" s="210">
        <f>F24*G14^2/12</f>
        <v>0</v>
      </c>
      <c r="BC12" s="16">
        <f>F24*G14^2/24</f>
        <v>0</v>
      </c>
      <c r="BD12" s="324">
        <f>F24*G14^2/12</f>
        <v>0</v>
      </c>
      <c r="BE12" s="324">
        <f>(F22+AN26)*(G14*1000)^4/(384*205000*Q7)</f>
        <v>3.3429459525988037</v>
      </c>
      <c r="BH12" s="332" t="s">
        <v>574</v>
      </c>
      <c r="BI12">
        <f>2*Lo/10</f>
        <v>1.55</v>
      </c>
      <c r="BJ12" s="38">
        <f t="shared" si="2"/>
        <v>0</v>
      </c>
      <c r="BK12" s="38">
        <f t="shared" si="3"/>
        <v>0</v>
      </c>
      <c r="BL12" s="38">
        <f t="shared" si="4"/>
        <v>0</v>
      </c>
      <c r="BM12" s="38">
        <f t="shared" si="5"/>
        <v>0</v>
      </c>
      <c r="BN12" s="38">
        <f t="shared" si="6"/>
        <v>0</v>
      </c>
      <c r="BO12" s="38">
        <f t="shared" si="7"/>
        <v>0</v>
      </c>
    </row>
    <row r="13" spans="2:67" ht="13">
      <c r="B13" s="276" t="s">
        <v>491</v>
      </c>
      <c r="J13" s="338" t="s">
        <v>545</v>
      </c>
      <c r="K13" s="20"/>
      <c r="L13" s="321"/>
      <c r="M13" s="20"/>
      <c r="O13" s="3" t="s">
        <v>64</v>
      </c>
      <c r="Q13" s="278">
        <f t="shared" si="1"/>
        <v>3690</v>
      </c>
      <c r="R13" s="3" t="s">
        <v>351</v>
      </c>
      <c r="U13" s="12" t="s">
        <v>268</v>
      </c>
      <c r="V13" s="12"/>
      <c r="W13" s="13">
        <v>1</v>
      </c>
      <c r="Y13" s="26" t="s">
        <v>111</v>
      </c>
      <c r="Z13" s="1"/>
      <c r="AA13" s="61"/>
      <c r="AB13" s="3" t="s">
        <v>13</v>
      </c>
      <c r="AC13" s="64">
        <f>IF($AB$2=1,VLOOKUP($AB$10,IPE!A:Z,AE13),IF($AB$2=2,VLOOKUP($AB$10,IPN!A:Z,AE13),IF($AB$2=3,VLOOKUP($AB$10,HE!A:Z,AE13),IF($AB$2=4,VLOOKUP($AB$10,HD!A:Z,AE13),IF($AB$2=5,VLOOKUP($AB$10,CHS!A:AE,AE13),IF($AB$2=6,VLOOKUP($AB$10,RHS!A:AE,AE13),IF($AB$2=7,VLOOKUP($AB$10,Custom!A:AC,AE13),0)))))))</f>
        <v>46</v>
      </c>
      <c r="AD13" s="3" t="s">
        <v>0</v>
      </c>
      <c r="AE13" s="85">
        <v>6</v>
      </c>
      <c r="AF13" s="235"/>
      <c r="AG13" s="235"/>
      <c r="AH13" s="235" t="s">
        <v>442</v>
      </c>
      <c r="AI13" s="235"/>
      <c r="AJ13" s="235"/>
      <c r="AK13" s="235"/>
      <c r="AL13" s="235"/>
      <c r="AN13" t="s">
        <v>591</v>
      </c>
      <c r="AO13">
        <v>2</v>
      </c>
      <c r="AP13" s="410"/>
      <c r="AQ13" s="403"/>
      <c r="AR13" s="335" t="s">
        <v>587</v>
      </c>
      <c r="AS13" s="16">
        <f>3*(F22+AN26)*G14/8</f>
        <v>0.16989865425000003</v>
      </c>
      <c r="AT13" s="16">
        <v>0</v>
      </c>
      <c r="AU13" s="324">
        <f>5*(F22+AN26)*G14/8</f>
        <v>0.28316442375000006</v>
      </c>
      <c r="AV13" s="16">
        <f>3*F24*G14/8</f>
        <v>0</v>
      </c>
      <c r="AW13" s="16">
        <v>0</v>
      </c>
      <c r="AX13" s="324">
        <f>5*F24*G14/8</f>
        <v>0</v>
      </c>
      <c r="AY13" s="16">
        <v>0</v>
      </c>
      <c r="AZ13" s="16">
        <f>9*(F22+AN26)*G14^2/128</f>
        <v>0.24688398195703132</v>
      </c>
      <c r="BA13" s="16">
        <f>(F22+AN26)*G14^2/8</f>
        <v>0.43890485681250008</v>
      </c>
      <c r="BB13" s="210">
        <v>0</v>
      </c>
      <c r="BC13" s="16">
        <f>9*F24*G14^2/128</f>
        <v>0</v>
      </c>
      <c r="BD13" s="324">
        <f>F24*G14^2/8</f>
        <v>0</v>
      </c>
      <c r="BE13" s="324">
        <f>0.0054*(F22+AN26)*(G14*1000)^4/(205000*Q7)</f>
        <v>6.9319327273088804</v>
      </c>
      <c r="BH13" s="332" t="s">
        <v>575</v>
      </c>
      <c r="BI13">
        <f>3*Lo/10</f>
        <v>2.3250000000000002</v>
      </c>
      <c r="BJ13" s="38">
        <f t="shared" si="2"/>
        <v>0</v>
      </c>
      <c r="BK13" s="38">
        <f t="shared" si="3"/>
        <v>0</v>
      </c>
      <c r="BL13" s="38">
        <f t="shared" si="4"/>
        <v>0</v>
      </c>
      <c r="BM13" s="38">
        <f t="shared" si="5"/>
        <v>0</v>
      </c>
      <c r="BN13" s="38">
        <f t="shared" si="6"/>
        <v>0</v>
      </c>
      <c r="BO13" s="38">
        <f t="shared" si="7"/>
        <v>0</v>
      </c>
    </row>
    <row r="14" spans="2:67" ht="13">
      <c r="B14" s="95" t="s">
        <v>69</v>
      </c>
      <c r="F14" t="s">
        <v>68</v>
      </c>
      <c r="G14" s="11">
        <v>7.75</v>
      </c>
      <c r="H14" t="s">
        <v>76</v>
      </c>
      <c r="J14" s="402" t="s">
        <v>590</v>
      </c>
      <c r="K14" s="402"/>
      <c r="L14" s="402"/>
      <c r="M14" s="402"/>
      <c r="O14" s="3" t="s">
        <v>65</v>
      </c>
      <c r="Q14" s="278">
        <f t="shared" si="1"/>
        <v>5820</v>
      </c>
      <c r="R14" s="3" t="s">
        <v>351</v>
      </c>
      <c r="U14" s="12" t="s">
        <v>258</v>
      </c>
      <c r="V14" s="12"/>
      <c r="W14" s="13">
        <v>1</v>
      </c>
      <c r="Y14" s="26" t="s">
        <v>111</v>
      </c>
      <c r="Z14" s="1"/>
      <c r="AA14" s="61"/>
      <c r="AB14" s="3" t="s">
        <v>66</v>
      </c>
      <c r="AC14" s="64">
        <f>IF($AB$2=1,VLOOKUP($AB$10,IPE!A:Z,AE14),IF($AB$2=2,VLOOKUP($AB$10,IPN!A:Z,AE14),IF($AB$2=3,VLOOKUP($AB$10,HE!A:Z,AE14),IF($AB$2=4,VLOOKUP($AB$10,HD!A:Z,AE14),IF($AB$2=5,VLOOKUP($AB$10,CHS!A:AE,AE14),IF($AB$2=6,VLOOKUP($AB$10,RHS!A:AE,AE14),IF($AB$2=7,VLOOKUP($AB$10,Custom!A:AC,AE14),0)))))))</f>
        <v>3.8</v>
      </c>
      <c r="AD14" s="3" t="s">
        <v>0</v>
      </c>
      <c r="AE14" s="85">
        <v>7</v>
      </c>
      <c r="AF14" s="235"/>
      <c r="AG14" s="235"/>
      <c r="AH14" s="235" t="s">
        <v>400</v>
      </c>
      <c r="AI14" s="235"/>
      <c r="AJ14" s="235"/>
      <c r="AK14" s="235"/>
      <c r="AL14" s="235"/>
      <c r="AN14" t="s">
        <v>592</v>
      </c>
      <c r="AO14">
        <v>3</v>
      </c>
      <c r="AP14" s="410"/>
      <c r="AQ14" s="403"/>
      <c r="AR14" s="335" t="s">
        <v>588</v>
      </c>
      <c r="AS14" s="16">
        <f>(F22+AN26)*G14/2</f>
        <v>0.22653153900000003</v>
      </c>
      <c r="AT14" s="16">
        <v>0</v>
      </c>
      <c r="AU14" s="324">
        <f>(F22+AN26)*G14/2</f>
        <v>0.22653153900000003</v>
      </c>
      <c r="AV14" s="16">
        <f>F24*G14/2</f>
        <v>0</v>
      </c>
      <c r="AW14" s="16">
        <v>0</v>
      </c>
      <c r="AX14" s="324">
        <f>F24*G14/2</f>
        <v>0</v>
      </c>
      <c r="AY14" s="16">
        <v>0</v>
      </c>
      <c r="AZ14" s="16">
        <f>(F22+AN26)*G14^2/8</f>
        <v>0.43890485681250008</v>
      </c>
      <c r="BA14" s="16">
        <v>0</v>
      </c>
      <c r="BB14" s="210">
        <v>0</v>
      </c>
      <c r="BC14" s="16">
        <f>F24*G14^2/8</f>
        <v>0</v>
      </c>
      <c r="BD14" s="324">
        <v>0</v>
      </c>
      <c r="BE14" s="324">
        <f>5*(F22+AN26)*(G14*1000)^4/(384*205000*Q7)</f>
        <v>16.714729762994018</v>
      </c>
      <c r="BH14" s="332" t="s">
        <v>576</v>
      </c>
      <c r="BI14">
        <f>4*Lo/10</f>
        <v>3.1</v>
      </c>
      <c r="BJ14" s="38">
        <f t="shared" si="2"/>
        <v>0</v>
      </c>
      <c r="BK14" s="38">
        <f t="shared" si="3"/>
        <v>0</v>
      </c>
      <c r="BL14" s="38">
        <f t="shared" si="4"/>
        <v>0</v>
      </c>
      <c r="BM14" s="38">
        <f t="shared" si="5"/>
        <v>0</v>
      </c>
      <c r="BN14" s="38">
        <f t="shared" si="6"/>
        <v>0</v>
      </c>
      <c r="BO14" s="38">
        <f t="shared" si="7"/>
        <v>0</v>
      </c>
    </row>
    <row r="15" spans="2:67" ht="13.5" customHeight="1">
      <c r="B15" s="95" t="s">
        <v>70</v>
      </c>
      <c r="F15" t="s">
        <v>260</v>
      </c>
      <c r="G15" s="11">
        <f>Lo</f>
        <v>7.75</v>
      </c>
      <c r="H15" t="s">
        <v>76</v>
      </c>
      <c r="J15" s="338" t="s">
        <v>610</v>
      </c>
      <c r="K15" s="20"/>
      <c r="L15" s="38"/>
      <c r="O15" s="3" t="s">
        <v>9</v>
      </c>
      <c r="Q15" s="52">
        <f t="shared" si="1"/>
        <v>10.5</v>
      </c>
      <c r="R15" s="3" t="s">
        <v>0</v>
      </c>
      <c r="U15" s="12" t="s">
        <v>259</v>
      </c>
      <c r="V15" s="12"/>
      <c r="W15" s="14">
        <v>1.25</v>
      </c>
      <c r="Y15" s="26" t="s">
        <v>111</v>
      </c>
      <c r="Z15" s="1"/>
      <c r="AA15" s="61"/>
      <c r="AB15" s="3" t="s">
        <v>67</v>
      </c>
      <c r="AC15" s="64">
        <f>IF($AB$2=1,VLOOKUP($AB$10,IPE!A:Z,AE15),IF($AB$2=2,VLOOKUP($AB$10,IPN!A:Z,AE15),IF($AB$2=3,VLOOKUP($AB$10,HE!A:Z,AE15),IF($AB$2=4,VLOOKUP($AB$10,HD!A:Z,AE15),IF($AB$2=5,VLOOKUP($AB$10,CHS!A:AE,AE15),IF($AB$2=6,VLOOKUP($AB$10,RHS!A:AE,AE15),IF($AB$2=7,VLOOKUP($AB$10,Custom!A:AC,AE15),0)))))))</f>
        <v>5.2</v>
      </c>
      <c r="AD15" s="3" t="s">
        <v>0</v>
      </c>
      <c r="AE15" s="85">
        <v>8</v>
      </c>
      <c r="AF15" s="236"/>
      <c r="AG15" s="237"/>
      <c r="AH15" s="235" t="s">
        <v>401</v>
      </c>
      <c r="AI15" s="235"/>
      <c r="AJ15" s="235"/>
      <c r="AK15" s="235"/>
      <c r="AL15" s="235"/>
      <c r="AN15" t="s">
        <v>593</v>
      </c>
      <c r="AO15">
        <v>4</v>
      </c>
      <c r="AP15" s="410"/>
      <c r="AQ15" s="404"/>
      <c r="AR15" s="336" t="s">
        <v>589</v>
      </c>
      <c r="AS15" s="323">
        <f>(F22+AN26)*G14</f>
        <v>0.45306307800000006</v>
      </c>
      <c r="AT15" s="323">
        <f>(F22+AN26)*G14/2</f>
        <v>0.22653153900000003</v>
      </c>
      <c r="AU15" s="325">
        <v>0</v>
      </c>
      <c r="AV15" s="323">
        <f>F24*G14</f>
        <v>0</v>
      </c>
      <c r="AW15" s="323">
        <f>F24*G14/2</f>
        <v>0</v>
      </c>
      <c r="AX15" s="325">
        <v>0</v>
      </c>
      <c r="AY15" s="323">
        <f>(F22+AN26)*G14^2/2</f>
        <v>1.7556194272500003</v>
      </c>
      <c r="AZ15" s="323">
        <f>(F22+AN26)*G14^2/8</f>
        <v>0.43890485681250008</v>
      </c>
      <c r="BA15" s="323">
        <v>0</v>
      </c>
      <c r="BB15" s="327">
        <f>F24*G14^2/2</f>
        <v>0</v>
      </c>
      <c r="BC15" s="323">
        <f>F24*G14^2/8</f>
        <v>0</v>
      </c>
      <c r="BD15" s="325">
        <v>0</v>
      </c>
      <c r="BE15" s="325">
        <f>(F22+AN26)*(G14*1000)^4/(8*205000*Q7)</f>
        <v>160.46140572474258</v>
      </c>
      <c r="BH15" s="332" t="s">
        <v>577</v>
      </c>
      <c r="BI15">
        <f>5*Lo/10</f>
        <v>3.875</v>
      </c>
      <c r="BJ15" s="38">
        <f t="shared" si="2"/>
        <v>0</v>
      </c>
      <c r="BK15" s="38">
        <f t="shared" si="3"/>
        <v>0</v>
      </c>
      <c r="BL15" s="38">
        <f t="shared" si="4"/>
        <v>0</v>
      </c>
      <c r="BM15" s="38">
        <f t="shared" si="5"/>
        <v>0</v>
      </c>
      <c r="BN15" s="38">
        <f t="shared" si="6"/>
        <v>0</v>
      </c>
      <c r="BO15" s="38">
        <f t="shared" si="7"/>
        <v>0</v>
      </c>
    </row>
    <row r="16" spans="2:67" ht="13">
      <c r="B16" s="95" t="s">
        <v>71</v>
      </c>
      <c r="F16" t="s">
        <v>261</v>
      </c>
      <c r="G16" s="11">
        <f>Lo</f>
        <v>7.75</v>
      </c>
      <c r="H16" t="s">
        <v>76</v>
      </c>
      <c r="J16" s="402" t="s">
        <v>608</v>
      </c>
      <c r="K16" s="402"/>
      <c r="L16" s="358"/>
      <c r="M16" s="359" t="str">
        <f>IF(J16=AN24,CONCATENATE("G = ",TEXT(AN26,"0.0")," kN/m"),"")</f>
        <v>G = 0.0 kN/m</v>
      </c>
      <c r="O16" s="3" t="s">
        <v>191</v>
      </c>
      <c r="Q16" s="53">
        <f>Avy</f>
        <v>499.52000000000004</v>
      </c>
      <c r="R16" s="3" t="s">
        <v>319</v>
      </c>
      <c r="U16" s="18" t="s">
        <v>87</v>
      </c>
      <c r="V16" s="18"/>
      <c r="W16" s="9">
        <v>210000</v>
      </c>
      <c r="X16" t="s">
        <v>318</v>
      </c>
      <c r="Y16" s="24" t="s">
        <v>112</v>
      </c>
      <c r="Z16" s="1"/>
      <c r="AA16" s="61"/>
      <c r="AB16" s="3" t="s">
        <v>16</v>
      </c>
      <c r="AC16" s="6">
        <f>IF($AB$2=1,VLOOKUP($AB$10,IPE!A:Z,AE16),IF($AB$2=2,VLOOKUP($AB$10,IPN!A:Z,AE16),IF($AB$2=3,VLOOKUP($AB$10,HE!A:Z,AE16),IF($AB$2=4,VLOOKUP($AB$10,HD!A:Z,AE16),IF($AB$2=5,VLOOKUP($AB$10,CHS!A:AE,AE16),IF($AB$2=6,VLOOKUP($AB$10,RHS!A:AE,AE16),IF($AB$2=7,VLOOKUP($AB$10,Custom!A:AC,AE16),0)))))))</f>
        <v>764</v>
      </c>
      <c r="AD16" s="3" t="s">
        <v>319</v>
      </c>
      <c r="AE16" s="85">
        <v>9</v>
      </c>
      <c r="AF16" s="235"/>
      <c r="AG16" s="235"/>
      <c r="AH16" s="235" t="s">
        <v>406</v>
      </c>
      <c r="AI16" s="235"/>
      <c r="AJ16" s="235"/>
      <c r="AK16" s="235"/>
      <c r="AL16" s="235"/>
      <c r="AO16"/>
      <c r="AP16" s="410"/>
      <c r="AQ16" s="403" t="s">
        <v>562</v>
      </c>
      <c r="AR16" s="335" t="s">
        <v>586</v>
      </c>
      <c r="AS16" s="16">
        <f>G22*bgz^2*(3*agz+bgz)/Lo^3</f>
        <v>0</v>
      </c>
      <c r="AT16" s="16">
        <f>IF(agz&lt;Lo/2,AU16,AS16)</f>
        <v>0</v>
      </c>
      <c r="AU16" s="324">
        <f>G22*agz^2*(3*bgz+agz)/Lo^3</f>
        <v>0</v>
      </c>
      <c r="AV16" s="16">
        <f>G24*bgy^2*(3*agy+bgy)/Lo^3</f>
        <v>0</v>
      </c>
      <c r="AW16" s="16">
        <f>IF(agy&lt;Lo/2,AX16,AV16)</f>
        <v>0</v>
      </c>
      <c r="AX16" s="324">
        <f>G24*agy^2*(3*bgy+agy)/Lo^3</f>
        <v>0</v>
      </c>
      <c r="AY16" s="16">
        <f>G22*agz*bgz^2/Lo^2</f>
        <v>0</v>
      </c>
      <c r="AZ16" s="16">
        <f>IF(agz&gt;Lo/2,G22*bgz^2*((3*agz+bgz)*Lo/2-agz*Lo)/Lo^3,G22*agz^2*((3*bgz+agz)*Lo/2-bgz*Lo)/Lo^3)</f>
        <v>0</v>
      </c>
      <c r="BA16" s="16">
        <f>G22*agz^2*bgz/Lo^2</f>
        <v>0</v>
      </c>
      <c r="BB16" s="210">
        <f>G24*agy*bgy^2/Lo^2</f>
        <v>0</v>
      </c>
      <c r="BC16" s="16">
        <f>IF(agy&gt;Lo/2,G24*bgy^2*((3*agy+bgy)*Lo/2-agy*Lo)/Lo^3,G24*agy^2*((3*bgy+agy)*Lo/2-bgy*Lo)/Lo^3)</f>
        <v>0</v>
      </c>
      <c r="BD16" s="324">
        <f>G24*agy^2*bgy/Lo^2</f>
        <v>0</v>
      </c>
      <c r="BE16" s="324">
        <f>MAX(BJ11:BJ19)</f>
        <v>0</v>
      </c>
      <c r="BH16" s="332" t="s">
        <v>578</v>
      </c>
      <c r="BI16">
        <f>6*Lo/10</f>
        <v>4.6500000000000004</v>
      </c>
      <c r="BJ16" s="38">
        <f t="shared" si="2"/>
        <v>0</v>
      </c>
      <c r="BK16" s="38">
        <f t="shared" si="3"/>
        <v>0</v>
      </c>
      <c r="BL16" s="38">
        <f t="shared" si="4"/>
        <v>0</v>
      </c>
      <c r="BM16" s="38">
        <f t="shared" si="5"/>
        <v>0</v>
      </c>
      <c r="BN16" s="38">
        <f t="shared" si="6"/>
        <v>0</v>
      </c>
      <c r="BO16" s="38">
        <f t="shared" si="7"/>
        <v>0</v>
      </c>
    </row>
    <row r="17" spans="2:67" ht="14.5">
      <c r="B17" s="95" t="s">
        <v>72</v>
      </c>
      <c r="F17" t="s">
        <v>262</v>
      </c>
      <c r="G17" s="11">
        <f>Lo</f>
        <v>7.75</v>
      </c>
      <c r="H17" t="s">
        <v>76</v>
      </c>
      <c r="O17" s="3" t="s">
        <v>10</v>
      </c>
      <c r="Q17" s="278">
        <f>AC29</f>
        <v>7000</v>
      </c>
      <c r="R17" s="3" t="s">
        <v>492</v>
      </c>
      <c r="U17" s="18" t="s">
        <v>116</v>
      </c>
      <c r="V17" s="18"/>
      <c r="W17" s="28">
        <f>W16/(2*(1+0.3))</f>
        <v>80769.230769230766</v>
      </c>
      <c r="X17" t="s">
        <v>318</v>
      </c>
      <c r="Y17" s="24" t="s">
        <v>112</v>
      </c>
      <c r="Z17" s="1"/>
      <c r="AA17" s="61"/>
      <c r="AB17" s="3" t="s">
        <v>2</v>
      </c>
      <c r="AC17" s="6">
        <f>IF($AB$2=1,VLOOKUP($AB$10,IPE!A:Z,AE17),IF($AB$2=2,VLOOKUP($AB$10,IPN!A:Z,AE17),IF($AB$2=3,VLOOKUP($AB$10,HE!A:Z,AE17),IF($AB$2=4,VLOOKUP($AB$10,HD!A:Z,AE17),IF($AB$2=5,VLOOKUP($AB$10,CHS!A:AE,AE17),IF($AB$2=6,VLOOKUP($AB$10,RHS!A:AE,AE17),IF($AB$2=7,VLOOKUP($AB$10,Custom!A:AC,AE17),0)))))))</f>
        <v>801400</v>
      </c>
      <c r="AD17" s="3" t="s">
        <v>3</v>
      </c>
      <c r="AE17" s="85">
        <v>10</v>
      </c>
      <c r="AF17" s="233" t="s">
        <v>409</v>
      </c>
      <c r="AG17" s="238">
        <v>38672</v>
      </c>
      <c r="AH17" s="235" t="s">
        <v>452</v>
      </c>
      <c r="AI17" s="235"/>
      <c r="AJ17" s="235"/>
      <c r="AK17" s="235"/>
      <c r="AL17" s="235"/>
      <c r="AO17"/>
      <c r="AP17" s="410"/>
      <c r="AQ17" s="403"/>
      <c r="AR17" s="335" t="s">
        <v>587</v>
      </c>
      <c r="AS17" s="16">
        <f>G22*(Lo-agz)^2*(2*Lo+agz)/(2*Lo^3)</f>
        <v>0</v>
      </c>
      <c r="AT17" s="16">
        <f>IF(agz&lt;Lo/2,AU17,AS17)</f>
        <v>0</v>
      </c>
      <c r="AU17" s="324">
        <f>G22*agz*(3*Lo^2-agz^2)/(2*Lo^3)</f>
        <v>0</v>
      </c>
      <c r="AV17" s="16">
        <f>G24*(Lo-agy)^2*(2*Lo+agy)/(2*Lo^3)</f>
        <v>0</v>
      </c>
      <c r="AW17" s="16">
        <f>IF(agy&lt;Lo/2,AX17,AV17)</f>
        <v>0</v>
      </c>
      <c r="AX17" s="324">
        <f>G24*agy*(3*Lo^2-agy^2)/(2*Lo^3)</f>
        <v>0</v>
      </c>
      <c r="AY17" s="16">
        <v>0</v>
      </c>
      <c r="AZ17" s="16">
        <f>0.192*G22*Lo</f>
        <v>0</v>
      </c>
      <c r="BA17" s="16">
        <f>G22*agz*(Lo^2-agz^2)/(2*Lo^2)</f>
        <v>0</v>
      </c>
      <c r="BB17" s="210">
        <v>0</v>
      </c>
      <c r="BC17" s="16">
        <f>0.192*G24*Lo</f>
        <v>0</v>
      </c>
      <c r="BD17" s="324">
        <f>G24*agy*(Lo^2-agy^2)/(2*Lo^2)</f>
        <v>0</v>
      </c>
      <c r="BE17" s="324">
        <f>MAX(BK11:BK19)</f>
        <v>0</v>
      </c>
      <c r="BH17" s="332" t="s">
        <v>579</v>
      </c>
      <c r="BI17">
        <f>7*Lo/10</f>
        <v>5.4249999999999998</v>
      </c>
      <c r="BJ17" s="38">
        <f t="shared" si="2"/>
        <v>0</v>
      </c>
      <c r="BK17" s="38">
        <f t="shared" si="3"/>
        <v>0</v>
      </c>
      <c r="BL17" s="38">
        <f t="shared" si="4"/>
        <v>0</v>
      </c>
      <c r="BM17" s="38">
        <f t="shared" si="5"/>
        <v>0</v>
      </c>
      <c r="BN17" s="38">
        <f t="shared" si="6"/>
        <v>0</v>
      </c>
      <c r="BO17" s="38">
        <f t="shared" si="7"/>
        <v>0</v>
      </c>
    </row>
    <row r="18" spans="2:67" ht="15.5">
      <c r="B18" s="290" t="s">
        <v>501</v>
      </c>
      <c r="C18" s="155"/>
      <c r="D18" s="155"/>
      <c r="E18" s="155"/>
      <c r="F18" s="155"/>
      <c r="G18" s="155"/>
      <c r="H18" s="155"/>
      <c r="I18" s="155"/>
      <c r="J18" s="155"/>
      <c r="K18" s="155"/>
      <c r="L18" s="155"/>
      <c r="M18" s="155"/>
      <c r="N18" s="155"/>
      <c r="O18" s="155"/>
      <c r="P18" s="155"/>
      <c r="Q18" s="155"/>
      <c r="R18" s="155"/>
      <c r="S18" s="155"/>
      <c r="T18" s="296"/>
      <c r="U18" s="297" t="s">
        <v>444</v>
      </c>
      <c r="V18" s="296"/>
      <c r="W18" s="296"/>
      <c r="X18" s="296"/>
      <c r="Y18" s="296"/>
      <c r="Z18" s="298"/>
      <c r="AA18" s="61"/>
      <c r="AB18" s="3" t="s">
        <v>63</v>
      </c>
      <c r="AC18" s="6">
        <f>IF($AB$2=1,VLOOKUP($AB$10,IPE!A:Z,AE18),IF($AB$2=2,VLOOKUP($AB$10,IPN!A:Z,AE18),IF($AB$2=3,VLOOKUP($AB$10,HE!A:Z,AE18),IF($AB$2=4,VLOOKUP($AB$10,HD!A:Z,AE18),IF($AB$2=5,VLOOKUP($AB$10,CHS!A:AE,AE18),IF($AB$2=6,VLOOKUP($AB$10,RHS!A:AE,AE18),IF($AB$2=7,VLOOKUP($AB$10,Custom!A:AC,AE18),0)))))))</f>
        <v>20030</v>
      </c>
      <c r="AD18" s="3" t="s">
        <v>351</v>
      </c>
      <c r="AE18" s="86">
        <v>11</v>
      </c>
      <c r="AF18" s="235"/>
      <c r="AG18" s="235"/>
      <c r="AH18" s="235" t="s">
        <v>453</v>
      </c>
      <c r="AI18" s="235"/>
      <c r="AJ18" s="235"/>
      <c r="AK18" s="235"/>
      <c r="AL18" s="235"/>
      <c r="AN18" s="239" t="s">
        <v>585</v>
      </c>
      <c r="AO18"/>
      <c r="AP18" s="410"/>
      <c r="AQ18" s="403"/>
      <c r="AR18" s="335" t="s">
        <v>588</v>
      </c>
      <c r="AS18" s="16">
        <f>G22*bgz/Lo</f>
        <v>0</v>
      </c>
      <c r="AT18" s="16">
        <f>IF(agz&lt;Lo/2,AU18,AS18)</f>
        <v>0</v>
      </c>
      <c r="AU18" s="324">
        <f>G22*agz/Lo</f>
        <v>0</v>
      </c>
      <c r="AV18" s="16">
        <f>G24*bgy/Lo</f>
        <v>0</v>
      </c>
      <c r="AW18" s="16">
        <f>IF(agy&lt;Lo/2,AX18,AV18)</f>
        <v>0</v>
      </c>
      <c r="AX18" s="324">
        <f>G24*agy/Lo</f>
        <v>0</v>
      </c>
      <c r="AY18" s="16">
        <v>0</v>
      </c>
      <c r="AZ18" s="16">
        <f>G22*agz*bgz/Lo</f>
        <v>0</v>
      </c>
      <c r="BA18" s="16">
        <v>0</v>
      </c>
      <c r="BB18" s="210">
        <v>0</v>
      </c>
      <c r="BC18" s="16">
        <f>G24*agy*bgy/Lo</f>
        <v>0</v>
      </c>
      <c r="BD18" s="324">
        <v>0</v>
      </c>
      <c r="BE18" s="324">
        <f>MAX(BL11:BL19)</f>
        <v>0</v>
      </c>
      <c r="BH18" s="332" t="s">
        <v>580</v>
      </c>
      <c r="BI18">
        <f>8*Lo/10</f>
        <v>6.2</v>
      </c>
      <c r="BJ18" s="38">
        <f t="shared" si="2"/>
        <v>0</v>
      </c>
      <c r="BK18" s="38">
        <f t="shared" si="3"/>
        <v>0</v>
      </c>
      <c r="BL18" s="38">
        <f t="shared" si="4"/>
        <v>0</v>
      </c>
      <c r="BM18" s="38">
        <f t="shared" si="5"/>
        <v>0</v>
      </c>
      <c r="BN18" s="38">
        <f t="shared" si="6"/>
        <v>0</v>
      </c>
      <c r="BO18" s="38">
        <f t="shared" si="7"/>
        <v>0</v>
      </c>
    </row>
    <row r="19" spans="2:67" ht="15">
      <c r="B19" s="276" t="s">
        <v>536</v>
      </c>
      <c r="K19" s="338" t="s">
        <v>544</v>
      </c>
      <c r="U19" s="221" t="s">
        <v>548</v>
      </c>
      <c r="V19" s="94"/>
      <c r="Z19" s="1"/>
      <c r="AA19" s="61"/>
      <c r="AB19" s="3" t="s">
        <v>81</v>
      </c>
      <c r="AC19" s="6">
        <f>IF($AB$2=1,VLOOKUP($AB$10,IPE!A:Z,AE19),IF($AB$2=2,VLOOKUP($AB$10,IPN!A:Z,AE19),IF($AB$2=3,VLOOKUP($AB$10,HE!A:Z,AE19),IF($AB$2=4,VLOOKUP($AB$10,HD!A:Z,AE19),IF($AB$2=5,VLOOKUP($AB$10,CHS!A:AE,AE19),IF($AB$2=6,VLOOKUP($AB$10,RHS!A:AE,AE19),IF($AB$2=7,VLOOKUP($AB$10,Custom!A:AC,AE19),0)))))))</f>
        <v>23220</v>
      </c>
      <c r="AD19" s="3" t="s">
        <v>351</v>
      </c>
      <c r="AE19" s="85">
        <v>12</v>
      </c>
      <c r="AF19" s="235"/>
      <c r="AG19" s="235"/>
      <c r="AH19" s="235"/>
      <c r="AI19" s="235"/>
      <c r="AJ19" s="235"/>
      <c r="AK19" s="235"/>
      <c r="AL19" s="235"/>
      <c r="AN19" t="s">
        <v>595</v>
      </c>
      <c r="AO19">
        <v>1</v>
      </c>
      <c r="AP19" s="411"/>
      <c r="AQ19" s="404"/>
      <c r="AR19" s="335" t="s">
        <v>589</v>
      </c>
      <c r="AS19" s="323">
        <f>G22</f>
        <v>0</v>
      </c>
      <c r="AT19" s="323">
        <f>IF(agz&lt;Lo/2,G22,0)</f>
        <v>0</v>
      </c>
      <c r="AU19" s="325">
        <v>0</v>
      </c>
      <c r="AV19" s="323">
        <f>G24</f>
        <v>0</v>
      </c>
      <c r="AW19" s="323">
        <f>IF(agy&lt;Lo/2,G24,0)</f>
        <v>0</v>
      </c>
      <c r="AX19" s="325">
        <v>0</v>
      </c>
      <c r="AY19" s="323">
        <f>G22*agz</f>
        <v>0</v>
      </c>
      <c r="AZ19" s="323">
        <f>IF(agz&gt;Lo/2,G22*(agz-Lo/2),0)</f>
        <v>0</v>
      </c>
      <c r="BA19" s="323">
        <v>0</v>
      </c>
      <c r="BB19" s="327">
        <f>G24*agy</f>
        <v>0</v>
      </c>
      <c r="BC19" s="323">
        <f>IF(agy&gt;Lo/2,G24*(agy-Lo/2),0)</f>
        <v>0</v>
      </c>
      <c r="BD19" s="325">
        <v>0</v>
      </c>
      <c r="BE19" s="325">
        <f>-1000^4*G22*agz^2*(3*Lo-agz)/(6*205000*$Q$7)</f>
        <v>0</v>
      </c>
      <c r="BH19" s="332" t="s">
        <v>581</v>
      </c>
      <c r="BI19">
        <f>9*Lo/10</f>
        <v>6.9749999999999996</v>
      </c>
      <c r="BJ19" s="38">
        <f t="shared" si="2"/>
        <v>0</v>
      </c>
      <c r="BK19" s="38">
        <f t="shared" si="3"/>
        <v>0</v>
      </c>
      <c r="BL19" s="38">
        <f t="shared" si="4"/>
        <v>0</v>
      </c>
      <c r="BM19" s="38">
        <f t="shared" si="5"/>
        <v>0</v>
      </c>
      <c r="BN19" s="38">
        <f t="shared" si="6"/>
        <v>0</v>
      </c>
      <c r="BO19" s="38">
        <f t="shared" si="7"/>
        <v>0</v>
      </c>
    </row>
    <row r="20" spans="2:67" ht="12.75" customHeight="1">
      <c r="B20" s="95"/>
      <c r="F20" s="9" t="s">
        <v>542</v>
      </c>
      <c r="G20" s="400" t="s">
        <v>541</v>
      </c>
      <c r="H20" s="400"/>
      <c r="I20" s="9" t="s">
        <v>543</v>
      </c>
      <c r="J20" s="217" t="s">
        <v>643</v>
      </c>
      <c r="K20" s="3" t="s">
        <v>585</v>
      </c>
      <c r="M20" s="402" t="s">
        <v>594</v>
      </c>
      <c r="N20" s="402"/>
      <c r="U20" t="s">
        <v>547</v>
      </c>
      <c r="X20" s="366">
        <f>VLOOKUP(J14,AR39:AT42,2)</f>
        <v>3.3429459525988037</v>
      </c>
      <c r="Y20" s="174" t="str">
        <f>IF(X20&lt;=1000*Lo/I10,CONCATENATE("≤ L/",I10,", ok"),"X")</f>
        <v>≤ L/300, ok</v>
      </c>
      <c r="Z20" s="1"/>
      <c r="AA20" s="61"/>
      <c r="AB20" s="3" t="s">
        <v>6</v>
      </c>
      <c r="AC20" s="64">
        <f>IF($AB$2=1,VLOOKUP($AB$10,IPE!A:Z,AE20),IF($AB$2=2,VLOOKUP($AB$10,IPN!A:Z,AE20),IF($AB$2=3,VLOOKUP($AB$10,HE!A:Z,AE20),IF($AB$2=4,VLOOKUP($AB$10,HD!A:Z,AE20),IF($AB$2=5,VLOOKUP($AB$10,CHS!A:AE,AE20),IF($AB$2=6,VLOOKUP($AB$10,RHS!A:AE,AE20),IF($AB$2=7,VLOOKUP($AB$10,Custom!A:AC,AE20),0)))))))</f>
        <v>32.4</v>
      </c>
      <c r="AD20" s="3" t="s">
        <v>0</v>
      </c>
      <c r="AE20" s="85">
        <v>13</v>
      </c>
      <c r="AF20" s="233" t="s">
        <v>410</v>
      </c>
      <c r="AG20" s="238">
        <v>38673</v>
      </c>
      <c r="AH20" s="235" t="s">
        <v>412</v>
      </c>
      <c r="AI20" s="235"/>
      <c r="AJ20" s="235"/>
      <c r="AK20" s="235"/>
      <c r="AL20" s="235"/>
      <c r="AN20" t="s">
        <v>594</v>
      </c>
      <c r="AO20">
        <v>2</v>
      </c>
      <c r="AP20" s="410" t="s">
        <v>559</v>
      </c>
      <c r="AQ20" s="405" t="s">
        <v>561</v>
      </c>
      <c r="AR20" s="334" t="s">
        <v>586</v>
      </c>
      <c r="AS20" s="16">
        <f>F23*G14/2</f>
        <v>0</v>
      </c>
      <c r="AT20" s="16">
        <v>0</v>
      </c>
      <c r="AU20" s="324">
        <f>F23*G14/2</f>
        <v>0</v>
      </c>
      <c r="AV20" s="16">
        <f>F25*G14/2</f>
        <v>0</v>
      </c>
      <c r="AW20" s="16">
        <v>0</v>
      </c>
      <c r="AX20" s="324">
        <f>F25*G14/2</f>
        <v>0</v>
      </c>
      <c r="AY20" s="16">
        <f>F23*G14^2/12</f>
        <v>0</v>
      </c>
      <c r="AZ20" s="16">
        <f>F23*G14^2/24</f>
        <v>0</v>
      </c>
      <c r="BA20" s="16">
        <f>F23*G14^2/12</f>
        <v>0</v>
      </c>
      <c r="BB20" s="210">
        <f>F25*G14^2/12</f>
        <v>0</v>
      </c>
      <c r="BC20" s="16">
        <f>F25*G14^2/24</f>
        <v>0</v>
      </c>
      <c r="BD20" s="324">
        <f>F25*G14^2/12</f>
        <v>0</v>
      </c>
      <c r="BE20" s="324">
        <f>F23*(G14*1000)^4/(384*205000*Q7)</f>
        <v>0</v>
      </c>
      <c r="BH20" s="332"/>
    </row>
    <row r="21" spans="2:67" ht="13">
      <c r="B21" s="95"/>
      <c r="F21" s="9" t="s">
        <v>538</v>
      </c>
      <c r="G21" s="9" t="s">
        <v>77</v>
      </c>
      <c r="H21" s="9" t="s">
        <v>540</v>
      </c>
      <c r="I21" s="9"/>
      <c r="P21" s="9" t="s">
        <v>534</v>
      </c>
      <c r="Q21" s="9" t="s">
        <v>535</v>
      </c>
      <c r="U21" t="s">
        <v>546</v>
      </c>
      <c r="X21" s="366">
        <f>VLOOKUP(J14,AR39:AT42,3)</f>
        <v>0</v>
      </c>
      <c r="Y21" s="174" t="str">
        <f>IF(X21&lt;=1000*Lo/I11,CONCATENATE("≤ L/",I11,", ok"),"X")</f>
        <v>≤ L/300, ok</v>
      </c>
      <c r="Z21" s="1"/>
      <c r="AA21" s="61"/>
      <c r="AB21" s="65" t="s">
        <v>18</v>
      </c>
      <c r="AC21" s="6">
        <f>IF($AB$2=1,VLOOKUP($AB$10,IPE!A:Z,AE21),IF($AB$2=2,VLOOKUP($AB$10,IPN!A:Z,AE21),IF($AB$2=3,VLOOKUP($AB$10,HE!A:Z,AE21),IF($AB$2=4,VLOOKUP($AB$10,HD!A:Z,AE21),IF($AB$2=5,VLOOKUP($AB$10,CHS!A:AE,AE21),IF($AB$2=6,VLOOKUP($AB$10,RHS!A:AE,AE21),IF($AB$2=7,VLOOKUP($AB$10,Custom!A:AC,AE21),0)))))))</f>
        <v>358</v>
      </c>
      <c r="AD21" s="3" t="s">
        <v>319</v>
      </c>
      <c r="AE21" s="85">
        <v>14</v>
      </c>
      <c r="AF21" s="235"/>
      <c r="AG21" s="235"/>
      <c r="AH21" s="235" t="s">
        <v>411</v>
      </c>
      <c r="AI21" s="235"/>
      <c r="AJ21" s="235"/>
      <c r="AK21" s="235"/>
      <c r="AL21" s="235"/>
      <c r="AN21" t="s">
        <v>596</v>
      </c>
      <c r="AO21">
        <v>3</v>
      </c>
      <c r="AP21" s="410"/>
      <c r="AQ21" s="403"/>
      <c r="AR21" s="335" t="s">
        <v>587</v>
      </c>
      <c r="AS21" s="16">
        <f>3*F23*G14/8</f>
        <v>0</v>
      </c>
      <c r="AT21" s="16">
        <v>0</v>
      </c>
      <c r="AU21" s="324">
        <f>5*F23*G14/8</f>
        <v>0</v>
      </c>
      <c r="AV21" s="16">
        <f>3*F25*G14/8</f>
        <v>0</v>
      </c>
      <c r="AW21" s="16">
        <v>0</v>
      </c>
      <c r="AX21" s="324">
        <f>5*F25*G14/8</f>
        <v>0</v>
      </c>
      <c r="AY21" s="16">
        <v>0</v>
      </c>
      <c r="AZ21" s="16">
        <f>9*F23*G14^2/128</f>
        <v>0</v>
      </c>
      <c r="BA21" s="16">
        <f>F23*G14^2/8</f>
        <v>0</v>
      </c>
      <c r="BB21" s="210">
        <v>0</v>
      </c>
      <c r="BC21" s="16">
        <f>9*F25*G14^2/128</f>
        <v>0</v>
      </c>
      <c r="BD21" s="324">
        <f>F25*G14^2/8</f>
        <v>0</v>
      </c>
      <c r="BE21" s="324">
        <f>0.0054*F23*(G14*1000)^4/(205000*Q7)</f>
        <v>0</v>
      </c>
    </row>
    <row r="22" spans="2:67" ht="13.5">
      <c r="B22" s="95" t="s">
        <v>537</v>
      </c>
      <c r="E22" t="s">
        <v>549</v>
      </c>
      <c r="F22" s="91">
        <v>0</v>
      </c>
      <c r="G22" s="91">
        <v>0</v>
      </c>
      <c r="H22" s="91">
        <v>0</v>
      </c>
      <c r="I22" s="91">
        <v>1.35</v>
      </c>
      <c r="J22" s="91">
        <v>1</v>
      </c>
      <c r="K22" t="s">
        <v>73</v>
      </c>
      <c r="O22" t="s">
        <v>263</v>
      </c>
      <c r="P22" s="11">
        <v>0</v>
      </c>
      <c r="Q22" s="11">
        <v>0</v>
      </c>
      <c r="R22" t="s">
        <v>77</v>
      </c>
      <c r="U22" s="221" t="s">
        <v>445</v>
      </c>
      <c r="V22" s="94"/>
      <c r="W22" s="221"/>
      <c r="Z22" s="318">
        <f>MAX(X23:X33)</f>
        <v>3.6195353522389916E-2</v>
      </c>
      <c r="AA22" s="61"/>
      <c r="AB22" s="3" t="s">
        <v>7</v>
      </c>
      <c r="AC22" s="6">
        <f>IF($AB$2=1,VLOOKUP($AB$10,IPE!A:Z,AE22),IF($AB$2=2,VLOOKUP($AB$10,IPN!A:Z,AE22),IF($AB$2=3,VLOOKUP($AB$10,HE!A:Z,AE22),IF($AB$2=4,VLOOKUP($AB$10,HD!A:Z,AE22),IF($AB$2=5,VLOOKUP($AB$10,CHS!A:AE,AE22),IF($AB$2=6,VLOOKUP($AB$10,RHS!A:AE,AE22),IF($AB$2=7,VLOOKUP($AB$10,Custom!A:AC,AE22),0)))))))</f>
        <v>84900</v>
      </c>
      <c r="AD22" s="3" t="s">
        <v>3</v>
      </c>
      <c r="AE22" s="85">
        <v>15</v>
      </c>
      <c r="AF22" s="235"/>
      <c r="AG22" s="235"/>
      <c r="AH22" s="235" t="s">
        <v>413</v>
      </c>
      <c r="AI22" s="235"/>
      <c r="AJ22" s="235"/>
      <c r="AK22" s="235"/>
      <c r="AL22" s="235"/>
      <c r="AO22"/>
      <c r="AP22" s="410"/>
      <c r="AQ22" s="403"/>
      <c r="AR22" s="335" t="s">
        <v>588</v>
      </c>
      <c r="AS22" s="16">
        <f>F23*G14/2</f>
        <v>0</v>
      </c>
      <c r="AT22" s="16">
        <v>0</v>
      </c>
      <c r="AU22" s="324">
        <f>F23*G14/2</f>
        <v>0</v>
      </c>
      <c r="AV22" s="16">
        <f>F25*G14/2</f>
        <v>0</v>
      </c>
      <c r="AW22" s="16">
        <v>0</v>
      </c>
      <c r="AX22" s="324">
        <f>F25*G14/2</f>
        <v>0</v>
      </c>
      <c r="AY22" s="16">
        <v>0</v>
      </c>
      <c r="AZ22" s="16">
        <f>F23*G14^2/8</f>
        <v>0</v>
      </c>
      <c r="BA22" s="16">
        <v>0</v>
      </c>
      <c r="BB22" s="210">
        <v>0</v>
      </c>
      <c r="BC22" s="16">
        <f>F25*G14^2/8</f>
        <v>0</v>
      </c>
      <c r="BD22" s="324">
        <v>0</v>
      </c>
      <c r="BE22" s="324">
        <f>5*F23*(G14*1000)^4/(384*205000*Q7)</f>
        <v>0</v>
      </c>
    </row>
    <row r="23" spans="2:67" ht="13.5">
      <c r="B23" s="95" t="s">
        <v>539</v>
      </c>
      <c r="E23" t="s">
        <v>550</v>
      </c>
      <c r="F23" s="91">
        <v>0</v>
      </c>
      <c r="G23" s="91">
        <v>0</v>
      </c>
      <c r="H23" s="91">
        <v>2.4</v>
      </c>
      <c r="I23" s="91">
        <v>1.5</v>
      </c>
      <c r="J23" s="91">
        <v>0.3</v>
      </c>
      <c r="K23" t="s">
        <v>74</v>
      </c>
      <c r="O23" t="s">
        <v>264</v>
      </c>
      <c r="P23" s="333">
        <f>VLOOKUP(J14,AR33:BD36,VLOOKUP(M20,AN19:AO21,2)+1)</f>
        <v>0</v>
      </c>
      <c r="Q23" s="333">
        <f>VLOOKUP(J14,AR29:BD32,VLOOKUP(M20,AN19:AO21,2)+1)</f>
        <v>0</v>
      </c>
      <c r="R23" t="s">
        <v>77</v>
      </c>
      <c r="U23" t="s">
        <v>207</v>
      </c>
      <c r="X23" s="16">
        <f>AC88</f>
        <v>0</v>
      </c>
      <c r="Y23" s="174" t="str">
        <f t="shared" ref="Y23:Y32" si="8">IF(X23&lt;=1,"≤ 1.00, ok","X")</f>
        <v>≤ 1.00, ok</v>
      </c>
      <c r="Z23" s="1"/>
      <c r="AA23" s="61"/>
      <c r="AB23" s="3" t="s">
        <v>64</v>
      </c>
      <c r="AC23" s="6">
        <f>IF($AB$2=1,VLOOKUP($AB$10,IPE!A:Z,AE23),IF($AB$2=2,VLOOKUP($AB$10,IPN!A:Z,AE23),IF($AB$2=3,VLOOKUP($AB$10,HE!A:Z,AE23),IF($AB$2=4,VLOOKUP($AB$10,HD!A:Z,AE23),IF($AB$2=5,VLOOKUP($AB$10,CHS!A:AE,AE23),IF($AB$2=6,VLOOKUP($AB$10,RHS!A:AE,AE23),IF($AB$2=7,VLOOKUP($AB$10,Custom!A:AC,AE23),0)))))))</f>
        <v>3690</v>
      </c>
      <c r="AD23" s="3" t="s">
        <v>351</v>
      </c>
      <c r="AE23" s="85">
        <v>16</v>
      </c>
      <c r="AF23" s="233" t="s">
        <v>440</v>
      </c>
      <c r="AG23" s="238">
        <v>38677</v>
      </c>
      <c r="AH23" s="235" t="s">
        <v>441</v>
      </c>
      <c r="AI23" s="235"/>
      <c r="AJ23" s="235"/>
      <c r="AK23" s="235"/>
      <c r="AL23" s="235"/>
      <c r="AN23" s="239" t="s">
        <v>607</v>
      </c>
      <c r="AO23"/>
      <c r="AP23" s="410"/>
      <c r="AQ23" s="404"/>
      <c r="AR23" s="335" t="s">
        <v>589</v>
      </c>
      <c r="AS23" s="323">
        <f>F23*G14</f>
        <v>0</v>
      </c>
      <c r="AT23" s="323">
        <f>F23*G14/2</f>
        <v>0</v>
      </c>
      <c r="AU23" s="325">
        <v>0</v>
      </c>
      <c r="AV23" s="323">
        <f>F25*G14</f>
        <v>0</v>
      </c>
      <c r="AW23" s="323">
        <f>F25*G14/2</f>
        <v>0</v>
      </c>
      <c r="AX23" s="325">
        <v>0</v>
      </c>
      <c r="AY23" s="323">
        <f>F23*G14^2/2</f>
        <v>0</v>
      </c>
      <c r="AZ23" s="323">
        <f>F23*G14^2/8</f>
        <v>0</v>
      </c>
      <c r="BA23" s="323">
        <v>0</v>
      </c>
      <c r="BB23" s="327">
        <f>F25*G14^2/2</f>
        <v>0</v>
      </c>
      <c r="BC23" s="323">
        <f>F25*G14^2/8</f>
        <v>0</v>
      </c>
      <c r="BD23" s="325">
        <v>0</v>
      </c>
      <c r="BE23" s="325">
        <f>F23*(G14*1000)^4/(8*205000*Q7)</f>
        <v>0</v>
      </c>
    </row>
    <row r="24" spans="2:67" ht="12.75" customHeight="1">
      <c r="B24" s="95" t="s">
        <v>537</v>
      </c>
      <c r="E24" t="s">
        <v>551</v>
      </c>
      <c r="F24" s="91">
        <v>0</v>
      </c>
      <c r="G24" s="91">
        <v>0</v>
      </c>
      <c r="H24" s="91">
        <v>0</v>
      </c>
      <c r="I24" s="91">
        <v>1</v>
      </c>
      <c r="J24" s="91">
        <v>1</v>
      </c>
      <c r="K24" t="s">
        <v>75</v>
      </c>
      <c r="O24" t="s">
        <v>265</v>
      </c>
      <c r="P24" s="333">
        <f>VLOOKUP(J14,AR33:BD36,VLOOKUP(M20,AN19:AO21,2)+4)</f>
        <v>0</v>
      </c>
      <c r="Q24" s="333">
        <f>VLOOKUP(J14,AR29:BD32,VLOOKUP(M20,AN19:AO21,2)+4)</f>
        <v>0</v>
      </c>
      <c r="R24" t="s">
        <v>77</v>
      </c>
      <c r="U24" t="s">
        <v>234</v>
      </c>
      <c r="X24" s="16">
        <f>G48</f>
        <v>3.6195353522389916E-2</v>
      </c>
      <c r="Y24" s="174" t="str">
        <f t="shared" si="8"/>
        <v>≤ 1.00, ok</v>
      </c>
      <c r="Z24" s="1"/>
      <c r="AA24" s="61"/>
      <c r="AB24" s="3" t="s">
        <v>65</v>
      </c>
      <c r="AC24" s="6">
        <f>IF($AB$2=1,VLOOKUP($AB$10,IPE!A:Z,AE24),IF($AB$2=2,VLOOKUP($AB$10,IPN!A:Z,AE24),IF($AB$2=3,VLOOKUP($AB$10,HE!A:Z,AE24),IF($AB$2=4,VLOOKUP($AB$10,HD!A:Z,AE24),IF($AB$2=5,VLOOKUP($AB$10,CHS!A:AE,AE24),IF($AB$2=6,VLOOKUP($AB$10,RHS!A:AE,AE24),IF($AB$2=7,VLOOKUP($AB$10,Custom!A:AC,AE24),0)))))))</f>
        <v>5820</v>
      </c>
      <c r="AD24" s="3" t="s">
        <v>351</v>
      </c>
      <c r="AE24" s="85">
        <v>17</v>
      </c>
      <c r="AF24" s="241" t="s">
        <v>454</v>
      </c>
      <c r="AG24" s="238">
        <v>38678</v>
      </c>
      <c r="AH24" s="235" t="s">
        <v>455</v>
      </c>
      <c r="AN24" t="s">
        <v>608</v>
      </c>
      <c r="AO24">
        <v>1</v>
      </c>
      <c r="AP24" s="410"/>
      <c r="AQ24" s="405" t="s">
        <v>562</v>
      </c>
      <c r="AR24" s="334" t="s">
        <v>586</v>
      </c>
      <c r="AS24" s="16">
        <f>G23*bqz^2*(3*aqz+bqz)/Lo^3</f>
        <v>0</v>
      </c>
      <c r="AT24" s="16">
        <f>IF(aqz&lt;Lo/2,AU24,AS24)</f>
        <v>0</v>
      </c>
      <c r="AU24" s="324">
        <f>G23*aqz^2*(3*bqz+aqz)/Lo^3</f>
        <v>0</v>
      </c>
      <c r="AV24" s="16">
        <f>G25*bqy^2*(3*aqy+bqy)/Lo^3</f>
        <v>0</v>
      </c>
      <c r="AW24" s="16">
        <f>IF(aqy&lt;Lo/2,AX24,AV24)</f>
        <v>0</v>
      </c>
      <c r="AX24" s="324">
        <f>G25*aqy^2*(3*bqy+aqy)/Lo^3</f>
        <v>0</v>
      </c>
      <c r="AY24" s="16">
        <f>G23*aqz*bqz^2/Lo^2</f>
        <v>0</v>
      </c>
      <c r="AZ24" s="16">
        <f>IF(aqz&gt;Lo/2,G23*bqz^2*((3*aqz+bqz)*Lo/2-aqz*Lo)/Lo^3,G23*aqz^2*((3*bqz+aqz)*Lo/2-bqz*Lo)/Lo^3)</f>
        <v>0</v>
      </c>
      <c r="BA24" s="16">
        <f>G23*aqz^2*bqz/Lo^2</f>
        <v>0</v>
      </c>
      <c r="BB24" s="210">
        <f>G25*aqy*bqy^2/Lo^2</f>
        <v>0</v>
      </c>
      <c r="BC24" s="16">
        <f>IF(aqy&gt;Lo/2,G25*bqy^2*((3*aqy+bqy)*Lo/2-aqy*Lo)/Lo^3,G25*aqy^2*((3*bqy+aqy)*Lo/2-bqy*Lo)/Lo^3)</f>
        <v>0</v>
      </c>
      <c r="BD24" s="324">
        <f>G25*aqy^2*bqy/Lo^2</f>
        <v>0</v>
      </c>
      <c r="BE24" s="324">
        <f>MAX(BM11:BM19)</f>
        <v>0</v>
      </c>
    </row>
    <row r="25" spans="2:67" ht="13.5">
      <c r="B25" s="95" t="s">
        <v>539</v>
      </c>
      <c r="E25" t="s">
        <v>552</v>
      </c>
      <c r="F25" s="91">
        <v>0</v>
      </c>
      <c r="G25" s="91">
        <v>0</v>
      </c>
      <c r="H25" s="91">
        <v>0</v>
      </c>
      <c r="I25" s="91">
        <v>1</v>
      </c>
      <c r="J25" s="91">
        <v>0.3</v>
      </c>
      <c r="K25" t="s">
        <v>474</v>
      </c>
      <c r="O25" t="s">
        <v>476</v>
      </c>
      <c r="P25" s="333">
        <f>VLOOKUP(J14,AR33:BD36,VLOOKUP(M20,AN19:AO21,2)+7)</f>
        <v>0.19750718556562505</v>
      </c>
      <c r="Q25" s="333">
        <f>VLOOKUP(J14,AR29:BD32,VLOOKUP(M20,AN19:AO21,2)+7)</f>
        <v>0.14630161893750002</v>
      </c>
      <c r="R25" t="s">
        <v>78</v>
      </c>
      <c r="U25" t="s">
        <v>235</v>
      </c>
      <c r="X25" s="16">
        <f>G50</f>
        <v>0</v>
      </c>
      <c r="Y25" s="174" t="str">
        <f t="shared" si="8"/>
        <v>≤ 1.00, ok</v>
      </c>
      <c r="Z25" s="1"/>
      <c r="AA25" s="61"/>
      <c r="AB25" s="3" t="s">
        <v>9</v>
      </c>
      <c r="AC25" s="64">
        <f>IF($AB$2=1,VLOOKUP($AB$10,IPE!A:Z,AE25),IF($AB$2=2,VLOOKUP($AB$10,IPN!A:Z,AE25),IF($AB$2=3,VLOOKUP($AB$10,HE!A:Z,AE25),IF($AB$2=4,VLOOKUP($AB$10,HD!A:Z,AE25),IF($AB$2=5,VLOOKUP($AB$10,CHS!A:AE,AE25),IF($AB$2=6,VLOOKUP($AB$10,RHS!A:AE,AE25),IF($AB$2=7,VLOOKUP($AB$10,Custom!A:AC,AE25),0)))))))</f>
        <v>10.5</v>
      </c>
      <c r="AD25" s="3" t="s">
        <v>0</v>
      </c>
      <c r="AE25" s="85">
        <v>18</v>
      </c>
      <c r="AH25" s="235" t="s">
        <v>459</v>
      </c>
      <c r="AN25" t="s">
        <v>609</v>
      </c>
      <c r="AO25">
        <v>2</v>
      </c>
      <c r="AP25" s="410"/>
      <c r="AQ25" s="403"/>
      <c r="AR25" s="335" t="s">
        <v>587</v>
      </c>
      <c r="AS25" s="16">
        <f>G23*(Lo-aqz)^2*(2*Lo+aqz)/(2*Lo^3)</f>
        <v>0</v>
      </c>
      <c r="AT25" s="16">
        <f>IF(aqz&lt;Lo/2,AU25,AS25)</f>
        <v>0</v>
      </c>
      <c r="AU25" s="324">
        <f>G23*aqz*(3*Lo^2-aqz^2)/(2*Lo^3)</f>
        <v>0</v>
      </c>
      <c r="AV25" s="16">
        <f>G25*(Lo-aqy)^2*(2*Lo+aqy)/(2*Lo^3)</f>
        <v>0</v>
      </c>
      <c r="AW25" s="16">
        <f>IF(aqy&lt;Lo/2,AX25,AV25)</f>
        <v>0</v>
      </c>
      <c r="AX25" s="324">
        <f>G25*aqy*(3*Lo^2-aqy^2)/(2*Lo^3)</f>
        <v>0</v>
      </c>
      <c r="AY25" s="16">
        <v>0</v>
      </c>
      <c r="AZ25" s="16">
        <f>0.192*G23*Lo</f>
        <v>0</v>
      </c>
      <c r="BA25" s="16">
        <f>G23*aqz*(Lo^2-aqz^2)/(2*Lo^2)</f>
        <v>0</v>
      </c>
      <c r="BB25" s="210">
        <v>0</v>
      </c>
      <c r="BC25" s="16">
        <f>0.192*G25*Lo</f>
        <v>0</v>
      </c>
      <c r="BD25" s="324">
        <f>G25*aqy*(Lo^2-aqy^2)/(2*Lo^2)</f>
        <v>0</v>
      </c>
      <c r="BE25" s="324">
        <f>MAX(BN11:BN19)</f>
        <v>0</v>
      </c>
    </row>
    <row r="26" spans="2:67" ht="13">
      <c r="B26" s="95"/>
      <c r="K26" t="s">
        <v>475</v>
      </c>
      <c r="O26" t="s">
        <v>477</v>
      </c>
      <c r="P26" s="333">
        <f>VLOOKUP(J14,AR33:BD36,VLOOKUP(M20,AN19:AO21,2)+10)</f>
        <v>0</v>
      </c>
      <c r="Q26" s="333">
        <f>VLOOKUP(J14,AR29:BD32,VLOOKUP(M20,AN19:AO21,2)+10)</f>
        <v>0</v>
      </c>
      <c r="R26" t="s">
        <v>78</v>
      </c>
      <c r="U26" t="s">
        <v>209</v>
      </c>
      <c r="X26" s="16">
        <f>G54</f>
        <v>0</v>
      </c>
      <c r="Y26" s="174" t="str">
        <f t="shared" si="8"/>
        <v>≤ 1.00, ok</v>
      </c>
      <c r="Z26" s="1"/>
      <c r="AA26" s="61"/>
      <c r="AB26" s="3"/>
      <c r="AC26" s="64"/>
      <c r="AD26" s="3"/>
      <c r="AE26" s="85"/>
      <c r="AH26" s="235"/>
      <c r="AN26" s="36">
        <f xml:space="preserve"> IF(J16=AN24,7800*Q6*0.001^3*9.81,0)</f>
        <v>5.8459752000000011E-2</v>
      </c>
      <c r="AO26"/>
      <c r="AP26" s="410"/>
      <c r="AQ26" s="403"/>
      <c r="AR26" s="335" t="s">
        <v>588</v>
      </c>
      <c r="AS26" s="16">
        <f>G23*bqz/Lo</f>
        <v>0</v>
      </c>
      <c r="AT26" s="16">
        <f>IF(aqz&lt;Lo/2,AU26,AS26)</f>
        <v>0</v>
      </c>
      <c r="AU26" s="324">
        <f>G23*aqz/Lo</f>
        <v>0</v>
      </c>
      <c r="AV26" s="16">
        <f>G25*bqy/Lo</f>
        <v>0</v>
      </c>
      <c r="AW26" s="16">
        <f>IF(aqy&lt;Lo/2,AX26,AV26)</f>
        <v>0</v>
      </c>
      <c r="AX26" s="324">
        <f>G25*aqy/Lo</f>
        <v>0</v>
      </c>
      <c r="AY26" s="16">
        <v>0</v>
      </c>
      <c r="AZ26" s="16">
        <f>G23*aqz*bqz/Lo</f>
        <v>0</v>
      </c>
      <c r="BA26" s="16">
        <v>0</v>
      </c>
      <c r="BB26" s="210">
        <v>0</v>
      </c>
      <c r="BC26" s="16">
        <f>G25*aqy*bqy/Lo</f>
        <v>0</v>
      </c>
      <c r="BD26" s="324">
        <v>0</v>
      </c>
      <c r="BE26" s="324">
        <f>MAX(BO11:BO19)</f>
        <v>0</v>
      </c>
    </row>
    <row r="27" spans="2:67" ht="13">
      <c r="B27" s="339" t="str">
        <f>IF(AND(G22=0,G23=0,G24=0,G25=0)," ","ATTENTION : Chargement ponctuel; les torseurs et flèches sont conservatifs")</f>
        <v xml:space="preserve"> </v>
      </c>
      <c r="C27" s="217"/>
      <c r="D27" s="217"/>
      <c r="E27" s="368" t="s">
        <v>623</v>
      </c>
      <c r="F27" s="369">
        <v>3.8</v>
      </c>
      <c r="G27" s="217"/>
      <c r="H27" s="217"/>
      <c r="I27" s="217"/>
      <c r="J27" s="217"/>
      <c r="K27" s="365" t="str">
        <f>IF(AND(P22=0,Q22=0)," ","ATTENTION : Effort axial; prétension non incluse dans le calcul de la flèche")</f>
        <v xml:space="preserve"> </v>
      </c>
      <c r="P27" s="320"/>
      <c r="U27" t="s">
        <v>208</v>
      </c>
      <c r="X27" s="16">
        <f>G56</f>
        <v>0</v>
      </c>
      <c r="Y27" s="174" t="str">
        <f t="shared" si="8"/>
        <v>≤ 1.00, ok</v>
      </c>
      <c r="Z27" s="1"/>
      <c r="AA27" s="61"/>
      <c r="AB27" s="3"/>
      <c r="AC27" s="64"/>
      <c r="AD27" s="3"/>
      <c r="AE27" s="85"/>
      <c r="AH27" s="235"/>
      <c r="AO27"/>
      <c r="AP27" s="411"/>
      <c r="AQ27" s="404"/>
      <c r="AR27" s="336" t="s">
        <v>589</v>
      </c>
      <c r="AS27" s="323">
        <f>G23</f>
        <v>0</v>
      </c>
      <c r="AT27" s="323">
        <f>IF(aqz&lt;Lo/2,G23,0)</f>
        <v>0</v>
      </c>
      <c r="AU27" s="325">
        <v>0</v>
      </c>
      <c r="AV27" s="323">
        <f>G25</f>
        <v>0</v>
      </c>
      <c r="AW27" s="323">
        <f>IF(aqy&lt;Lo/2,G25,0)</f>
        <v>0</v>
      </c>
      <c r="AX27" s="325">
        <v>0</v>
      </c>
      <c r="AY27" s="323">
        <f>G23*aqz</f>
        <v>0</v>
      </c>
      <c r="AZ27" s="323">
        <f>IF(aqz&gt;Lo/2,G23*(aqz-Lo/2),0)</f>
        <v>0</v>
      </c>
      <c r="BA27" s="323">
        <v>0</v>
      </c>
      <c r="BB27" s="327">
        <f>G25*aqy</f>
        <v>0</v>
      </c>
      <c r="BC27" s="323">
        <f>IF(aqz&gt;Lo/2,G25*(aqz-Lo/2),0)</f>
        <v>0</v>
      </c>
      <c r="BD27" s="325">
        <v>0</v>
      </c>
      <c r="BE27" s="325">
        <f>-1000^4*G24*agy^2*(3*Lo-agy)/(6*205000*$Q$7)</f>
        <v>0</v>
      </c>
    </row>
    <row r="28" spans="2:67" ht="13">
      <c r="B28" s="95"/>
      <c r="P28" s="320"/>
      <c r="U28" t="s">
        <v>357</v>
      </c>
      <c r="X28" s="16">
        <f>G67</f>
        <v>3.6195353522389916E-2</v>
      </c>
      <c r="Y28" s="174" t="str">
        <f t="shared" si="8"/>
        <v>≤ 1.00, ok</v>
      </c>
      <c r="Z28" s="1"/>
      <c r="AA28" s="61"/>
      <c r="AB28" s="3"/>
      <c r="AC28" s="64"/>
      <c r="AD28" s="3"/>
      <c r="AE28" s="85"/>
      <c r="AH28" s="235"/>
      <c r="AO28"/>
      <c r="AS28" s="328" t="s">
        <v>555</v>
      </c>
      <c r="AT28" s="329" t="s">
        <v>556</v>
      </c>
      <c r="AU28" s="330" t="s">
        <v>557</v>
      </c>
      <c r="AV28" s="329" t="s">
        <v>555</v>
      </c>
      <c r="AW28" s="329" t="s">
        <v>556</v>
      </c>
      <c r="AX28" s="330" t="s">
        <v>557</v>
      </c>
      <c r="AY28" s="329" t="s">
        <v>555</v>
      </c>
      <c r="AZ28" s="329" t="s">
        <v>556</v>
      </c>
      <c r="BA28" s="329" t="s">
        <v>557</v>
      </c>
      <c r="BB28" s="328" t="s">
        <v>555</v>
      </c>
      <c r="BC28" s="329" t="s">
        <v>556</v>
      </c>
      <c r="BD28" s="330" t="s">
        <v>557</v>
      </c>
    </row>
    <row r="29" spans="2:67" ht="13">
      <c r="B29" s="276" t="s">
        <v>500</v>
      </c>
      <c r="J29" s="276" t="s">
        <v>611</v>
      </c>
      <c r="T29" s="12"/>
      <c r="U29" t="s">
        <v>374</v>
      </c>
      <c r="X29" s="16">
        <f>G75</f>
        <v>0</v>
      </c>
      <c r="Y29" s="174" t="str">
        <f t="shared" si="8"/>
        <v>≤ 1.00, ok</v>
      </c>
      <c r="Z29" s="1"/>
      <c r="AA29" s="61"/>
      <c r="AB29" s="3" t="s">
        <v>10</v>
      </c>
      <c r="AC29" s="6">
        <f>IF($AB$2=1,VLOOKUP($AB$10,IPE!A:Z,AE29),IF($AB$2=2,VLOOKUP($AB$10,IPN!A:Z,AE29),IF($AB$2=3,VLOOKUP($AB$10,HE!A:Z,AE29),IF($AB$2=4,VLOOKUP($AB$10,HD!A:Z,AE29),IF($AB$2=5,VLOOKUP($AB$10,CHS!A:AE,AE29),IF($AB$2=6,VLOOKUP($AB$10,RHS!A:AE,AE29),IF($AB$2=7,VLOOKUP($AB$10,Custom!A:AC,AE29),0)))))))</f>
        <v>7000</v>
      </c>
      <c r="AD29" s="3" t="s">
        <v>3</v>
      </c>
      <c r="AE29" s="85">
        <v>20</v>
      </c>
      <c r="AF29" s="241" t="s">
        <v>505</v>
      </c>
      <c r="AG29" s="238">
        <v>38684</v>
      </c>
      <c r="AH29" s="235" t="s">
        <v>463</v>
      </c>
      <c r="AO29"/>
      <c r="AQ29" s="403" t="s">
        <v>535</v>
      </c>
      <c r="AR29" t="s">
        <v>590</v>
      </c>
      <c r="AS29" s="16">
        <f>AS12+AS16+AS20+AS24</f>
        <v>0.22653153900000003</v>
      </c>
      <c r="AT29" s="16">
        <f t="shared" ref="AT29:BD29" si="9">AT12+AT16+AT20+AT24</f>
        <v>0</v>
      </c>
      <c r="AU29" s="324">
        <f t="shared" si="9"/>
        <v>0.22653153900000003</v>
      </c>
      <c r="AV29" s="16">
        <f t="shared" si="9"/>
        <v>0</v>
      </c>
      <c r="AW29" s="16">
        <f t="shared" si="9"/>
        <v>0</v>
      </c>
      <c r="AX29" s="324">
        <f t="shared" si="9"/>
        <v>0</v>
      </c>
      <c r="AY29" s="16">
        <f t="shared" si="9"/>
        <v>0.29260323787500003</v>
      </c>
      <c r="AZ29" s="16">
        <f t="shared" si="9"/>
        <v>0.14630161893750002</v>
      </c>
      <c r="BA29" s="324">
        <f t="shared" si="9"/>
        <v>0.29260323787500003</v>
      </c>
      <c r="BB29" s="16">
        <f t="shared" si="9"/>
        <v>0</v>
      </c>
      <c r="BC29" s="16">
        <f t="shared" si="9"/>
        <v>0</v>
      </c>
      <c r="BD29" s="324">
        <f t="shared" si="9"/>
        <v>0</v>
      </c>
    </row>
    <row r="30" spans="2:67" ht="13">
      <c r="B30" s="275" t="s">
        <v>509</v>
      </c>
      <c r="J30" t="s">
        <v>460</v>
      </c>
      <c r="O30" t="s">
        <v>118</v>
      </c>
      <c r="P30" s="10">
        <v>0.5</v>
      </c>
      <c r="Q30" s="24" t="s">
        <v>119</v>
      </c>
      <c r="T30" s="12"/>
      <c r="U30" t="s">
        <v>355</v>
      </c>
      <c r="X30" s="16">
        <f>G88</f>
        <v>3.6195353522389916E-2</v>
      </c>
      <c r="Y30" s="174" t="str">
        <f t="shared" si="8"/>
        <v>≤ 1.00, ok</v>
      </c>
      <c r="Z30" s="1"/>
      <c r="AA30" s="61"/>
      <c r="AB30" s="3" t="s">
        <v>21</v>
      </c>
      <c r="AC30" s="159">
        <f>IF($AB$2=1,VLOOKUP($AB$10,IPE!A:Z,AE30),IF($AB$2=2,VLOOKUP($AB$10,IPN!A:Z,AE30),IF($AB$2=3,VLOOKUP($AB$10,HE!A:Z,AE30),IF($AB$2=4,VLOOKUP($AB$10,HD!A:Z,AE30),IF($AB$2=5,VLOOKUP($AB$10,CHS!A:AE,AE30),IF($AB$2=6,VLOOKUP($AB$10,RHS!A:AE,AE30),IF($AB$2=7,VLOOKUP($AB$10,Custom!A:AC,AE30),0)))))))</f>
        <v>118754724</v>
      </c>
      <c r="AD30" s="3" t="s">
        <v>23</v>
      </c>
      <c r="AE30" s="85">
        <v>21</v>
      </c>
      <c r="AH30" s="235" t="s">
        <v>464</v>
      </c>
      <c r="AO30"/>
      <c r="AQ30" s="403"/>
      <c r="AR30" t="s">
        <v>591</v>
      </c>
      <c r="AS30" s="16">
        <f t="shared" ref="AS30:BD32" si="10">AS13+AS17+AS21+AS25</f>
        <v>0.16989865425000003</v>
      </c>
      <c r="AT30" s="16">
        <f t="shared" si="10"/>
        <v>0</v>
      </c>
      <c r="AU30" s="324">
        <f t="shared" si="10"/>
        <v>0.28316442375000006</v>
      </c>
      <c r="AV30" s="16">
        <f t="shared" si="10"/>
        <v>0</v>
      </c>
      <c r="AW30" s="16">
        <f t="shared" si="10"/>
        <v>0</v>
      </c>
      <c r="AX30" s="324">
        <f t="shared" si="10"/>
        <v>0</v>
      </c>
      <c r="AY30" s="16">
        <f t="shared" si="10"/>
        <v>0</v>
      </c>
      <c r="AZ30" s="16">
        <f t="shared" si="10"/>
        <v>0.24688398195703132</v>
      </c>
      <c r="BA30" s="324">
        <f t="shared" si="10"/>
        <v>0.43890485681250008</v>
      </c>
      <c r="BB30" s="16">
        <f t="shared" si="10"/>
        <v>0</v>
      </c>
      <c r="BC30" s="16">
        <f t="shared" si="10"/>
        <v>0</v>
      </c>
      <c r="BD30" s="324">
        <f t="shared" si="10"/>
        <v>0</v>
      </c>
    </row>
    <row r="31" spans="2:67" ht="13">
      <c r="B31" s="95" t="s">
        <v>448</v>
      </c>
      <c r="D31" s="337">
        <f>VLOOKUP(J14,AR33:BD36,8)</f>
        <v>0.3950143711312501</v>
      </c>
      <c r="E31" t="s">
        <v>78</v>
      </c>
      <c r="F31" s="268" t="s">
        <v>129</v>
      </c>
      <c r="G31" s="271">
        <f>AL52</f>
        <v>1</v>
      </c>
      <c r="J31" s="87" t="s">
        <v>461</v>
      </c>
      <c r="O31" t="s">
        <v>462</v>
      </c>
      <c r="P31" s="10">
        <v>1</v>
      </c>
      <c r="Q31" s="24" t="s">
        <v>119</v>
      </c>
      <c r="T31" s="174"/>
      <c r="U31" t="s">
        <v>356</v>
      </c>
      <c r="X31" s="16">
        <f>G92</f>
        <v>0</v>
      </c>
      <c r="Y31" s="174" t="str">
        <f t="shared" si="8"/>
        <v>≤ 1.00, ok</v>
      </c>
      <c r="Z31" s="1"/>
      <c r="AA31" s="61"/>
      <c r="AB31" s="3" t="s">
        <v>191</v>
      </c>
      <c r="AC31" s="6">
        <f>IF($AB$2=1,VLOOKUP($AB$10,IPE!A:Z,AE31),IF($AB$2=2,VLOOKUP($AB$10,IPN!A:Z,AE31),IF($AB$2=3,VLOOKUP($AB$10,HE!A:Z,AE31),IF($AB$2=4,VLOOKUP($AB$10,HD!A:Z,AE31),IF($AB$2=5,VLOOKUP($AB$10,CHS!A:AE,AE31),IF($AB$2=6,VLOOKUP($AB$10,RHS!A:AE,AE31),IF($AB$2=7,VLOOKUP($AB$10,Custom!A:AC,AE31),0)))))))</f>
        <v>499.52000000000004</v>
      </c>
      <c r="AD31" s="3" t="s">
        <v>319</v>
      </c>
      <c r="AE31" s="85">
        <v>22</v>
      </c>
      <c r="AH31" s="235" t="s">
        <v>465</v>
      </c>
      <c r="AO31"/>
      <c r="AQ31" s="403"/>
      <c r="AR31" t="s">
        <v>592</v>
      </c>
      <c r="AS31" s="16">
        <f t="shared" si="10"/>
        <v>0.22653153900000003</v>
      </c>
      <c r="AT31" s="16">
        <f t="shared" si="10"/>
        <v>0</v>
      </c>
      <c r="AU31" s="324">
        <f t="shared" si="10"/>
        <v>0.22653153900000003</v>
      </c>
      <c r="AV31" s="16">
        <f t="shared" si="10"/>
        <v>0</v>
      </c>
      <c r="AW31" s="16">
        <f t="shared" si="10"/>
        <v>0</v>
      </c>
      <c r="AX31" s="324">
        <f t="shared" si="10"/>
        <v>0</v>
      </c>
      <c r="AY31" s="16">
        <f t="shared" si="10"/>
        <v>0</v>
      </c>
      <c r="AZ31" s="16">
        <f t="shared" si="10"/>
        <v>0.43890485681250008</v>
      </c>
      <c r="BA31" s="324">
        <f t="shared" si="10"/>
        <v>0</v>
      </c>
      <c r="BB31" s="16">
        <f t="shared" si="10"/>
        <v>0</v>
      </c>
      <c r="BC31" s="16">
        <f t="shared" si="10"/>
        <v>0</v>
      </c>
      <c r="BD31" s="324">
        <f t="shared" si="10"/>
        <v>0</v>
      </c>
    </row>
    <row r="32" spans="2:67" ht="13">
      <c r="B32" s="95" t="s">
        <v>266</v>
      </c>
      <c r="D32" s="337">
        <f>VLOOKUP(J14,AR33:BD36,9)</f>
        <v>0.19750718556562505</v>
      </c>
      <c r="E32" t="s">
        <v>78</v>
      </c>
      <c r="F32" s="269" t="str">
        <f>$AK$53</f>
        <v>αs=</v>
      </c>
      <c r="G32" s="272">
        <f>$AL$53</f>
        <v>0.5</v>
      </c>
      <c r="J32" t="s">
        <v>402</v>
      </c>
      <c r="O32" t="s">
        <v>403</v>
      </c>
      <c r="P32" s="29">
        <v>1.1299999999999999</v>
      </c>
      <c r="Q32" s="24" t="s">
        <v>480</v>
      </c>
      <c r="T32" s="174"/>
      <c r="U32" t="s">
        <v>358</v>
      </c>
      <c r="X32" s="16">
        <f>G99</f>
        <v>1.3101036166107841E-3</v>
      </c>
      <c r="Y32" s="174" t="str">
        <f t="shared" si="8"/>
        <v>≤ 1.00, ok</v>
      </c>
      <c r="Z32" s="1"/>
      <c r="AA32" s="61"/>
      <c r="AB32" s="3" t="s">
        <v>211</v>
      </c>
      <c r="AC32" s="64">
        <f>IF($AB$2=1,VLOOKUP($AB$10,IPE!A:Z,AE32),IF($AB$2=2,VLOOKUP($AB$10,IPN!A:Z,AE32),IF($AB$2=3,VLOOKUP($AB$10,HE!A:Z,AE32),IF($AB$2=4,VLOOKUP($AB$10,HD!A:Z,AE32),IF($AB$2=5,VLOOKUP($AB$10,CHS!A:AE,AE32),IF($AB$2=6,VLOOKUP($AB$10,RHS!A:AE,AE32),IF($AB$2=7,VLOOKUP($AB$10,Custom!A:AC,AE32),0)))))))</f>
        <v>5</v>
      </c>
      <c r="AD32" s="92" t="s">
        <v>0</v>
      </c>
      <c r="AE32" s="93">
        <v>23</v>
      </c>
      <c r="AF32" s="241" t="s">
        <v>506</v>
      </c>
      <c r="AG32" s="6"/>
      <c r="AH32" s="310" t="s">
        <v>507</v>
      </c>
      <c r="AI32" s="6"/>
      <c r="AJ32" s="6"/>
      <c r="AK32" s="6"/>
      <c r="AL32" s="6"/>
      <c r="AM32" s="6"/>
      <c r="AN32" s="6"/>
      <c r="AQ32" s="404"/>
      <c r="AR32" t="s">
        <v>593</v>
      </c>
      <c r="AS32" s="323">
        <f t="shared" si="10"/>
        <v>0.45306307800000006</v>
      </c>
      <c r="AT32" s="323">
        <f t="shared" si="10"/>
        <v>0.22653153900000003</v>
      </c>
      <c r="AU32" s="325">
        <f t="shared" si="10"/>
        <v>0</v>
      </c>
      <c r="AV32" s="323">
        <f t="shared" si="10"/>
        <v>0</v>
      </c>
      <c r="AW32" s="323">
        <f t="shared" si="10"/>
        <v>0</v>
      </c>
      <c r="AX32" s="325">
        <f t="shared" si="10"/>
        <v>0</v>
      </c>
      <c r="AY32" s="323">
        <f t="shared" si="10"/>
        <v>1.7556194272500003</v>
      </c>
      <c r="AZ32" s="323">
        <f t="shared" si="10"/>
        <v>0.43890485681250008</v>
      </c>
      <c r="BA32" s="325">
        <f t="shared" si="10"/>
        <v>0</v>
      </c>
      <c r="BB32" s="323">
        <f t="shared" si="10"/>
        <v>0</v>
      </c>
      <c r="BC32" s="323">
        <f t="shared" si="10"/>
        <v>0</v>
      </c>
      <c r="BD32" s="325">
        <f t="shared" si="10"/>
        <v>0</v>
      </c>
    </row>
    <row r="33" spans="2:57" ht="13">
      <c r="B33" s="95" t="s">
        <v>449</v>
      </c>
      <c r="D33" s="337">
        <f>VLOOKUP(J14,AR33:BD36,10)</f>
        <v>0.3950143711312501</v>
      </c>
      <c r="E33" t="s">
        <v>78</v>
      </c>
      <c r="F33" s="270" t="s">
        <v>142</v>
      </c>
      <c r="G33" s="273">
        <f>AL51</f>
        <v>0.60000000000000009</v>
      </c>
      <c r="J33" t="s">
        <v>479</v>
      </c>
      <c r="O33" t="s">
        <v>404</v>
      </c>
      <c r="P33" s="29">
        <v>0.46</v>
      </c>
      <c r="Q33" s="24" t="s">
        <v>480</v>
      </c>
      <c r="T33" s="174"/>
      <c r="U33" s="87" t="s">
        <v>369</v>
      </c>
      <c r="W33" s="87"/>
      <c r="X33" s="16">
        <f>S52</f>
        <v>3.6195353522389916E-2</v>
      </c>
      <c r="Y33" s="174" t="str">
        <f>IF(classe=3,"classe 3",IF(AND(X33&gt;=0,X33&lt;=1),"≤ 1.00, ok","X"))</f>
        <v>≤ 1.00, ok</v>
      </c>
      <c r="Z33" s="1"/>
      <c r="AA33" s="61"/>
      <c r="AB33" s="3" t="s">
        <v>245</v>
      </c>
      <c r="AC33" s="64" t="str">
        <f>IF($AB$2=1,VLOOKUP($AB$10,IPE!A:Z,AE33),IF($AB$2=2,VLOOKUP($AB$10,IPN!A:Z,AE33),IF($AB$2=3,VLOOKUP($AB$10,HE!A:Z,AE33),IF($AB$2=4,VLOOKUP($AB$10,HD!A:Z,AE33),IF($AB$2=5,VLOOKUP($AB$10,CHS!A:AE,AE33),IF($AB$2=6,VLOOKUP($AB$10,RHS!A:AE,AE33),IF($AB$2=7,VLOOKUP($AB$10,Custom!A:AC,AE33),0)))))))</f>
        <v>a</v>
      </c>
      <c r="AD33" s="92" t="s">
        <v>92</v>
      </c>
      <c r="AE33" s="100">
        <v>24</v>
      </c>
      <c r="AF33" s="310" t="s">
        <v>511</v>
      </c>
      <c r="AG33" s="312"/>
      <c r="AH33" s="310" t="s">
        <v>512</v>
      </c>
      <c r="AI33" s="6"/>
      <c r="AJ33" s="6"/>
      <c r="AK33" s="6"/>
      <c r="AL33" s="6"/>
      <c r="AM33" s="6"/>
      <c r="AN33" s="6"/>
      <c r="AQ33" s="403" t="s">
        <v>534</v>
      </c>
      <c r="AR33" t="s">
        <v>590</v>
      </c>
      <c r="AS33" s="16">
        <f>AS12*$I$22+AS16*$I$23+AS20*$I$24+AS24*$I$25</f>
        <v>0.30581757765000006</v>
      </c>
      <c r="AT33" s="16">
        <f t="shared" ref="AT33:AX33" si="11">AT12*$I$22+AT16*$I$23+AT20*$I$24+AT24*$I$25</f>
        <v>0</v>
      </c>
      <c r="AU33" s="324">
        <f t="shared" si="11"/>
        <v>0.30581757765000006</v>
      </c>
      <c r="AV33" s="16">
        <f t="shared" si="11"/>
        <v>0</v>
      </c>
      <c r="AW33" s="16">
        <f t="shared" si="11"/>
        <v>0</v>
      </c>
      <c r="AX33" s="324">
        <f t="shared" si="11"/>
        <v>0</v>
      </c>
      <c r="AY33" s="16">
        <f>AY12*$I$22+AY16*$I$22+AY20*$I$23+AY24*$I$23</f>
        <v>0.3950143711312501</v>
      </c>
      <c r="AZ33" s="16">
        <f>AZ12*$I$22+AZ16*$I$22+AZ20*$I$23+AZ24*$I$23</f>
        <v>0.19750718556562505</v>
      </c>
      <c r="BA33" s="367">
        <f>BA12*$I$22+BA16*$I$22+BA20*$I$23+BA24*$I$23</f>
        <v>0.3950143711312501</v>
      </c>
      <c r="BB33" s="16">
        <f t="shared" ref="BB33:BD36" si="12">BB12*$I$24+BB16*$I$24+BB20*$I$25+BB24*$I$25</f>
        <v>0</v>
      </c>
      <c r="BC33" s="16">
        <f t="shared" si="12"/>
        <v>0</v>
      </c>
      <c r="BD33" s="16">
        <f t="shared" si="12"/>
        <v>0</v>
      </c>
      <c r="BE33" s="204"/>
    </row>
    <row r="34" spans="2:57" ht="13">
      <c r="B34" s="95" t="s">
        <v>510</v>
      </c>
      <c r="G34" s="319"/>
      <c r="J34" s="20" t="s">
        <v>478</v>
      </c>
      <c r="K34" s="217"/>
      <c r="O34" t="s">
        <v>405</v>
      </c>
      <c r="P34" s="91">
        <f>Q2/2</f>
        <v>40</v>
      </c>
      <c r="Q34" s="311" t="s">
        <v>508</v>
      </c>
      <c r="R34" s="232">
        <f>h/2</f>
        <v>40</v>
      </c>
      <c r="S34" s="231" t="s">
        <v>407</v>
      </c>
      <c r="T34" s="174"/>
      <c r="U34" s="221" t="s">
        <v>446</v>
      </c>
      <c r="W34" s="94"/>
      <c r="Y34" s="174"/>
      <c r="Z34" s="1"/>
      <c r="AA34" s="61"/>
      <c r="AB34" s="3" t="s">
        <v>246</v>
      </c>
      <c r="AC34" s="64" t="str">
        <f>IF($AB$2=1,VLOOKUP($AB$10,IPE!A:Z,AE34),IF($AB$2=2,VLOOKUP($AB$10,IPN!A:Z,AE34),IF($AB$2=3,VLOOKUP($AB$10,HE!A:Z,AE34),IF($AB$2=4,VLOOKUP($AB$10,HD!A:Z,AE34),IF($AB$2=5,VLOOKUP($AB$10,CHS!A:AE,AE34),IF($AB$2=6,VLOOKUP($AB$10,RHS!A:AE,AE34),IF($AB$2=7,VLOOKUP($AB$10,Custom!A:AC,AE34),0)))))))</f>
        <v>b</v>
      </c>
      <c r="AD34" s="92" t="s">
        <v>92</v>
      </c>
      <c r="AE34" s="100">
        <v>25</v>
      </c>
      <c r="AF34" s="4"/>
      <c r="AG34" s="4"/>
      <c r="AH34" s="313" t="s">
        <v>514</v>
      </c>
      <c r="AI34" s="4"/>
      <c r="AJ34" s="4"/>
      <c r="AK34" s="4"/>
      <c r="AL34" s="4"/>
      <c r="AM34" s="4"/>
      <c r="AN34" s="4"/>
      <c r="AQ34" s="403"/>
      <c r="AR34" t="s">
        <v>591</v>
      </c>
      <c r="AS34" s="16">
        <f>AS13*$I$22+AS17*$I$23+AS21*$I$24+AS25*$I$25</f>
        <v>0.22936318323750005</v>
      </c>
      <c r="AT34" s="16">
        <f t="shared" ref="AT34:AX34" si="13">AT13*$I$22+AT17*$I$23+AT21*$I$24+AT25*$I$25</f>
        <v>0</v>
      </c>
      <c r="AU34" s="324">
        <f t="shared" si="13"/>
        <v>0.38227197206250013</v>
      </c>
      <c r="AV34" s="16">
        <f t="shared" si="13"/>
        <v>0</v>
      </c>
      <c r="AW34" s="16">
        <f t="shared" si="13"/>
        <v>0</v>
      </c>
      <c r="AX34" s="324">
        <f t="shared" si="13"/>
        <v>0</v>
      </c>
      <c r="AY34" s="16">
        <f t="shared" ref="AY34:BA34" si="14">AY13*$I$22+AY17*$I$22+AY21*$I$23+AY25*$I$23</f>
        <v>0</v>
      </c>
      <c r="AZ34" s="16">
        <f t="shared" si="14"/>
        <v>0.3332933756419923</v>
      </c>
      <c r="BA34" s="324">
        <f t="shared" si="14"/>
        <v>0.59252155669687512</v>
      </c>
      <c r="BB34" s="16">
        <f t="shared" si="12"/>
        <v>0</v>
      </c>
      <c r="BC34" s="16">
        <f t="shared" si="12"/>
        <v>0</v>
      </c>
      <c r="BD34" s="16">
        <f t="shared" si="12"/>
        <v>0</v>
      </c>
    </row>
    <row r="35" spans="2:57" ht="13">
      <c r="B35" s="95" t="s">
        <v>450</v>
      </c>
      <c r="D35" s="337">
        <f>VLOOKUP(J14,AR33:BD36,11)</f>
        <v>0</v>
      </c>
      <c r="E35" t="s">
        <v>78</v>
      </c>
      <c r="F35" s="268" t="s">
        <v>129</v>
      </c>
      <c r="G35" s="274">
        <f>AL65</f>
        <v>0</v>
      </c>
      <c r="J35" s="251" t="s">
        <v>481</v>
      </c>
      <c r="K35" s="217"/>
      <c r="P35" s="41" t="s">
        <v>621</v>
      </c>
      <c r="Q35" s="24" t="s">
        <v>110</v>
      </c>
      <c r="T35" s="174"/>
      <c r="U35" s="17" t="s">
        <v>236</v>
      </c>
      <c r="W35" s="17"/>
      <c r="X35" s="16">
        <f>IF(P67="N &gt;0, ok",0,P67)</f>
        <v>0</v>
      </c>
      <c r="Y35" s="174" t="str">
        <f>IF(X35&lt;=1,"≤ 1.00, ok",IF(X35="-","ok","X"))</f>
        <v>≤ 1.00, ok</v>
      </c>
      <c r="Z35" s="1"/>
      <c r="AA35" s="61"/>
      <c r="AB35" s="3" t="s">
        <v>339</v>
      </c>
      <c r="AC35" s="6">
        <f>IF($AB$2=1,VLOOKUP($AB$10,IPE!A:Z,AE35),IF($AB$2=2,VLOOKUP($AB$10,IPN!A:Z,AE35),IF($AB$2=3,VLOOKUP($AB$10,HE!A:Z,AE35),IF($AB$2=4,VLOOKUP($AB$10,HD!A:Z,AE35),IF($AB$2=5,VLOOKUP($AB$10,CHS!A:AE,AE35),IF($AB$2=6,VLOOKUP($AB$10,RHS!A:AE,AE35),IF($AB$2=7,VLOOKUP($AB$10,Custom!A:AC,AE35),0)))))))</f>
        <v>11608.481991401331</v>
      </c>
      <c r="AD35" s="5" t="s">
        <v>351</v>
      </c>
      <c r="AE35" s="100">
        <v>26</v>
      </c>
      <c r="AF35" s="4"/>
      <c r="AG35" s="4"/>
      <c r="AH35" s="313" t="s">
        <v>515</v>
      </c>
      <c r="AI35" s="4"/>
      <c r="AJ35" s="4"/>
      <c r="AK35" s="4"/>
      <c r="AL35" s="4"/>
      <c r="AM35" s="4"/>
      <c r="AN35" s="4"/>
      <c r="AQ35" s="403"/>
      <c r="AR35" t="s">
        <v>592</v>
      </c>
      <c r="AS35" s="16">
        <f t="shared" ref="AS35:AX35" si="15">AS14*$I$22+AS18*$I$23+AS22*$I$24+AS26*$I$25</f>
        <v>0.30581757765000006</v>
      </c>
      <c r="AT35" s="16">
        <f t="shared" si="15"/>
        <v>0</v>
      </c>
      <c r="AU35" s="324">
        <f t="shared" si="15"/>
        <v>0.30581757765000006</v>
      </c>
      <c r="AV35" s="16">
        <f t="shared" si="15"/>
        <v>0</v>
      </c>
      <c r="AW35" s="16">
        <f t="shared" si="15"/>
        <v>0</v>
      </c>
      <c r="AX35" s="324">
        <f t="shared" si="15"/>
        <v>0</v>
      </c>
      <c r="AY35" s="16">
        <f t="shared" ref="AY35:BA35" si="16">AY14*$I$22+AY18*$I$22+AY22*$I$23+AY26*$I$23</f>
        <v>0</v>
      </c>
      <c r="AZ35" s="16">
        <f t="shared" si="16"/>
        <v>0.59252155669687512</v>
      </c>
      <c r="BA35" s="324">
        <f t="shared" si="16"/>
        <v>0</v>
      </c>
      <c r="BB35" s="16">
        <f t="shared" si="12"/>
        <v>0</v>
      </c>
      <c r="BC35" s="16">
        <f t="shared" si="12"/>
        <v>0</v>
      </c>
      <c r="BD35" s="16">
        <f t="shared" si="12"/>
        <v>0</v>
      </c>
    </row>
    <row r="36" spans="2:57" ht="13">
      <c r="B36" s="95" t="s">
        <v>267</v>
      </c>
      <c r="D36" s="337">
        <f>VLOOKUP(J14,AR33:BD36,12)</f>
        <v>0</v>
      </c>
      <c r="E36" t="s">
        <v>78</v>
      </c>
      <c r="F36" s="269" t="str">
        <f>$AK$66</f>
        <v/>
      </c>
      <c r="G36" s="272" t="str">
        <f>$AL$66</f>
        <v/>
      </c>
      <c r="J36" s="87" t="s">
        <v>466</v>
      </c>
      <c r="P36" s="91" t="s">
        <v>622</v>
      </c>
      <c r="Q36" s="24" t="s">
        <v>473</v>
      </c>
      <c r="T36" s="174"/>
      <c r="U36" s="17" t="s">
        <v>237</v>
      </c>
      <c r="W36" s="17"/>
      <c r="X36" s="16">
        <f>Q86</f>
        <v>0.17842850931031465</v>
      </c>
      <c r="Y36" s="174" t="str">
        <f>IF(X36&lt;=1,"≤ 1.00, ok","X")</f>
        <v>≤ 1.00, ok</v>
      </c>
      <c r="Z36" s="1"/>
      <c r="AA36" s="61"/>
      <c r="AB36" s="3" t="s">
        <v>340</v>
      </c>
      <c r="AC36" s="6">
        <f>IF($AB$2=1,VLOOKUP($AB$10,IPE!A:AE,AE36),IF($AB$2=2,VLOOKUP($AB$10,IPN!A:AE,AE36),IF($AB$2=3,VLOOKUP($AB$10,HE!A:AE,AE36),IF($AB$2=4,VLOOKUP($AB$10,HD!A:AE,AE36),IF($AB$2=5,VLOOKUP($AB$10,CHS!A:AE,AE36),IF($AB$2=6,VLOOKUP($AB$10,RHS!A:AE,AE36),IF($AB$2=7,VLOOKUP($AB$10,Custom!A:AE,AE36),0)))))))</f>
        <v>1251.6140000000003</v>
      </c>
      <c r="AD36" s="5" t="s">
        <v>351</v>
      </c>
      <c r="AE36" s="100">
        <v>27</v>
      </c>
      <c r="AF36" s="4"/>
      <c r="AG36" s="4"/>
      <c r="AH36" s="313" t="s">
        <v>518</v>
      </c>
      <c r="AI36" s="4"/>
      <c r="AJ36" s="4"/>
      <c r="AK36" s="4"/>
      <c r="AL36" s="4"/>
      <c r="AM36" s="4"/>
      <c r="AN36" s="4"/>
      <c r="AQ36" s="403"/>
      <c r="AR36" t="s">
        <v>593</v>
      </c>
      <c r="AS36" s="323">
        <f t="shared" ref="AS36:AX36" si="17">AS15*$I$22+AS19*$I$23+AS23*$I$24+AS27*$I$25</f>
        <v>0.61163515530000012</v>
      </c>
      <c r="AT36" s="323">
        <f t="shared" si="17"/>
        <v>0.30581757765000006</v>
      </c>
      <c r="AU36" s="325">
        <f t="shared" si="17"/>
        <v>0</v>
      </c>
      <c r="AV36" s="323">
        <f t="shared" si="17"/>
        <v>0</v>
      </c>
      <c r="AW36" s="323">
        <f t="shared" si="17"/>
        <v>0</v>
      </c>
      <c r="AX36" s="325">
        <f t="shared" si="17"/>
        <v>0</v>
      </c>
      <c r="AY36" s="323">
        <f t="shared" ref="AY36:BA36" si="18">AY15*$I$22+AY19*$I$22+AY23*$I$23+AY27*$I$23</f>
        <v>2.3700862267875005</v>
      </c>
      <c r="AZ36" s="323">
        <f t="shared" si="18"/>
        <v>0.59252155669687512</v>
      </c>
      <c r="BA36" s="325">
        <f t="shared" si="18"/>
        <v>0</v>
      </c>
      <c r="BB36" s="16">
        <f t="shared" si="12"/>
        <v>0</v>
      </c>
      <c r="BC36" s="16">
        <f t="shared" si="12"/>
        <v>0</v>
      </c>
      <c r="BD36" s="16">
        <f t="shared" si="12"/>
        <v>0</v>
      </c>
      <c r="BE36" s="204"/>
    </row>
    <row r="37" spans="2:57" ht="13">
      <c r="B37" s="95" t="s">
        <v>451</v>
      </c>
      <c r="D37" s="337">
        <f>VLOOKUP(J14,AR33:BD36,13)</f>
        <v>0</v>
      </c>
      <c r="E37" t="s">
        <v>78</v>
      </c>
      <c r="F37" s="270" t="s">
        <v>143</v>
      </c>
      <c r="G37" s="272">
        <f>AL64</f>
        <v>0.6</v>
      </c>
      <c r="T37" s="24" t="s">
        <v>166</v>
      </c>
      <c r="U37" t="s">
        <v>494</v>
      </c>
      <c r="X37" s="16">
        <f>IF(V96="N &gt;0, ok",0,V96)</f>
        <v>0.10705710558618879</v>
      </c>
      <c r="Y37" s="174" t="str">
        <f>IF(X37&lt;=1,"≤ 1.00, ok",IF(X37="-","ok","X"))</f>
        <v>≤ 1.00, ok</v>
      </c>
      <c r="Z37" s="1"/>
      <c r="AA37" s="61"/>
      <c r="AB37" s="3" t="s">
        <v>309</v>
      </c>
      <c r="AC37">
        <f>VLOOKUP(AB2,AA3:AD9,3)</f>
        <v>1</v>
      </c>
      <c r="AD37" s="5"/>
      <c r="AE37" s="5"/>
      <c r="AF37" s="4"/>
      <c r="AG37" s="4"/>
      <c r="AH37" s="114" t="s">
        <v>519</v>
      </c>
      <c r="AI37" s="4"/>
      <c r="AJ37" s="4"/>
      <c r="AK37" s="4"/>
      <c r="AL37" s="4"/>
      <c r="AM37" s="4"/>
      <c r="AN37" s="4"/>
      <c r="AR37" s="326"/>
      <c r="BA37" s="4"/>
      <c r="BB37" s="4"/>
    </row>
    <row r="38" spans="2:57" ht="13.5" thickBot="1">
      <c r="B38" s="95"/>
      <c r="T38" s="24" t="s">
        <v>167</v>
      </c>
      <c r="U38" t="s">
        <v>495</v>
      </c>
      <c r="X38" s="16">
        <f>IF(V100="N &gt;0, ok",0,V100)</f>
        <v>0.17842850931031465</v>
      </c>
      <c r="Y38" s="174" t="str">
        <f>IF(X38&lt;=1,"≤ 1.00, ok",IF(X38="-","ok","X"))</f>
        <v>≤ 1.00, ok</v>
      </c>
      <c r="Z38" s="1"/>
      <c r="AA38" s="61"/>
      <c r="AB38" s="3" t="s">
        <v>310</v>
      </c>
      <c r="AC38" s="47">
        <f>VLOOKUP(AB2,AA3:AD9,4)</f>
        <v>1</v>
      </c>
      <c r="AD38" s="5"/>
      <c r="AE38" s="5"/>
      <c r="AF38" s="4"/>
      <c r="AH38" s="114" t="s">
        <v>520</v>
      </c>
      <c r="AI38" s="4"/>
      <c r="AJ38" s="4"/>
      <c r="AK38" s="4"/>
      <c r="AL38" s="4"/>
      <c r="AM38" s="4"/>
      <c r="AN38" s="4"/>
      <c r="AS38" t="s">
        <v>598</v>
      </c>
      <c r="AT38" t="s">
        <v>599</v>
      </c>
      <c r="BA38" s="4"/>
      <c r="BB38" s="4"/>
    </row>
    <row r="39" spans="2:57" ht="14">
      <c r="B39" s="299"/>
      <c r="C39" s="300"/>
      <c r="D39" s="155"/>
      <c r="E39" s="155"/>
      <c r="F39" s="155"/>
      <c r="G39" s="155"/>
      <c r="H39" s="155"/>
      <c r="I39" s="155"/>
      <c r="J39" s="301"/>
      <c r="K39" s="302"/>
      <c r="L39" s="302"/>
      <c r="M39" s="155"/>
      <c r="N39" s="155"/>
      <c r="O39" s="155"/>
      <c r="P39" s="155"/>
      <c r="Q39" s="303"/>
      <c r="R39" s="303"/>
      <c r="S39" s="303"/>
      <c r="T39" s="303"/>
      <c r="U39" s="303"/>
      <c r="V39" s="304"/>
      <c r="W39" s="155"/>
      <c r="X39" s="155"/>
      <c r="Y39" s="155"/>
      <c r="Z39" s="305"/>
      <c r="AA39" s="4"/>
      <c r="AB39" s="182" t="s">
        <v>521</v>
      </c>
      <c r="AC39" s="183"/>
      <c r="AD39" s="183"/>
      <c r="AE39" s="5"/>
      <c r="AF39" s="283" t="s">
        <v>498</v>
      </c>
      <c r="AG39" s="284"/>
      <c r="AH39" s="284"/>
      <c r="AI39" s="285"/>
      <c r="AJ39" s="4"/>
      <c r="AK39" s="4"/>
      <c r="AL39" s="4"/>
      <c r="AM39" s="4"/>
      <c r="AN39" s="4"/>
      <c r="AQ39" s="409" t="s">
        <v>597</v>
      </c>
      <c r="AR39" t="s">
        <v>590</v>
      </c>
      <c r="AS39" s="38">
        <f>BE12+BE16+BE20+BE24</f>
        <v>3.3429459525988037</v>
      </c>
      <c r="AT39" s="38">
        <f>BE20+BE24</f>
        <v>0</v>
      </c>
      <c r="BA39" s="4"/>
      <c r="BB39" s="4"/>
    </row>
    <row r="40" spans="2:57" ht="14">
      <c r="B40" s="96" t="s">
        <v>445</v>
      </c>
      <c r="C40" s="27"/>
      <c r="G40" s="9"/>
      <c r="H40" s="9"/>
      <c r="I40" s="9"/>
      <c r="Z40" s="1"/>
      <c r="AA40" s="4"/>
      <c r="AB40" s="170" t="s">
        <v>240</v>
      </c>
      <c r="AC40" s="162"/>
      <c r="AD40" s="163"/>
      <c r="AE40" s="5"/>
      <c r="AF40" s="289" t="s">
        <v>499</v>
      </c>
      <c r="AI40" s="1"/>
      <c r="AJ40" s="4"/>
      <c r="AK40" s="4"/>
      <c r="AL40" s="4"/>
      <c r="AM40" s="4"/>
      <c r="AN40" s="4"/>
      <c r="AQ40" s="409"/>
      <c r="AR40" t="s">
        <v>591</v>
      </c>
      <c r="AS40" s="38">
        <f>BE13+BE17+BE21+BE25</f>
        <v>6.9319327273088804</v>
      </c>
      <c r="AT40" s="38">
        <f>BE21+BE25</f>
        <v>0</v>
      </c>
      <c r="BA40" s="4"/>
      <c r="BB40" s="4"/>
    </row>
    <row r="41" spans="2:57" ht="13">
      <c r="B41" s="95"/>
      <c r="Z41" s="1"/>
      <c r="AA41" s="4"/>
      <c r="AB41" s="9" t="s">
        <v>92</v>
      </c>
      <c r="AC41" s="34" t="s">
        <v>93</v>
      </c>
      <c r="AD41" s="5"/>
      <c r="AE41" s="5"/>
      <c r="AF41" s="97" t="s">
        <v>482</v>
      </c>
      <c r="AI41" s="1"/>
      <c r="AJ41" s="4"/>
      <c r="AK41" s="4"/>
      <c r="AL41" s="4"/>
      <c r="AM41" s="4"/>
      <c r="AN41" s="4"/>
      <c r="AQ41" s="409"/>
      <c r="AR41" t="s">
        <v>592</v>
      </c>
      <c r="AS41" s="38">
        <f>BE14+BE18+BE22+BE26</f>
        <v>16.714729762994018</v>
      </c>
      <c r="AT41" s="38">
        <f>BE22+BE26</f>
        <v>0</v>
      </c>
      <c r="BA41" s="4"/>
      <c r="BB41" s="4"/>
    </row>
    <row r="42" spans="2:57" ht="13">
      <c r="B42" s="97" t="s">
        <v>127</v>
      </c>
      <c r="C42" s="21"/>
      <c r="M42" s="191" t="s">
        <v>361</v>
      </c>
      <c r="N42" s="191"/>
      <c r="O42" s="20"/>
      <c r="P42" s="20"/>
      <c r="Q42" s="20"/>
      <c r="R42" s="20"/>
      <c r="S42" s="20"/>
      <c r="T42" s="20"/>
      <c r="U42" s="20"/>
      <c r="V42" s="20"/>
      <c r="W42" s="20"/>
      <c r="X42" s="20"/>
      <c r="Y42" s="190"/>
      <c r="Z42" s="1"/>
      <c r="AA42" s="4"/>
      <c r="AB42" s="31" t="s">
        <v>80</v>
      </c>
      <c r="AC42" s="39">
        <v>0.21</v>
      </c>
      <c r="AD42" s="5"/>
      <c r="AE42" s="5"/>
      <c r="AF42" s="95" t="s">
        <v>448</v>
      </c>
      <c r="AH42" s="91">
        <v>0</v>
      </c>
      <c r="AI42" s="1" t="s">
        <v>78</v>
      </c>
      <c r="AJ42" s="4"/>
      <c r="AK42" s="4"/>
      <c r="AL42" s="4"/>
      <c r="AM42" s="4"/>
      <c r="AN42" s="4"/>
      <c r="AQ42" s="409"/>
      <c r="AR42" t="s">
        <v>593</v>
      </c>
      <c r="AS42" s="38">
        <f>BE15+BE19+BE23+BE27</f>
        <v>160.46140572474258</v>
      </c>
      <c r="AT42" s="38">
        <f>BE23+BE27</f>
        <v>0</v>
      </c>
      <c r="BA42" s="4"/>
      <c r="BB42" s="4"/>
    </row>
    <row r="43" spans="2:57" ht="13">
      <c r="B43" s="95"/>
      <c r="M43" s="20"/>
      <c r="N43" s="20"/>
      <c r="O43" s="20"/>
      <c r="P43" s="20"/>
      <c r="Q43" s="20"/>
      <c r="R43" s="20"/>
      <c r="S43" s="20"/>
      <c r="T43" s="20"/>
      <c r="U43" s="20"/>
      <c r="V43" s="20"/>
      <c r="W43" s="20"/>
      <c r="X43" s="20"/>
      <c r="Y43" s="190"/>
      <c r="Z43" s="1"/>
      <c r="AA43" s="4"/>
      <c r="AB43" s="59" t="s">
        <v>91</v>
      </c>
      <c r="AC43" s="59">
        <v>0.13</v>
      </c>
      <c r="AD43" s="5"/>
      <c r="AE43" s="5"/>
      <c r="AF43" s="95" t="s">
        <v>266</v>
      </c>
      <c r="AH43" s="91">
        <v>11</v>
      </c>
      <c r="AI43" s="1" t="s">
        <v>78</v>
      </c>
      <c r="AJ43" s="4"/>
      <c r="AK43" s="4"/>
      <c r="AL43" s="4"/>
      <c r="AM43" s="4"/>
      <c r="AN43" s="4"/>
      <c r="BA43" s="4"/>
      <c r="BB43" s="4"/>
    </row>
    <row r="44" spans="2:57" ht="13">
      <c r="B44" s="98" t="s">
        <v>85</v>
      </c>
      <c r="C44" s="24"/>
      <c r="G44" s="173">
        <f>VLOOKUP($AB$2,$AA$88:$CE$94,3)</f>
        <v>0</v>
      </c>
      <c r="H44" s="17" t="str">
        <f>IF(G44&lt;=1,"≤ 1.00, ok","non satisfaisante !")</f>
        <v>≤ 1.00, ok</v>
      </c>
      <c r="I44" s="173"/>
      <c r="M44" s="24" t="s">
        <v>128</v>
      </c>
      <c r="N44" s="24"/>
      <c r="O44" s="20"/>
      <c r="P44" s="20"/>
      <c r="Q44" s="20"/>
      <c r="R44" s="20"/>
      <c r="S44" s="22">
        <f>IF(classe=3,"",VLOOKUP($AB$2,$AA$88:$CE$94,48))</f>
        <v>0</v>
      </c>
      <c r="T44" s="20" t="str">
        <f>IF(classe=3,"pas pour classe 3","")</f>
        <v/>
      </c>
      <c r="U44" s="20"/>
      <c r="Y44" s="190"/>
      <c r="Z44" s="1"/>
      <c r="AA44" s="4"/>
      <c r="AB44" s="31" t="s">
        <v>13</v>
      </c>
      <c r="AC44" s="39">
        <v>0.34</v>
      </c>
      <c r="AD44" s="5"/>
      <c r="AE44" s="5"/>
      <c r="AF44" s="95" t="s">
        <v>449</v>
      </c>
      <c r="AH44" s="91">
        <v>0</v>
      </c>
      <c r="AI44" s="1" t="s">
        <v>78</v>
      </c>
      <c r="AJ44" s="4"/>
      <c r="AK44" s="4"/>
      <c r="AL44" s="4"/>
      <c r="AM44" s="4"/>
      <c r="AN44" s="4"/>
      <c r="BA44" s="4"/>
      <c r="BB44" s="4"/>
    </row>
    <row r="45" spans="2:57" ht="13">
      <c r="B45" s="95"/>
      <c r="F45" s="69" t="s">
        <v>381</v>
      </c>
      <c r="G45" s="224">
        <f>VLOOKUP($AB$2,$AA$88:$CE$94,4)</f>
        <v>0</v>
      </c>
      <c r="H45" s="68" t="s">
        <v>318</v>
      </c>
      <c r="I45" s="222"/>
      <c r="M45" s="20"/>
      <c r="N45" s="20"/>
      <c r="O45" s="20"/>
      <c r="P45" s="20"/>
      <c r="Q45" s="20"/>
      <c r="R45" s="20"/>
      <c r="S45" s="20"/>
      <c r="T45" s="20"/>
      <c r="U45" s="20"/>
      <c r="Y45" s="190"/>
      <c r="Z45" s="1"/>
      <c r="AA45" s="4"/>
      <c r="AB45" s="31" t="s">
        <v>94</v>
      </c>
      <c r="AC45" s="39">
        <v>0.49</v>
      </c>
      <c r="AD45" s="5"/>
      <c r="AE45" s="5"/>
      <c r="AF45" s="280" t="str">
        <f>IF(P36="oui",IF(AF55="diagramme 1",AF55,IF(AF55="diagramme 3",AF55,"diagramme 2")),"")</f>
        <v>diagramme 2</v>
      </c>
      <c r="AI45" s="1"/>
      <c r="AJ45" s="4"/>
      <c r="AK45" s="4"/>
      <c r="AL45" s="4"/>
      <c r="AM45" s="4"/>
      <c r="AN45" s="4"/>
      <c r="BA45" s="4"/>
      <c r="BB45" s="4"/>
    </row>
    <row r="46" spans="2:57" ht="13">
      <c r="B46" s="97" t="s">
        <v>352</v>
      </c>
      <c r="C46" s="21"/>
      <c r="M46" s="20"/>
      <c r="N46" s="18" t="s">
        <v>362</v>
      </c>
      <c r="P46" s="18"/>
      <c r="Q46" s="20"/>
      <c r="R46" s="20"/>
      <c r="S46" s="225">
        <f>IF(classe=3,"",VLOOKUP($AB$2,$AA$88:$CE$94,49))</f>
        <v>179.54</v>
      </c>
      <c r="T46" s="20" t="str">
        <f>IF(classe=3,"pas pour classe 3","kN")</f>
        <v>kN</v>
      </c>
      <c r="U46" s="20"/>
      <c r="Y46" s="190"/>
      <c r="Z46" s="1"/>
      <c r="AA46" s="4"/>
      <c r="AB46" s="31" t="s">
        <v>95</v>
      </c>
      <c r="AC46" s="39">
        <v>0.76</v>
      </c>
      <c r="AD46" s="5"/>
      <c r="AE46" s="5"/>
      <c r="AF46" s="281" t="s">
        <v>129</v>
      </c>
      <c r="AG46" s="252">
        <f>AX52</f>
        <v>1</v>
      </c>
      <c r="AH46" s="279" t="str">
        <f>AW53</f>
        <v>αh=</v>
      </c>
      <c r="AI46" s="282">
        <f>AX53</f>
        <v>0</v>
      </c>
      <c r="AJ46" s="4"/>
      <c r="AK46" s="4"/>
      <c r="AL46" s="4"/>
      <c r="AM46" s="4"/>
      <c r="AN46" s="4"/>
      <c r="AY46" s="63"/>
      <c r="BA46" s="4"/>
      <c r="BB46" s="4"/>
    </row>
    <row r="47" spans="2:57" ht="13">
      <c r="B47" s="95"/>
      <c r="M47" s="20"/>
      <c r="N47" s="20"/>
      <c r="O47" s="20"/>
      <c r="P47" s="20"/>
      <c r="Q47" s="20"/>
      <c r="R47" s="20"/>
      <c r="S47" s="20"/>
      <c r="T47" s="20"/>
      <c r="U47" s="20"/>
      <c r="Y47" s="190"/>
      <c r="Z47" s="1"/>
      <c r="AA47" s="4"/>
      <c r="AB47" s="4"/>
      <c r="AC47" s="4"/>
      <c r="AD47" s="5"/>
      <c r="AE47" s="5"/>
      <c r="AF47" s="95" t="s">
        <v>489</v>
      </c>
      <c r="AH47" s="6" t="s">
        <v>496</v>
      </c>
      <c r="AI47" s="286">
        <f>IF($P$35="N", 0.9, IF($P$35="C", MAX(AV53,AW56,AW57,AU60,AU61), MAX(AV53,AT61,AV57,AV56,AT60)))</f>
        <v>0.95</v>
      </c>
      <c r="AJ47" s="4"/>
      <c r="AK47" s="4"/>
      <c r="AL47" s="4"/>
      <c r="AM47" s="4"/>
      <c r="AN47" s="4"/>
      <c r="BA47" s="4"/>
      <c r="BB47" s="4"/>
    </row>
    <row r="48" spans="2:57" ht="13">
      <c r="B48" s="98" t="s">
        <v>124</v>
      </c>
      <c r="C48" s="24"/>
      <c r="G48" s="173">
        <f>VLOOKUP($AB$2,$AA$88:$CE$94,5)</f>
        <v>3.6195353522389916E-2</v>
      </c>
      <c r="H48" s="17" t="str">
        <f>IF(G48&lt;=1,"≤ 1.00, ok","non satisfaisante !")</f>
        <v>≤ 1.00, ok</v>
      </c>
      <c r="M48" s="315" t="s">
        <v>516</v>
      </c>
      <c r="N48" s="20" t="s">
        <v>367</v>
      </c>
      <c r="P48" s="20"/>
      <c r="Q48" s="20"/>
      <c r="R48" s="20"/>
      <c r="S48" s="225">
        <f>IF(classe=3,"",VLOOKUP($AB$2,$AA$88:$CE$94,55))</f>
        <v>5.4566999999999997</v>
      </c>
      <c r="T48" s="20" t="str">
        <f>IF(classe=3,"pas pour classe 3","kNm")</f>
        <v>kNm</v>
      </c>
      <c r="U48" s="20"/>
      <c r="Y48" s="190"/>
      <c r="Z48" s="1"/>
      <c r="AF48" s="287" t="s">
        <v>493</v>
      </c>
      <c r="AH48" s="43" t="s">
        <v>497</v>
      </c>
      <c r="AI48" s="288">
        <v>1</v>
      </c>
      <c r="BA48" s="4"/>
      <c r="BB48" s="4"/>
    </row>
    <row r="49" spans="2:54" ht="14.5" thickBot="1">
      <c r="B49" s="98"/>
      <c r="C49" s="24"/>
      <c r="F49" s="69" t="s">
        <v>380</v>
      </c>
      <c r="G49" s="227">
        <f>VLOOKUP($AB$2,$AA$88:$CE$94,6)</f>
        <v>8.5059080777616298</v>
      </c>
      <c r="H49" s="68" t="s">
        <v>318</v>
      </c>
      <c r="M49" s="20"/>
      <c r="N49" s="20"/>
      <c r="O49" s="20"/>
      <c r="P49" s="20"/>
      <c r="Q49" s="20"/>
      <c r="R49" s="20"/>
      <c r="S49" s="20"/>
      <c r="T49" s="20"/>
      <c r="U49" s="20"/>
      <c r="Y49" s="190"/>
      <c r="Z49" s="1"/>
      <c r="AB49" s="169" t="s">
        <v>126</v>
      </c>
      <c r="AC49" s="164"/>
      <c r="AD49" s="164"/>
      <c r="AF49" s="244"/>
      <c r="AG49" s="57"/>
      <c r="AH49" s="57"/>
      <c r="AI49" s="2"/>
      <c r="BA49" s="4"/>
      <c r="BB49" s="4"/>
    </row>
    <row r="50" spans="2:54" ht="13">
      <c r="B50" s="98"/>
      <c r="C50" s="24"/>
      <c r="G50" s="173">
        <f>VLOOKUP($AB$2,$AA$88:$CE$94,7)</f>
        <v>0</v>
      </c>
      <c r="H50" s="17" t="str">
        <f>IF(G50&lt;=1,"≤ 1.00, ok","non satisfaisante !")</f>
        <v>≤ 1.00, ok</v>
      </c>
      <c r="N50" s="20" t="s">
        <v>368</v>
      </c>
      <c r="P50" s="20"/>
      <c r="Q50" s="20"/>
      <c r="R50" s="20"/>
      <c r="S50" s="225">
        <f>IF(classe=3,"",VLOOKUP($AB$2,$AA$88:$CE$94,56))</f>
        <v>5.4566999999999997</v>
      </c>
      <c r="T50" s="20" t="str">
        <f>IF(classe=3,"pas pour classe 3","kNm")</f>
        <v>kNm</v>
      </c>
      <c r="U50" s="20"/>
      <c r="Y50" s="190"/>
      <c r="Z50" s="1"/>
      <c r="AB50" s="33" t="s">
        <v>484</v>
      </c>
      <c r="AC50" s="4"/>
      <c r="AD50" s="4"/>
      <c r="AE50" s="5"/>
      <c r="AF50" s="48"/>
      <c r="AG50" s="49"/>
      <c r="AH50" s="4"/>
      <c r="AI50" s="4"/>
      <c r="AJ50" s="4"/>
      <c r="AK50" s="4"/>
      <c r="AL50" s="4"/>
      <c r="AM50" s="67"/>
      <c r="AN50" s="33" t="s">
        <v>485</v>
      </c>
      <c r="AO50" s="4"/>
      <c r="AP50" s="4"/>
      <c r="AQ50" s="5"/>
      <c r="AR50" s="48"/>
      <c r="AS50" s="49"/>
      <c r="AT50" s="4"/>
      <c r="BA50" s="4"/>
      <c r="BB50" s="4"/>
    </row>
    <row r="51" spans="2:54" ht="13">
      <c r="B51" s="98"/>
      <c r="C51" s="24"/>
      <c r="F51" s="69" t="s">
        <v>379</v>
      </c>
      <c r="G51" s="227">
        <f>VLOOKUP($AB$2,$AA$88:$CE$94,8)</f>
        <v>0</v>
      </c>
      <c r="H51" s="68" t="s">
        <v>318</v>
      </c>
      <c r="M51" s="20"/>
      <c r="N51" s="20"/>
      <c r="O51" s="20"/>
      <c r="P51" s="20"/>
      <c r="Q51" s="20"/>
      <c r="R51" s="20"/>
      <c r="S51" s="20"/>
      <c r="T51" s="20"/>
      <c r="U51" s="20"/>
      <c r="Y51" s="190"/>
      <c r="Z51" s="1"/>
      <c r="AB51" s="25" t="s">
        <v>164</v>
      </c>
      <c r="AD51" s="4"/>
      <c r="AE51" s="5"/>
      <c r="AF51" s="5"/>
      <c r="AG51" s="4"/>
      <c r="AH51" s="4"/>
      <c r="AI51" s="4"/>
      <c r="AK51" s="43" t="s">
        <v>142</v>
      </c>
      <c r="AL51" s="49">
        <f>IF($P$35="N",0.9,IF($P$35="C",MAX(AJ53,AK56,AK57,AI60,AI61),MAX(AJ53,AH61,AJ57,AJ56,AH60)))</f>
        <v>0.60000000000000009</v>
      </c>
      <c r="AM51" s="67"/>
      <c r="AN51" s="25" t="s">
        <v>164</v>
      </c>
      <c r="AO51"/>
      <c r="AP51" s="4"/>
      <c r="AQ51" s="5"/>
      <c r="AR51" s="32"/>
      <c r="AS51" s="4"/>
      <c r="BA51" s="4"/>
      <c r="BB51" s="4"/>
    </row>
    <row r="52" spans="2:54" ht="13">
      <c r="B52" s="99" t="s">
        <v>353</v>
      </c>
      <c r="C52" s="191"/>
      <c r="M52" s="20"/>
      <c r="N52" s="20"/>
      <c r="O52" s="20"/>
      <c r="P52" s="20"/>
      <c r="Q52" s="20"/>
      <c r="R52" s="20"/>
      <c r="S52" s="172">
        <f>IF(classe=3,"",VLOOKUP($AB$2,$AA$88:$CE$94,57))</f>
        <v>3.6195353522389916E-2</v>
      </c>
      <c r="T52" s="18" t="str">
        <f>IF(classe=3,"pas pour classe 3",IF(CE88&lt;=1,"≤ 1.00, ok","non satisfaisante !"))</f>
        <v>≤ 1.00, ok</v>
      </c>
      <c r="U52" s="18"/>
      <c r="Y52" s="190"/>
      <c r="Z52" s="1"/>
      <c r="AA52" s="67" t="s">
        <v>137</v>
      </c>
      <c r="AB52" s="9" t="s">
        <v>131</v>
      </c>
      <c r="AC52" s="36">
        <f>IF(ABS($D$31)&gt;=ABS($D$33), $D$31, $D$33)</f>
        <v>0.3950143711312501</v>
      </c>
      <c r="AD52" s="4" t="s">
        <v>78</v>
      </c>
      <c r="AE52" s="31" t="s">
        <v>129</v>
      </c>
      <c r="AF52" s="40" t="str">
        <f>IF(AC52=0, ,IF(AC56=0, IF(AC53/AC52&lt;=-1, -1, (IF(AC53/AC52&gt;=1, 1, AC53/AC52))), "diagramme 2 ou 3"))</f>
        <v>diagramme 2 ou 3</v>
      </c>
      <c r="AJ52" s="4" t="s">
        <v>148</v>
      </c>
      <c r="AK52" s="267" t="s">
        <v>129</v>
      </c>
      <c r="AL52" s="252">
        <f>IF(AF55="diagramme 1",AF52,IF(AF55="diagramme 3",AF60,AF56))</f>
        <v>1</v>
      </c>
      <c r="AM52" s="67" t="s">
        <v>137</v>
      </c>
      <c r="AN52" s="9" t="s">
        <v>131</v>
      </c>
      <c r="AO52" s="36">
        <f>IF(ABS($AH$42)&gt;=ABS($AH$44), $AH$42, $AH$44)</f>
        <v>0</v>
      </c>
      <c r="AP52" s="4" t="s">
        <v>78</v>
      </c>
      <c r="AQ52" s="31" t="s">
        <v>129</v>
      </c>
      <c r="AR52" s="40">
        <f>IF(AO52=0, ,IF(AO56=0, IF(AO53/AO52&lt;=-1, -1, (IF(AO53/AO52&gt;=1, 1, AO53/AO52))), "diagramme 2 ou 3"))</f>
        <v>0</v>
      </c>
      <c r="AV52" s="4" t="s">
        <v>148</v>
      </c>
      <c r="AW52" s="267" t="s">
        <v>129</v>
      </c>
      <c r="AX52" s="252">
        <f>IF(AR55="diagramme 1",AR52,IF(AR55="diagramme 3",AR60,AR56))</f>
        <v>1</v>
      </c>
      <c r="BA52" s="4"/>
      <c r="BB52" s="4"/>
    </row>
    <row r="53" spans="2:54" ht="13">
      <c r="B53" s="95"/>
      <c r="M53" s="190"/>
      <c r="N53" s="190"/>
      <c r="O53" s="190"/>
      <c r="P53" s="190"/>
      <c r="Q53" s="190"/>
      <c r="R53" s="190"/>
      <c r="S53" s="190"/>
      <c r="T53" s="190"/>
      <c r="U53" s="190"/>
      <c r="V53" s="190"/>
      <c r="W53" s="190"/>
      <c r="X53" s="190"/>
      <c r="Y53" s="190"/>
      <c r="Z53" s="1"/>
      <c r="AA53" s="67"/>
      <c r="AB53" s="31" t="s">
        <v>132</v>
      </c>
      <c r="AC53" s="36">
        <f>IF(ABS($D$31)&lt;ABS($D$33), $D$31, $D$33)</f>
        <v>0.3950143711312501</v>
      </c>
      <c r="AD53" s="4" t="s">
        <v>78</v>
      </c>
      <c r="AE53" s="9"/>
      <c r="AF53" s="38"/>
      <c r="AG53" s="32" t="s">
        <v>130</v>
      </c>
      <c r="AH53" s="40" t="str">
        <f>IF(OR(AF52="diagramme 2 ou 3",ABS(AC56)&gt;0), " - ", IF(0.6+0.4*AF52&gt;=0.4,0.6+0.4*AF52,0.4))</f>
        <v xml:space="preserve"> - </v>
      </c>
      <c r="AI53" s="4"/>
      <c r="AJ53" s="39" t="str">
        <f>IF(AH53&gt;=0.4, AH53, 0.4)</f>
        <v xml:space="preserve"> - </v>
      </c>
      <c r="AK53" s="267" t="str">
        <f>IF(AF55="diagramme 1","",IF(AF55="diagramme 3",AE59,AE55))</f>
        <v>αs=</v>
      </c>
      <c r="AL53" s="49">
        <f>IF(AF55="diagramme 1","",IF(AF55="diagramme 3",AF59,AF55))</f>
        <v>0.5</v>
      </c>
      <c r="AM53" s="67"/>
      <c r="AN53" s="31" t="s">
        <v>132</v>
      </c>
      <c r="AO53" s="36">
        <f>IF(ABS($AH$42)&lt;ABS($AH$44), $AH$42, $AH$44)</f>
        <v>0</v>
      </c>
      <c r="AP53" s="4" t="s">
        <v>78</v>
      </c>
      <c r="AQ53" s="9"/>
      <c r="AR53" s="16"/>
      <c r="AS53" s="32" t="s">
        <v>130</v>
      </c>
      <c r="AT53" s="40" t="str">
        <f>IF(OR(AR52="diagramme 2 ou 3",ABS(AO56)&gt;0), " - ", IF(0.6+0.4*AR52&gt;=0.4,0.6+0.4*AR52,0.4))</f>
        <v xml:space="preserve"> - </v>
      </c>
      <c r="AU53" s="4"/>
      <c r="AV53" s="39" t="str">
        <f>IF(AT53&gt;=0.4, AT53, 0.4)</f>
        <v xml:space="preserve"> - </v>
      </c>
      <c r="AW53" t="str">
        <f>IF(AR55="diagramme 1","",IF(AR55="diagramme 3",AQ59,AQ55))</f>
        <v>αh=</v>
      </c>
      <c r="AX53" s="49">
        <f>IF(AR55="diagramme 1","",IF(AR55="diagramme 3",AR59,AR55))</f>
        <v>0</v>
      </c>
      <c r="BA53" s="4"/>
      <c r="BB53" s="4"/>
    </row>
    <row r="54" spans="2:54" ht="13">
      <c r="B54" s="98" t="s">
        <v>86</v>
      </c>
      <c r="C54" s="24"/>
      <c r="G54" s="173">
        <f>VLOOKUP($AB$2,$AA$88:$CE$94,13)</f>
        <v>0</v>
      </c>
      <c r="H54" s="17" t="str">
        <f>IF(G54&lt;=1,"≤ 1.00, ok","non satisfaisante!")</f>
        <v>≤ 1.00, ok</v>
      </c>
      <c r="I54" s="173"/>
      <c r="M54" s="27" t="s">
        <v>447</v>
      </c>
      <c r="N54" s="27"/>
      <c r="Z54" s="1"/>
      <c r="AA54" s="67"/>
      <c r="AC54" s="36"/>
      <c r="AD54" s="4"/>
      <c r="AE54" s="32"/>
      <c r="AF54" s="35"/>
      <c r="AG54" s="4"/>
      <c r="AH54" s="4"/>
      <c r="AI54" s="4"/>
      <c r="AJ54" s="4"/>
      <c r="AK54" s="4"/>
      <c r="AL54" s="4"/>
      <c r="AM54" s="67"/>
      <c r="AO54" s="36"/>
      <c r="AP54" s="4"/>
      <c r="AQ54" s="32"/>
      <c r="AR54" s="40"/>
      <c r="AS54" s="4"/>
      <c r="AT54" s="4"/>
      <c r="AU54" s="4"/>
      <c r="AV54" s="4"/>
      <c r="AW54" s="4"/>
      <c r="AX54" s="4"/>
      <c r="BA54" s="4"/>
      <c r="BB54" s="4"/>
    </row>
    <row r="55" spans="2:54" ht="13">
      <c r="B55" s="98"/>
      <c r="C55" s="24"/>
      <c r="F55" s="69" t="s">
        <v>382</v>
      </c>
      <c r="G55" s="228">
        <f>G54*$AH$2/SQRT(3)</f>
        <v>0</v>
      </c>
      <c r="H55" s="68" t="s">
        <v>318</v>
      </c>
      <c r="I55" s="70"/>
      <c r="Z55" s="1"/>
      <c r="AA55" s="67" t="s">
        <v>138</v>
      </c>
      <c r="AB55" s="31" t="s">
        <v>133</v>
      </c>
      <c r="AC55" s="36">
        <f>IF(ABS($D$31)&gt;=ABS($D$33), $D$31, $D$33)</f>
        <v>0.3950143711312501</v>
      </c>
      <c r="AD55" s="4" t="s">
        <v>78</v>
      </c>
      <c r="AE55" s="34" t="s">
        <v>141</v>
      </c>
      <c r="AF55" s="40">
        <f>IF(AC56=0, "diagramme 1", IF(OR(ABS(AC55/AC56)&lt;=1,AND(AC55=0, ABS(AC56)&gt;0)),"diagramme 3",AC56/AC55))</f>
        <v>0.5</v>
      </c>
      <c r="AG55" s="4"/>
      <c r="AH55" s="4" t="s">
        <v>146</v>
      </c>
      <c r="AI55" s="4" t="s">
        <v>147</v>
      </c>
      <c r="AJ55" s="4" t="s">
        <v>150</v>
      </c>
      <c r="AK55" s="4" t="s">
        <v>149</v>
      </c>
      <c r="AL55" s="4"/>
      <c r="AM55" s="67" t="s">
        <v>138</v>
      </c>
      <c r="AN55" s="31" t="s">
        <v>133</v>
      </c>
      <c r="AO55" s="36">
        <f>IF(ABS($AH$42)&gt;=ABS($AH$44), $AH$42, $AH$44)</f>
        <v>0</v>
      </c>
      <c r="AP55" s="4" t="s">
        <v>78</v>
      </c>
      <c r="AQ55" s="34" t="s">
        <v>141</v>
      </c>
      <c r="AR55" s="40" t="str">
        <f>IF(AO56=0, "diagramme 1", IF(OR(ABS(AO55/AO56)&lt;=1,AND(AO55=0, ABS(AO56)&gt;0)),"diagramme 3",AO56/AO55))</f>
        <v>diagramme 3</v>
      </c>
      <c r="AS55" s="4"/>
      <c r="AT55" s="4" t="s">
        <v>146</v>
      </c>
      <c r="AU55" s="4" t="s">
        <v>147</v>
      </c>
      <c r="AV55" s="4" t="s">
        <v>150</v>
      </c>
      <c r="AW55" s="4" t="s">
        <v>149</v>
      </c>
      <c r="AX55" s="4"/>
      <c r="BA55" s="4"/>
      <c r="BB55" s="4"/>
    </row>
    <row r="56" spans="2:54" ht="13">
      <c r="B56" s="98" t="s">
        <v>86</v>
      </c>
      <c r="C56" s="24"/>
      <c r="G56" s="173">
        <f>VLOOKUP($AB$2,$AA$88:$CE$94,18)</f>
        <v>0</v>
      </c>
      <c r="H56" s="174" t="str">
        <f>IF(G56&lt;=1,"≤ 1.00, ok","non satisfaisante!")</f>
        <v>≤ 1.00, ok</v>
      </c>
      <c r="I56" s="173"/>
      <c r="M56" s="21" t="s">
        <v>125</v>
      </c>
      <c r="N56" s="21"/>
      <c r="R56" s="15"/>
      <c r="S56" s="15"/>
      <c r="T56" s="15"/>
      <c r="U56" s="15"/>
      <c r="Z56" s="23"/>
      <c r="AA56" s="67"/>
      <c r="AB56" s="31" t="s">
        <v>134</v>
      </c>
      <c r="AC56" s="37">
        <f>$D$32</f>
        <v>0.19750718556562505</v>
      </c>
      <c r="AD56" s="4" t="s">
        <v>78</v>
      </c>
      <c r="AE56" s="31" t="s">
        <v>129</v>
      </c>
      <c r="AF56" s="46">
        <f>AC57/AC55</f>
        <v>1</v>
      </c>
      <c r="AG56" s="31" t="s">
        <v>145</v>
      </c>
      <c r="AH56" s="39">
        <f>IF(OR(AF55="diagramme 1", AF55="diagramme 3"), "-", IF($AF55&gt;=0, 0.2+0.8*$AF55, "-" ))</f>
        <v>0.60000000000000009</v>
      </c>
      <c r="AI56" s="39">
        <f>IF(OR(AF55="diagramme 3", AF55="diagramme 1"), "-", IF($AF55&gt;0, 0.2+0.8*$AF55, "-" ))</f>
        <v>0.60000000000000009</v>
      </c>
      <c r="AJ56" s="39">
        <f>IF(AH56&gt;=0.4, AH56, 0.4)</f>
        <v>0.60000000000000009</v>
      </c>
      <c r="AK56" s="39">
        <f>IF(AI56&gt;=0.4, AI56, 0.4)</f>
        <v>0.60000000000000009</v>
      </c>
      <c r="AL56" s="39"/>
      <c r="AM56" s="67"/>
      <c r="AN56" s="31" t="s">
        <v>134</v>
      </c>
      <c r="AO56" s="37">
        <f>$AH$43</f>
        <v>11</v>
      </c>
      <c r="AP56" s="4" t="s">
        <v>78</v>
      </c>
      <c r="AQ56" s="31" t="s">
        <v>129</v>
      </c>
      <c r="AR56" s="46" t="e">
        <f>AO57/AO55</f>
        <v>#DIV/0!</v>
      </c>
      <c r="AS56" s="31" t="s">
        <v>145</v>
      </c>
      <c r="AT56" s="39" t="str">
        <f>IF(OR(AR55="diagramme 1", AR55="diagramme 3"), "-", IF($AR55&gt;=0, 0.2+0.8*$AR55, "-" ))</f>
        <v>-</v>
      </c>
      <c r="AU56" s="39" t="str">
        <f>IF(OR(AR55="diagramme 3", AR55="diagramme 1"), "-", IF($AR55&gt;0, 0.2+0.8*$AR55, "-" ))</f>
        <v>-</v>
      </c>
      <c r="AV56" s="39" t="str">
        <f>IF(AT56&gt;=0.4, AT56, 0.4)</f>
        <v>-</v>
      </c>
      <c r="AW56" s="39" t="str">
        <f>IF(AU56&gt;=0.4, AU56, 0.4)</f>
        <v>-</v>
      </c>
      <c r="AX56" s="39"/>
      <c r="BA56" s="4"/>
      <c r="BB56" s="4"/>
    </row>
    <row r="57" spans="2:54" ht="13">
      <c r="B57" s="95"/>
      <c r="F57" s="69" t="s">
        <v>383</v>
      </c>
      <c r="G57" s="228">
        <f>G56*$AH$2/SQRT(3)</f>
        <v>0</v>
      </c>
      <c r="H57" s="68" t="s">
        <v>318</v>
      </c>
      <c r="I57" s="70"/>
      <c r="Z57" s="30"/>
      <c r="AA57" s="67"/>
      <c r="AB57" s="31" t="s">
        <v>135</v>
      </c>
      <c r="AC57" s="36">
        <f>IF(ABS($D$31)&lt;ABS($D$33), $D$31, $D$33)</f>
        <v>0.3950143711312501</v>
      </c>
      <c r="AD57" s="4" t="s">
        <v>78</v>
      </c>
      <c r="AE57" s="31"/>
      <c r="AF57" s="46"/>
      <c r="AG57" s="31" t="s">
        <v>144</v>
      </c>
      <c r="AH57" s="39" t="str">
        <f>IF($AF55&lt;0, IF($AF56&gt;=0, 0.1-0.8*$AF55, 0.1*(1-$AF56)-0.8*$AF55), "-")</f>
        <v>-</v>
      </c>
      <c r="AI57" s="39" t="str">
        <f>IF($AF55&lt;0, IF($AF56&gt;=0, -0.8*$AF55, 0.2*(-$AF56)-0.8*$AF55), "-")</f>
        <v>-</v>
      </c>
      <c r="AJ57" s="39" t="str">
        <f>IF(AH57&gt;=0.4, AH57, 0.4)</f>
        <v>-</v>
      </c>
      <c r="AK57" s="39" t="str">
        <f>IF(AI57&gt;=0.4, AI57, 0.4)</f>
        <v>-</v>
      </c>
      <c r="AL57" s="39"/>
      <c r="AM57" s="67"/>
      <c r="AN57" s="31" t="s">
        <v>135</v>
      </c>
      <c r="AO57" s="36">
        <f>IF(ABS($AH$42)&lt;ABS($AH$44), $AH$42, $AH$44)</f>
        <v>0</v>
      </c>
      <c r="AP57" s="4" t="s">
        <v>78</v>
      </c>
      <c r="AQ57" s="31"/>
      <c r="AR57" s="46"/>
      <c r="AS57" s="31" t="s">
        <v>144</v>
      </c>
      <c r="AT57" s="39" t="str">
        <f>IF($AR55&lt;0, IF($AR56&gt;=0, 0.1-0.8*$AR55, 0.1*(1-$AR56)-0.8*$AR55), "-")</f>
        <v>-</v>
      </c>
      <c r="AU57" s="39" t="str">
        <f>IF($AR55&lt;0, IF($AR56&gt;=0, -0.8*$AR55, 0.2*(-$AR56)-0.8*$AR55), "-")</f>
        <v>-</v>
      </c>
      <c r="AV57" s="39" t="str">
        <f>IF(AT57&gt;=0.4, AT57, 0.4)</f>
        <v>-</v>
      </c>
      <c r="AW57" s="39" t="str">
        <f>IF(AU57&gt;=0.4, AU57, 0.4)</f>
        <v>-</v>
      </c>
      <c r="AX57" s="39"/>
      <c r="BA57" s="4"/>
      <c r="BB57" s="4"/>
    </row>
    <row r="58" spans="2:54" ht="13">
      <c r="B58" s="95"/>
      <c r="N58" s="20" t="s">
        <v>100</v>
      </c>
      <c r="O58" s="20"/>
      <c r="P58" s="15">
        <f>PI()*SQRT(E/fy)</f>
        <v>93.9129729381402</v>
      </c>
      <c r="Y58" s="24" t="s">
        <v>97</v>
      </c>
      <c r="Z58" s="1"/>
      <c r="AA58" s="67"/>
      <c r="AB58" s="4"/>
      <c r="AC58" s="5"/>
      <c r="AD58" s="4"/>
      <c r="AE58" s="32"/>
      <c r="AF58" s="46"/>
      <c r="AG58" s="31"/>
      <c r="AH58" s="4"/>
      <c r="AI58" s="4"/>
      <c r="AJ58" s="4"/>
      <c r="AK58" s="4"/>
      <c r="AL58" s="4"/>
      <c r="AM58" s="67"/>
      <c r="AN58" s="4"/>
      <c r="AO58" s="5"/>
      <c r="AP58" s="4"/>
      <c r="AQ58" s="32"/>
      <c r="AR58" s="46"/>
      <c r="AS58" s="31"/>
      <c r="AT58" s="4"/>
      <c r="AU58" s="4"/>
      <c r="AV58" s="4"/>
      <c r="AW58" s="4"/>
      <c r="AX58" s="4"/>
      <c r="BA58" s="4"/>
      <c r="BB58" s="4"/>
    </row>
    <row r="59" spans="2:54" ht="13">
      <c r="B59" s="99" t="s">
        <v>377</v>
      </c>
      <c r="C59" s="191"/>
      <c r="M59" s="26" t="s">
        <v>88</v>
      </c>
      <c r="O59" s="20"/>
      <c r="P59" s="16">
        <f>$G$15*1000/($AC$20*P58)</f>
        <v>2.5470126584295785</v>
      </c>
      <c r="Q59" s="16"/>
      <c r="R59" s="16"/>
      <c r="U59" s="16">
        <f>$G$16*1000/($AC$25*P58)</f>
        <v>7.8593533460112708</v>
      </c>
      <c r="V59" s="16"/>
      <c r="Y59" s="181"/>
      <c r="Z59" s="1"/>
      <c r="AA59" s="6" t="s">
        <v>139</v>
      </c>
      <c r="AB59" s="31" t="s">
        <v>133</v>
      </c>
      <c r="AC59" s="36">
        <f>IF(ABS($D$31)&gt;=ABS($D$33), $D$31, $D$33)</f>
        <v>0.3950143711312501</v>
      </c>
      <c r="AD59" s="4" t="s">
        <v>78</v>
      </c>
      <c r="AE59" s="34" t="s">
        <v>140</v>
      </c>
      <c r="AF59" s="46" t="str">
        <f>IF(AC60=0,"diagramme 1", IF(ABS(AC59/AC60)&gt;1, "diagramme 2", AC59/AC60))</f>
        <v>diagramme 2</v>
      </c>
      <c r="AG59" s="4"/>
      <c r="AH59" s="4" t="s">
        <v>146</v>
      </c>
      <c r="AI59" s="4" t="s">
        <v>147</v>
      </c>
      <c r="AJ59" s="4"/>
      <c r="AK59" s="4"/>
      <c r="AL59" s="4"/>
      <c r="AM59" s="6" t="s">
        <v>139</v>
      </c>
      <c r="AN59" s="31" t="s">
        <v>133</v>
      </c>
      <c r="AO59" s="36">
        <f>IF(ABS($AH$42)&gt;=ABS($AH$44), $AH$42, $AH$44)</f>
        <v>0</v>
      </c>
      <c r="AP59" s="4" t="s">
        <v>78</v>
      </c>
      <c r="AQ59" s="34" t="s">
        <v>140</v>
      </c>
      <c r="AR59" s="46">
        <f>IF(AO60=0,"diagramme 1", IF(ABS(AO59/AO60)&gt;1, "diagramme 2", AO59/AO60))</f>
        <v>0</v>
      </c>
      <c r="AS59" s="4"/>
      <c r="AT59" s="4" t="s">
        <v>146</v>
      </c>
      <c r="AU59" s="4" t="s">
        <v>147</v>
      </c>
      <c r="AV59" s="4"/>
      <c r="AW59" s="4"/>
      <c r="AX59" s="4"/>
      <c r="BA59" s="4"/>
      <c r="BB59" s="4"/>
    </row>
    <row r="60" spans="2:54" ht="13">
      <c r="B60" s="95"/>
      <c r="M60" s="26"/>
      <c r="Y60" s="181"/>
      <c r="Z60" s="1"/>
      <c r="AA60" s="6"/>
      <c r="AB60" s="31" t="s">
        <v>134</v>
      </c>
      <c r="AC60" s="37">
        <f>$D$32</f>
        <v>0.19750718556562505</v>
      </c>
      <c r="AD60" s="4" t="s">
        <v>78</v>
      </c>
      <c r="AE60" s="31" t="s">
        <v>129</v>
      </c>
      <c r="AF60" s="46">
        <f>IF(AND(AC59=0, ABS(AC60)&gt;0),1,AC61/AC59)</f>
        <v>1</v>
      </c>
      <c r="AG60" s="31" t="s">
        <v>145</v>
      </c>
      <c r="AH60" s="42" t="str">
        <f>IF(OR(AF59="diagramme 2", AF59="diagramme 1"), "-",IF($AF59&gt;=0, 0.95+0.05*$AF59, "-" ))</f>
        <v>-</v>
      </c>
      <c r="AI60" s="42" t="str">
        <f>IF(OR(AF59="diagramme 2", AF59="diagramme 1"), "-", IF($AF59&gt;=0, 0.9+0.1*$AF59, "-" ))</f>
        <v>-</v>
      </c>
      <c r="AJ60" s="4"/>
      <c r="AK60" s="4"/>
      <c r="AL60" s="4"/>
      <c r="AM60" s="6"/>
      <c r="AN60" s="31" t="s">
        <v>134</v>
      </c>
      <c r="AO60" s="37">
        <f>$AH$43</f>
        <v>11</v>
      </c>
      <c r="AP60" s="4" t="s">
        <v>78</v>
      </c>
      <c r="AQ60" s="31" t="s">
        <v>129</v>
      </c>
      <c r="AR60" s="46">
        <f>IF(AND(AO59=0, ABS(AO60)&gt;0),1,AO61/AO59)</f>
        <v>1</v>
      </c>
      <c r="AS60" s="31" t="s">
        <v>145</v>
      </c>
      <c r="AT60" s="42">
        <f>IF(OR(AR59="diagramme 2", AR59="diagramme 1"), "-",IF($AR59&gt;=0, 0.95+0.05*$AR59, "-" ))</f>
        <v>0.95</v>
      </c>
      <c r="AU60" s="42">
        <f>IF(OR(AR59="diagramme 2", AR59="diagramme 1"), "-", IF($AR59&gt;=0, 0.9+0.1*$AR59, "-" ))</f>
        <v>0.9</v>
      </c>
      <c r="AV60" s="4"/>
      <c r="AW60" s="4"/>
      <c r="AX60" s="4"/>
      <c r="BA60" s="4"/>
      <c r="BB60" s="4"/>
    </row>
    <row r="61" spans="2:54" ht="13">
      <c r="B61" s="98" t="s">
        <v>168</v>
      </c>
      <c r="C61" s="24"/>
      <c r="D61" t="str">
        <f>IF(P23/W7&lt;0.5,"Vz,Ed &lt; 0.5 Vz,Rd : effet sur My,Rd négligable","Vz,Ed &gt; 0.5 Vz,Rd : réduire My,Rd")</f>
        <v>Vz,Ed &lt; 0.5 Vz,Rd : effet sur My,Rd négligable</v>
      </c>
      <c r="M61" s="26" t="s">
        <v>90</v>
      </c>
      <c r="N61" s="20" t="s">
        <v>101</v>
      </c>
      <c r="O61" s="20"/>
      <c r="P61" s="9">
        <f>VLOOKUP($X$4, $AB$42:$AC$46, 2)</f>
        <v>0.21</v>
      </c>
      <c r="Q61" s="9"/>
      <c r="R61" s="9"/>
      <c r="S61" s="20" t="s">
        <v>105</v>
      </c>
      <c r="U61" s="9">
        <f>VLOOKUP($X$5, $AB$42:$AC$46, 2)</f>
        <v>0.34</v>
      </c>
      <c r="V61" s="9"/>
      <c r="Y61" s="24" t="s">
        <v>98</v>
      </c>
      <c r="Z61" s="1"/>
      <c r="AA61" s="6"/>
      <c r="AB61" s="31" t="s">
        <v>135</v>
      </c>
      <c r="AC61" s="36">
        <f>IF(ABS($D$31)&lt;ABS($D$33), $D$31, $D$33)</f>
        <v>0.3950143711312501</v>
      </c>
      <c r="AD61" s="4" t="s">
        <v>78</v>
      </c>
      <c r="AE61" s="31"/>
      <c r="AF61" s="40"/>
      <c r="AG61" s="31" t="s">
        <v>144</v>
      </c>
      <c r="AH61" s="39" t="str">
        <f>IF($AF59&lt;0, IF($AF60&gt;=0, 0.95+0.05*$AF59, 0.95+0.05*AF59*(1+2*$AF60)), "-")</f>
        <v>-</v>
      </c>
      <c r="AI61" s="39" t="str">
        <f>IF($AF59&lt;0, IF($AF60&gt;=0, 0.95+0.1*$AF59, 0.95-0.1*$AF59*(1+2*$AF60)), "-")</f>
        <v>-</v>
      </c>
      <c r="AJ61" s="4"/>
      <c r="AK61" s="4"/>
      <c r="AL61" s="4"/>
      <c r="AM61" s="6"/>
      <c r="AN61" s="31" t="s">
        <v>135</v>
      </c>
      <c r="AO61" s="36">
        <f>IF(ABS($AH$42)&lt;ABS($AH$44), $AH$42, $AH$44)</f>
        <v>0</v>
      </c>
      <c r="AP61" s="4" t="s">
        <v>78</v>
      </c>
      <c r="AQ61" s="31"/>
      <c r="AR61" s="35"/>
      <c r="AS61" s="31" t="s">
        <v>144</v>
      </c>
      <c r="AT61" s="39" t="str">
        <f>IF($AR59&lt;0, IF($AR60&gt;=0, 0.95+0.05*$AR59, 0.95+0.05*AR59*(1+2*$AR60)), "-")</f>
        <v>-</v>
      </c>
      <c r="AU61" s="39" t="str">
        <f>IF($AR59&lt;0, IF($AR60&gt;=0, 0.95+0.1*$AR59, 0.95-0.1*$AR59*(1+2*$AR60)), "-")</f>
        <v>-</v>
      </c>
      <c r="AV61" s="4"/>
      <c r="AW61" s="4"/>
      <c r="AX61" s="4"/>
      <c r="BA61" s="4"/>
      <c r="BB61" s="4"/>
    </row>
    <row r="62" spans="2:54" ht="13">
      <c r="B62" s="95"/>
      <c r="M62" s="26"/>
      <c r="N62" s="20" t="s">
        <v>102</v>
      </c>
      <c r="O62" s="20"/>
      <c r="P62" s="22">
        <f>0.5*(1+P61*(P59-0.2)+P59^2)</f>
        <v>3.9900730702353604</v>
      </c>
      <c r="Q62" s="22"/>
      <c r="R62" s="22"/>
      <c r="S62" s="20" t="s">
        <v>106</v>
      </c>
      <c r="U62" s="22">
        <f>0.5*(1+U61*(U59-0.2)+U59^2)</f>
        <v>32.686807577551193</v>
      </c>
      <c r="V62" s="22"/>
      <c r="Y62" s="181"/>
      <c r="Z62" s="1"/>
      <c r="AA62" s="6"/>
      <c r="AB62" s="4"/>
      <c r="AC62" s="4"/>
      <c r="AD62" s="5"/>
      <c r="AE62" s="5"/>
      <c r="AF62" s="31"/>
      <c r="AG62" s="4"/>
      <c r="AH62" s="4"/>
      <c r="AI62" s="4"/>
      <c r="AJ62" s="4"/>
      <c r="AK62" s="4"/>
      <c r="AL62" s="4"/>
      <c r="AM62" s="65"/>
      <c r="AN62" s="65"/>
      <c r="BA62" s="4"/>
      <c r="BB62" s="4"/>
    </row>
    <row r="63" spans="2:54" ht="15.5">
      <c r="B63" s="98" t="s">
        <v>128</v>
      </c>
      <c r="C63" s="24"/>
      <c r="G63" s="104">
        <f>VLOOKUP($AB$2,$AA$88:$CE$94,25)</f>
        <v>0</v>
      </c>
      <c r="M63" s="26" t="s">
        <v>89</v>
      </c>
      <c r="N63" s="19" t="s">
        <v>103</v>
      </c>
      <c r="O63" s="19"/>
      <c r="P63" s="16">
        <f>IF(1/(P62+SQRT(P62^2-P59^2))&lt;=1, 1/(P62+SQRT(P62^2-P59^2)),1)</f>
        <v>0.14161380019894054</v>
      </c>
      <c r="Q63" s="16"/>
      <c r="R63" s="16"/>
      <c r="S63" s="19" t="s">
        <v>107</v>
      </c>
      <c r="U63" s="16">
        <f>IF(1/(U62+SQRT(U62^2-U59^2))&lt;=1, 1/(U62+SQRT(U62^2-U59^2)),1)</f>
        <v>1.5524411264933403E-2</v>
      </c>
      <c r="V63" s="16"/>
      <c r="Y63" s="181"/>
      <c r="Z63" s="1"/>
      <c r="AA63" s="67"/>
      <c r="AB63" s="33" t="s">
        <v>483</v>
      </c>
      <c r="AC63" s="4"/>
      <c r="AD63" s="4"/>
      <c r="AE63" s="5"/>
      <c r="AF63" s="48"/>
      <c r="AG63" s="49"/>
      <c r="AH63" s="4"/>
      <c r="AI63" s="4"/>
      <c r="AJ63" s="4"/>
      <c r="AK63" s="4"/>
      <c r="AL63" s="4"/>
      <c r="AM63" s="65"/>
      <c r="AN63" s="65"/>
      <c r="BA63" s="4"/>
      <c r="BB63" s="4"/>
    </row>
    <row r="64" spans="2:54" ht="13">
      <c r="B64" s="95"/>
      <c r="M64" s="26"/>
      <c r="P64" s="9"/>
      <c r="Q64" s="9"/>
      <c r="R64" s="9"/>
      <c r="Y64" s="181"/>
      <c r="Z64" s="1"/>
      <c r="AA64" s="67"/>
      <c r="AB64" s="25" t="s">
        <v>164</v>
      </c>
      <c r="AD64" s="4"/>
      <c r="AE64" s="5"/>
      <c r="AF64" s="32"/>
      <c r="AG64" s="4"/>
      <c r="AH64" s="4"/>
      <c r="AI64" s="4"/>
      <c r="AK64" s="43" t="s">
        <v>143</v>
      </c>
      <c r="AL64" s="49">
        <f>IF($P$35="N", 0.9, IF($P$35="C", MAX(AJ66,AK69,AK70,AI73,AI74), MAX(AJ66,AH74,AJ70,AJ69,AH73)))</f>
        <v>0.6</v>
      </c>
      <c r="AN64" s="49"/>
      <c r="BA64" s="4"/>
      <c r="BB64" s="4"/>
    </row>
    <row r="65" spans="2:54" ht="13">
      <c r="B65" s="95"/>
      <c r="D65" s="87" t="s">
        <v>359</v>
      </c>
      <c r="E65" s="87"/>
      <c r="F65" s="87"/>
      <c r="G65" s="226">
        <f>IF(classe=3,VLOOKUP($AB$2,$AA$88:$CE$94,28),VLOOKUP($AB$2,$AA$88:$CE$94,26))</f>
        <v>5.4566999999999997</v>
      </c>
      <c r="H65" t="s">
        <v>78</v>
      </c>
      <c r="I65" s="15"/>
      <c r="M65" s="26" t="s">
        <v>113</v>
      </c>
      <c r="N65" t="s">
        <v>233</v>
      </c>
      <c r="P65" s="28">
        <f>P63*A*fy/($W$14*1000)</f>
        <v>25.425341687717783</v>
      </c>
      <c r="Q65" t="s">
        <v>77</v>
      </c>
      <c r="S65" t="s">
        <v>104</v>
      </c>
      <c r="U65" s="28">
        <f>U63*A*fy/($W$14*1000)</f>
        <v>2.7872527985061435</v>
      </c>
      <c r="V65" t="s">
        <v>77</v>
      </c>
      <c r="Y65" s="24" t="s">
        <v>99</v>
      </c>
      <c r="Z65" s="1"/>
      <c r="AA65" s="67" t="s">
        <v>137</v>
      </c>
      <c r="AB65" s="9" t="s">
        <v>131</v>
      </c>
      <c r="AC65" s="36">
        <f>IF(ABS($D$35)&gt;=ABS($D$37), $D$35, $D$37)</f>
        <v>0</v>
      </c>
      <c r="AD65" s="4" t="s">
        <v>78</v>
      </c>
      <c r="AE65" s="31" t="s">
        <v>129</v>
      </c>
      <c r="AF65" s="40">
        <f>IF(AC65=0, ,IF(AC69=0, IF(AC66/AC65&lt;=-1, -1, (IF(AC66/AC65&gt;=1, 1, AC66/AC65))), "diagramme 2 ou 3"))</f>
        <v>0</v>
      </c>
      <c r="AJ65" s="4" t="s">
        <v>148</v>
      </c>
      <c r="AK65" s="267" t="s">
        <v>129</v>
      </c>
      <c r="AL65" s="252">
        <f>IF(AF68="diagramme 1",AF65,IF(AF68="diagramme 3",AF73,AF69))</f>
        <v>0</v>
      </c>
      <c r="AM65" s="17"/>
      <c r="AN65" s="17"/>
      <c r="BA65" s="4"/>
      <c r="BB65" s="4"/>
    </row>
    <row r="66" spans="2:54" ht="13">
      <c r="B66" s="95"/>
      <c r="G66" s="15"/>
      <c r="I66" s="15"/>
      <c r="M66" s="17"/>
      <c r="N66" s="17"/>
      <c r="Y66" s="181"/>
      <c r="Z66" s="1"/>
      <c r="AA66" s="67"/>
      <c r="AB66" s="31" t="s">
        <v>132</v>
      </c>
      <c r="AC66" s="36">
        <f>IF(ABS($D$35)&lt;ABS($D$37), $D$35, $D$37)</f>
        <v>0</v>
      </c>
      <c r="AD66" s="4" t="s">
        <v>78</v>
      </c>
      <c r="AE66" s="9"/>
      <c r="AF66" s="16"/>
      <c r="AG66" s="32" t="s">
        <v>130</v>
      </c>
      <c r="AH66" s="40">
        <f>IF(OR(AF65="diagramme 2 ou 3",ABS(AC69)&gt;0), " - ", IF(0.6+0.4*AF65&gt;=0.4,0.6+0.4*AF65,0.4))</f>
        <v>0.6</v>
      </c>
      <c r="AI66" s="4"/>
      <c r="AJ66" s="39">
        <f>IF(AH66&gt;=0.4, AH66, 0.4)</f>
        <v>0.6</v>
      </c>
      <c r="AK66" s="267" t="str">
        <f>IF(AF68="diagramme 1","",IF(AF68="diagramme 3",AE72,AE68))</f>
        <v/>
      </c>
      <c r="AL66" s="49" t="str">
        <f>IF(AF68="diagramme 1","",IF(AF68="diagramme 3",AF72,AF68))</f>
        <v/>
      </c>
      <c r="AM66" s="4"/>
      <c r="AN66" s="4"/>
      <c r="BA66" s="4"/>
      <c r="BB66" s="4"/>
    </row>
    <row r="67" spans="2:54" ht="13">
      <c r="B67" s="95"/>
      <c r="G67" s="173">
        <f>VLOOKUP($AB$2,$AA$88:$CE$94,29)</f>
        <v>3.6195353522389916E-2</v>
      </c>
      <c r="H67" s="17" t="str">
        <f>IF(BC88&lt;=1,"≤ 1.00, ok","non satisfaisante!")</f>
        <v>≤ 1.00, ok</v>
      </c>
      <c r="M67" s="26" t="s">
        <v>96</v>
      </c>
      <c r="N67" s="26"/>
      <c r="P67" s="172">
        <f>IF($P$22&lt;=0, ABS($P$22/MIN(P65,U65)), "N &gt;0, ok")</f>
        <v>0</v>
      </c>
      <c r="Q67" s="20" t="str">
        <f>IF(P67&lt;=1," ≤1.00, ok", IF(P67="N &gt;0, ok","","non satisfait"))</f>
        <v xml:space="preserve"> ≤1.00, ok</v>
      </c>
      <c r="R67" s="20"/>
      <c r="T67" s="20"/>
      <c r="U67" s="20"/>
      <c r="Y67" s="181"/>
      <c r="Z67" s="1"/>
      <c r="AA67" s="67"/>
      <c r="AC67" s="36"/>
      <c r="AD67" s="4"/>
      <c r="AE67" s="32"/>
      <c r="AF67" s="40"/>
      <c r="AG67" s="4"/>
      <c r="AH67" s="4"/>
      <c r="AI67" s="4"/>
      <c r="AJ67" s="4"/>
      <c r="AK67" s="4"/>
      <c r="AL67" s="4"/>
      <c r="AM67" s="4"/>
      <c r="AN67" s="4"/>
      <c r="BA67" s="4"/>
      <c r="BB67" s="4"/>
    </row>
    <row r="68" spans="2:54" ht="13">
      <c r="B68" s="95"/>
      <c r="Y68" s="181"/>
      <c r="Z68" s="1"/>
      <c r="AA68" s="67" t="s">
        <v>138</v>
      </c>
      <c r="AB68" s="31" t="s">
        <v>133</v>
      </c>
      <c r="AC68" s="36">
        <f>IF(ABS($D$35)&gt;=ABS($D$37), $D$35, $D$37)</f>
        <v>0</v>
      </c>
      <c r="AD68" s="4" t="s">
        <v>78</v>
      </c>
      <c r="AE68" s="34" t="s">
        <v>141</v>
      </c>
      <c r="AF68" s="40" t="str">
        <f>IF(AC69=0, "diagramme 1", IF(OR(ABS(AC68/AC69)&lt;=1,AND(AC68=0, ABS(AC69)&gt;0)),"diagramme 3",AC69/AC68))</f>
        <v>diagramme 1</v>
      </c>
      <c r="AG68" s="4"/>
      <c r="AH68" s="4" t="s">
        <v>146</v>
      </c>
      <c r="AI68" s="4" t="s">
        <v>147</v>
      </c>
      <c r="AJ68" s="4" t="s">
        <v>150</v>
      </c>
      <c r="AK68" s="4" t="s">
        <v>149</v>
      </c>
      <c r="AL68" s="4"/>
      <c r="AM68" s="4"/>
      <c r="AN68" s="4"/>
      <c r="BA68" s="4"/>
      <c r="BB68" s="4"/>
    </row>
    <row r="69" spans="2:54" ht="13">
      <c r="B69" s="98" t="s">
        <v>168</v>
      </c>
      <c r="C69" s="24"/>
      <c r="D69" t="str">
        <f>IF(P24/W8&lt;0.5,"Vy,Ed &lt; 0.50 Vy,Rd : effet sur Mz,Rd négligable","Vy,Ed &gt; 0.50 Vy,Rd : réduire Mz,Rd")</f>
        <v>Vy,Ed &lt; 0.50 Vy,Rd : effet sur Mz,Rd négligable</v>
      </c>
      <c r="M69" s="21" t="s">
        <v>210</v>
      </c>
      <c r="N69" s="21"/>
      <c r="Y69" s="24"/>
      <c r="Z69" s="1"/>
      <c r="AA69" s="67"/>
      <c r="AB69" s="31" t="s">
        <v>134</v>
      </c>
      <c r="AC69" s="37">
        <f>$D$36</f>
        <v>0</v>
      </c>
      <c r="AD69" s="4" t="s">
        <v>78</v>
      </c>
      <c r="AE69" s="31" t="s">
        <v>129</v>
      </c>
      <c r="AF69" s="46" t="e">
        <f>AC70/AC68</f>
        <v>#DIV/0!</v>
      </c>
      <c r="AG69" s="31" t="s">
        <v>145</v>
      </c>
      <c r="AH69" s="39" t="str">
        <f>IF(OR(AF68="diagramme 1", AF68="diagramme 3"), "-", IF($AF68&gt;=0, 0.2+0.8*$AF68, "-" ))</f>
        <v>-</v>
      </c>
      <c r="AI69" s="39" t="str">
        <f>IF(OR(AF68="diagramme 3", AF68="diagramme 1"), "-", IF($AF68&gt;0, 0.2+0.8*$AF68, "-" ))</f>
        <v>-</v>
      </c>
      <c r="AJ69" s="39" t="str">
        <f>IF(AH69&gt;=0.4, AH69, 0.4)</f>
        <v>-</v>
      </c>
      <c r="AK69" s="39" t="str">
        <f>IF(AI69&gt;=0.4, AI69, 0.4)</f>
        <v>-</v>
      </c>
      <c r="AL69" s="39"/>
      <c r="AM69" s="4"/>
      <c r="AN69" s="4"/>
      <c r="BA69" s="4"/>
      <c r="BB69" s="4"/>
    </row>
    <row r="70" spans="2:54" ht="13">
      <c r="B70" s="95"/>
      <c r="M70" s="25"/>
      <c r="N70" s="25"/>
      <c r="Y70" s="181"/>
      <c r="Z70" s="1"/>
      <c r="AA70" s="67"/>
      <c r="AB70" s="31" t="s">
        <v>135</v>
      </c>
      <c r="AC70" s="36">
        <f>IF(ABS($D$35)&lt;ABS($D$37), $D$35, $D$37)</f>
        <v>0</v>
      </c>
      <c r="AD70" s="4" t="s">
        <v>78</v>
      </c>
      <c r="AE70" s="31"/>
      <c r="AF70" s="46"/>
      <c r="AG70" s="31" t="s">
        <v>144</v>
      </c>
      <c r="AH70" s="39" t="str">
        <f>IF($AF68&lt;0, IF($AF69&gt;=0, 0.1-0.8*$AF68, 0.1*(1-$AF69)-0.8*$AF68), "-")</f>
        <v>-</v>
      </c>
      <c r="AI70" s="39" t="str">
        <f>IF($AF68&lt;0, IF($AF69&gt;=0, -0.8*$AF68, 0.2*(-$AF69)-0.8*$AF68), "-")</f>
        <v>-</v>
      </c>
      <c r="AJ70" s="39" t="str">
        <f>IF(AH70&gt;=0.4, AH70, 0.4)</f>
        <v>-</v>
      </c>
      <c r="AK70" s="39" t="str">
        <f>IF(AI70&gt;=0.4, AI70, 0.4)</f>
        <v>-</v>
      </c>
      <c r="AL70" s="39"/>
      <c r="AM70" s="4"/>
      <c r="AN70" s="4"/>
      <c r="BA70" s="4"/>
      <c r="BB70" s="4"/>
    </row>
    <row r="71" spans="2:54" ht="13">
      <c r="B71" s="98" t="s">
        <v>128</v>
      </c>
      <c r="C71" s="24"/>
      <c r="G71" s="104">
        <f>VLOOKUP($AB$2,$AA$88:$CE$94,31)</f>
        <v>0</v>
      </c>
      <c r="H71" s="16"/>
      <c r="I71" s="16"/>
      <c r="M71" s="24" t="s">
        <v>115</v>
      </c>
      <c r="N71" s="314" t="s">
        <v>517</v>
      </c>
      <c r="Q71" s="9" t="str">
        <f>IF(h/b&lt;=2, "a", "b")</f>
        <v>a</v>
      </c>
      <c r="S71" s="20" t="s">
        <v>117</v>
      </c>
      <c r="U71" s="9">
        <f>VLOOKUP(Q71, AB42:AC46, 2)</f>
        <v>0.21</v>
      </c>
      <c r="X71" s="9"/>
      <c r="Y71" s="24" t="s">
        <v>114</v>
      </c>
      <c r="Z71" s="1"/>
      <c r="AA71" s="67"/>
      <c r="AB71" s="4"/>
      <c r="AC71" s="5"/>
      <c r="AD71" s="4"/>
      <c r="AE71" s="32"/>
      <c r="AF71" s="46"/>
      <c r="AG71" s="31"/>
      <c r="AH71" s="4"/>
      <c r="AI71" s="4"/>
      <c r="AJ71" s="4"/>
      <c r="AK71" s="4"/>
      <c r="AL71" s="4"/>
      <c r="AM71" s="4"/>
      <c r="AN71" s="4"/>
      <c r="BA71" s="4"/>
      <c r="BB71" s="4"/>
    </row>
    <row r="72" spans="2:54" ht="13">
      <c r="B72" s="95"/>
      <c r="O72" s="24"/>
      <c r="P72" s="24"/>
      <c r="Z72" s="1"/>
      <c r="AA72" s="6" t="s">
        <v>139</v>
      </c>
      <c r="AB72" s="31" t="s">
        <v>133</v>
      </c>
      <c r="AC72" s="36">
        <f>IF(ABS($D$35)&gt;=ABS($D$37), $D$35, $D$37)</f>
        <v>0</v>
      </c>
      <c r="AD72" s="4" t="s">
        <v>78</v>
      </c>
      <c r="AE72" s="34" t="s">
        <v>140</v>
      </c>
      <c r="AF72" s="46" t="str">
        <f>IF(AC73=0,"diagramme 1", IF(ABS(AC72/AC73)&gt;1, "diagramme 2", AC72/AC73))</f>
        <v>diagramme 1</v>
      </c>
      <c r="AG72" s="4"/>
      <c r="AH72" s="4" t="s">
        <v>146</v>
      </c>
      <c r="AI72" s="4" t="s">
        <v>147</v>
      </c>
      <c r="AJ72" s="4"/>
      <c r="AK72" s="4"/>
      <c r="AL72" s="4"/>
      <c r="AM72" s="4"/>
      <c r="AN72" s="4"/>
      <c r="BA72" s="4"/>
      <c r="BB72" s="4"/>
    </row>
    <row r="73" spans="2:54" ht="13">
      <c r="B73" s="95"/>
      <c r="D73" s="87" t="s">
        <v>372</v>
      </c>
      <c r="E73" s="87"/>
      <c r="F73" s="87"/>
      <c r="G73" s="226">
        <f>IF(classe=3,VLOOKUP($AB$2,$AA$88:$CE$94,34),VLOOKUP($AB$2,$AA$88:$CE$94,32))</f>
        <v>1.3676999999999999</v>
      </c>
      <c r="H73" t="s">
        <v>78</v>
      </c>
      <c r="I73" s="15"/>
      <c r="M73" s="24" t="s">
        <v>443</v>
      </c>
      <c r="N73" s="24"/>
      <c r="V73" s="47"/>
      <c r="W73" s="28">
        <f>0.000001*P32*PI()^2*E*Iz/(k*G17*1000)^2*(((k/kw)^2*Iw/Iz+((k*G17*1000)^2*G*It)/(PI()^2*E*Iz)+(P33*zg)^2)^0.5-P33*zg)</f>
        <v>2.6856699978886405</v>
      </c>
      <c r="X73" t="s">
        <v>78</v>
      </c>
      <c r="Z73" s="1"/>
      <c r="AA73" s="6"/>
      <c r="AB73" s="31" t="s">
        <v>134</v>
      </c>
      <c r="AC73" s="37">
        <f>$D$36</f>
        <v>0</v>
      </c>
      <c r="AD73" s="4" t="s">
        <v>78</v>
      </c>
      <c r="AE73" s="31" t="s">
        <v>129</v>
      </c>
      <c r="AF73" s="46" t="e">
        <f>IF(AND(AC72=0, ABS(AC73)&gt;0),1,AC74/AC72)</f>
        <v>#DIV/0!</v>
      </c>
      <c r="AG73" s="31" t="s">
        <v>145</v>
      </c>
      <c r="AH73" s="42" t="str">
        <f>IF(OR(AF72="diagramme 2", AF72="diagramme 1"), "-",IF($AF72&gt;=0, 0.95+0.05*$AF72, "-" ))</f>
        <v>-</v>
      </c>
      <c r="AI73" s="42" t="str">
        <f>IF(OR(AF72="diagramme 2", AF72="diagramme 1"), "-", IF($AF72&gt;=0, 0.9+0.1*$AF72, "-" ))</f>
        <v>-</v>
      </c>
      <c r="AJ73" s="4"/>
      <c r="AK73" s="4"/>
      <c r="AL73" s="4"/>
      <c r="AM73" s="4"/>
      <c r="AN73" s="4"/>
      <c r="BA73" s="4"/>
      <c r="BB73" s="4"/>
    </row>
    <row r="74" spans="2:54" ht="13">
      <c r="B74" s="95"/>
      <c r="G74" s="15"/>
      <c r="I74" s="15"/>
      <c r="Z74" s="1"/>
      <c r="AA74" s="6"/>
      <c r="AB74" s="31" t="s">
        <v>135</v>
      </c>
      <c r="AC74" s="36">
        <f>IF(ABS($D$35)&lt;ABS($D$37), $D$35, $D$37)</f>
        <v>0</v>
      </c>
      <c r="AD74" s="4" t="s">
        <v>78</v>
      </c>
      <c r="AE74" s="31"/>
      <c r="AF74" s="35"/>
      <c r="AG74" s="31" t="s">
        <v>144</v>
      </c>
      <c r="AH74" s="39" t="str">
        <f>IF($AF72&lt;0, IF($AF73&gt;=0, 0.95+0.05*$AF72, 0.95+0.05*AF72*(1+2*$AF73)), "-")</f>
        <v>-</v>
      </c>
      <c r="AI74" s="39" t="str">
        <f>IF($AF72&lt;0, IF($AF73&gt;=0, 0.95+0.1*$AF72, 0.95-0.1*$AF72*(1+2*$AF73)), "-")</f>
        <v>-</v>
      </c>
      <c r="AJ74" s="4"/>
      <c r="AK74" s="4"/>
      <c r="AL74" s="4"/>
      <c r="AM74" s="4"/>
      <c r="AN74" s="4"/>
      <c r="BA74" s="4"/>
      <c r="BB74" s="4"/>
    </row>
    <row r="75" spans="2:54" ht="13">
      <c r="B75" s="95"/>
      <c r="G75" s="173">
        <f>VLOOKUP($AB$2,$AA$88:$CE$94,35)</f>
        <v>0</v>
      </c>
      <c r="H75" s="17" t="str">
        <f>IF(G75&lt;=1,"≤ 1.00, ok","non satisfaisante!")</f>
        <v>≤ 1.00, ok</v>
      </c>
      <c r="I75" s="173"/>
      <c r="Z75" s="1"/>
      <c r="AA75" s="6"/>
      <c r="AB75" s="31"/>
      <c r="AC75" s="36"/>
      <c r="AD75" s="4"/>
      <c r="AE75" s="31"/>
      <c r="AF75" s="35"/>
      <c r="AG75" s="31"/>
      <c r="AH75" s="39"/>
      <c r="AI75" s="39"/>
      <c r="AJ75" s="4"/>
      <c r="AK75" s="4"/>
      <c r="AL75" s="4"/>
      <c r="AM75" s="4"/>
      <c r="AN75" s="4"/>
      <c r="BA75" s="4"/>
      <c r="BB75" s="4"/>
    </row>
    <row r="76" spans="2:54" ht="13">
      <c r="B76" s="95"/>
      <c r="P76" s="20"/>
      <c r="S76" s="16">
        <f>IF(classe=3,SQRT((Wyel*fy)/(Mcr*1000000)),SQRT((Wypl*fy)/(Mcr*1000000)))</f>
        <v>1.4254064348144286</v>
      </c>
      <c r="Z76" s="1"/>
      <c r="AB76" s="21" t="s">
        <v>165</v>
      </c>
      <c r="AG76" s="21" t="s">
        <v>163</v>
      </c>
      <c r="AH76" s="257" t="str">
        <f>IF(OR(AB2=1,AB2=2,AB2=3,AB2=4),"H I","Creux")</f>
        <v>H I</v>
      </c>
      <c r="AJ76" t="s">
        <v>513</v>
      </c>
      <c r="AL76" s="263"/>
      <c r="AM76" s="261"/>
      <c r="AN76" t="s">
        <v>350</v>
      </c>
    </row>
    <row r="77" spans="2:54">
      <c r="B77" s="95"/>
      <c r="Z77" s="1"/>
      <c r="AB77" s="128" t="s">
        <v>152</v>
      </c>
      <c r="AC77" s="9" t="s">
        <v>153</v>
      </c>
      <c r="AD77" s="119"/>
      <c r="AE77" s="88" t="s">
        <v>156</v>
      </c>
      <c r="AF77" s="88"/>
      <c r="AG77" s="258" t="s">
        <v>155</v>
      </c>
      <c r="AH77" s="88"/>
    </row>
    <row r="78" spans="2:54" ht="13">
      <c r="B78" s="99" t="s">
        <v>354</v>
      </c>
      <c r="C78" s="191"/>
      <c r="P78" s="20"/>
      <c r="S78" s="16">
        <f>0.5*(1+U71*(S76-0.2)+S76^2)</f>
        <v>1.644559427860705</v>
      </c>
      <c r="Z78" s="1"/>
      <c r="AA78" s="67" t="s">
        <v>151</v>
      </c>
      <c r="AB78" s="44">
        <f>IF($AL$51*(1+($P$59-0.2)*ABS($P$22)/($P$63*$W$6/$W$14))&lt;=$AL$51*(1+0.8*$P$59*ABS($P$22)/($P$63*$W$6/$W$14)),$AL$51*(1+($P$59-0.2)*ABS($P$22)/($P$63*$W$6/$W$14)),$AL$51*(1+0.8*ABS($P$22)/($P$63*$W$6/$W$14)))</f>
        <v>0.60000000000000009</v>
      </c>
      <c r="AC78" s="44">
        <f>IF($AL$51*(1+0.6*$P$59*ABS($P$22)/($P$63*$W$6/$W$14))&lt;=$AL$51*(1+0.6*ABS($P$22)/($P$63*$W$6/$W$14)),$AL$51*(1+0.6*$P$59*ABS($P$22)/($P$63*$W$6/$W$14)),$AL$51*(1+0.6*ABS($P$22)/($P$63*$W$6/$W$14)))</f>
        <v>0.60000000000000009</v>
      </c>
      <c r="AE78" s="259" t="s">
        <v>471</v>
      </c>
      <c r="AF78" s="25" t="s">
        <v>472</v>
      </c>
      <c r="AG78" s="259" t="s">
        <v>469</v>
      </c>
      <c r="AH78" s="25" t="s">
        <v>467</v>
      </c>
      <c r="AL78" s="47" t="s">
        <v>136</v>
      </c>
      <c r="AM78" s="262">
        <f>(1-(0.1*U59*ABS(P22))/((AI48-0.25)*U63*W6/W14))</f>
        <v>1</v>
      </c>
      <c r="AP78" s="47" t="s">
        <v>136</v>
      </c>
      <c r="AQ78" s="262">
        <f>(1-(0.05*U59*ABS(P22))/((AI48-0.25)*U63*W6/W14))</f>
        <v>1</v>
      </c>
      <c r="AR78" s="47"/>
    </row>
    <row r="79" spans="2:54" ht="13.5" thickBot="1">
      <c r="B79" s="95"/>
      <c r="Z79" s="1"/>
      <c r="AA79" s="67" t="s">
        <v>154</v>
      </c>
      <c r="AB79" s="44">
        <f>0.6*AB81</f>
        <v>0.36</v>
      </c>
      <c r="AC79" s="44">
        <f>AC81</f>
        <v>0.6</v>
      </c>
      <c r="AD79" s="256"/>
      <c r="AE79" s="265"/>
      <c r="AF79" s="266"/>
      <c r="AG79" s="265" t="s">
        <v>468</v>
      </c>
      <c r="AH79" s="266" t="s">
        <v>468</v>
      </c>
      <c r="AQ79" s="262"/>
    </row>
    <row r="80" spans="2:54" ht="15.5">
      <c r="B80" s="98" t="s">
        <v>215</v>
      </c>
      <c r="C80" s="24"/>
      <c r="G80" s="104">
        <f>VLOOKUP($AB$2,$AA$88:$CE$94,36)</f>
        <v>0</v>
      </c>
      <c r="H80" s="16"/>
      <c r="I80" s="16"/>
      <c r="M80" s="24" t="s">
        <v>120</v>
      </c>
      <c r="P80" s="19"/>
      <c r="S80" s="16">
        <f>IF(AB2=5,1,IF((S78+SQRT(S78^2-S76^2))^-1&lt;=1, (S78+SQRT(S78^2-S76^2))^-1, 1))</f>
        <v>0.40571267071946027</v>
      </c>
      <c r="T80" s="3" t="s">
        <v>376</v>
      </c>
      <c r="U80" s="3"/>
      <c r="Z80" s="1"/>
      <c r="AA80" s="67" t="s">
        <v>155</v>
      </c>
      <c r="AB80" s="44">
        <f>IF(P36="non",AG80,AH80)</f>
        <v>1</v>
      </c>
      <c r="AC80" s="44">
        <f>IF(P36="non",AG81,AH81)</f>
        <v>1</v>
      </c>
      <c r="AD80" s="260" t="s">
        <v>152</v>
      </c>
      <c r="AE80" s="255">
        <f>IF($AL$64*(1+(2*$U$59-0.6)*ABS($P$22)/($U$63*$W$6/$W$14))&lt;=$AL$64*(1+1.4*ABS($P$22)/($U$63*$W$6/$W$14)),$AL$64*(1+(2*$U$59-0.6)*ABS($P$22)/($U$63*$W$6/$W$14)),$AL$64*(1+1.4*ABS($P$22)/($U$63*$W$6/$W$14)))</f>
        <v>0.6</v>
      </c>
      <c r="AF80" s="44">
        <f>IF($AL$64*(1+($U$59-0.2)*ABS($P$22)/($U$63*$W$6/$W$14))&lt;=$AL$64*(1+0.8*ABS($P$22)/($U$63*$W$6/$W$14)),$AL$64*(1+($U$59-0.2)*ABS($P$22)/($U$63*$W$6/$W$14)),$AL$64*(1+0.8*ABS($P$22)/($U$63*$W$6/$W$14)))</f>
        <v>0.6</v>
      </c>
      <c r="AG80" s="255">
        <f>IF(AND($D$35=0, $D$36=0, $D$37=0), 0, 0.6*AB78)</f>
        <v>0</v>
      </c>
      <c r="AH80" s="264">
        <f>IF(U59&lt;0.4,IF(0.6+U59&lt;=AM78,0.6+U59,AM78),IF(AM78&gt;=AM80,AM78,AM80))</f>
        <v>1</v>
      </c>
      <c r="AL80" s="47" t="s">
        <v>136</v>
      </c>
      <c r="AM80" s="262">
        <f>(1-(0.1*ABS(P22))/((AI48-0.25)*U63*W6/W14))</f>
        <v>1</v>
      </c>
      <c r="AP80" s="47" t="s">
        <v>136</v>
      </c>
      <c r="AQ80" s="262">
        <f>(1-(0.05*ABS(P22))/((AI48-0.25)*U63*W6/W14))</f>
        <v>1</v>
      </c>
    </row>
    <row r="81" spans="2:106" ht="13">
      <c r="B81" s="95"/>
      <c r="Z81" s="1"/>
      <c r="AA81" s="67" t="s">
        <v>156</v>
      </c>
      <c r="AB81" s="44">
        <f>IF(AH76="h i", AE80,AF80)</f>
        <v>0.6</v>
      </c>
      <c r="AC81" s="44">
        <f>IF($AL$64*(1+0.6*$U$59*ABS($P$22)/($U$63*$W$6/$W$14))&lt;=$AL$64*(1+0.6*ABS($P$22)/($U$63*$W$6/$W$14)), $AL$64*(1+0.6*$U$59*ABS($P$22)/($U$63*$W$6/$W$14)), $AL$64*(1+0.6*ABS($P$22)/($U$63*$W$6/$W$14)))</f>
        <v>0.6</v>
      </c>
      <c r="AD81" s="260" t="s">
        <v>470</v>
      </c>
      <c r="AE81" s="204"/>
      <c r="AG81" s="255">
        <f>IF(AND($D$35=0, $D$36=0, $D$37=0), 0, 0.8*AC78)</f>
        <v>0</v>
      </c>
      <c r="AH81" s="264">
        <f>IF(AQ78&gt;=AQ80,AQ78,AQ80)</f>
        <v>1</v>
      </c>
    </row>
    <row r="82" spans="2:106">
      <c r="B82" s="95"/>
      <c r="D82" s="17" t="s">
        <v>238</v>
      </c>
      <c r="E82" s="17"/>
      <c r="F82" s="17"/>
      <c r="G82" s="104">
        <f>VLOOKUP($AB$2,$AA$88:$CE$94,37)</f>
        <v>0.37382198952879575</v>
      </c>
      <c r="H82" s="20" t="s">
        <v>214</v>
      </c>
      <c r="I82" s="16"/>
      <c r="Z82" s="1"/>
    </row>
    <row r="83" spans="2:106" ht="13">
      <c r="B83" s="95"/>
      <c r="D83" s="17" t="s">
        <v>239</v>
      </c>
      <c r="E83" s="17"/>
      <c r="F83" s="17"/>
      <c r="G83" s="104" t="str">
        <f>VLOOKUP($AB$2,$AA$88:$CE$94,38)</f>
        <v>-</v>
      </c>
      <c r="H83" s="20" t="str">
        <f>IF(G83="-","","≤ 0.5")</f>
        <v/>
      </c>
      <c r="I83" s="16"/>
      <c r="M83" s="24" t="s">
        <v>121</v>
      </c>
      <c r="Q83" s="15">
        <f>IF(classe=3, 0.000001*S80*Wyel*fy/W14, 0.000001*S80*Wypl*fy/W14)</f>
        <v>2.2138523303148787</v>
      </c>
      <c r="R83" t="s">
        <v>78</v>
      </c>
      <c r="Y83" s="24" t="s">
        <v>123</v>
      </c>
      <c r="Z83" s="1"/>
      <c r="AB83" s="9">
        <v>2</v>
      </c>
      <c r="AC83" s="9">
        <v>3</v>
      </c>
      <c r="AD83" s="9">
        <v>4</v>
      </c>
      <c r="AE83" s="9">
        <v>5</v>
      </c>
      <c r="AF83" s="9">
        <v>6</v>
      </c>
      <c r="AG83" s="9">
        <v>7</v>
      </c>
      <c r="AH83" s="9">
        <v>8</v>
      </c>
      <c r="AI83" s="9">
        <v>9</v>
      </c>
      <c r="AJ83" s="9">
        <v>10</v>
      </c>
      <c r="AK83" s="9">
        <v>11</v>
      </c>
      <c r="AL83" s="9">
        <v>12</v>
      </c>
      <c r="AM83" s="9">
        <v>13</v>
      </c>
      <c r="AN83" s="9">
        <v>14</v>
      </c>
      <c r="AO83" s="9">
        <v>15</v>
      </c>
      <c r="AP83" s="9">
        <v>16</v>
      </c>
      <c r="AQ83" s="9">
        <v>17</v>
      </c>
      <c r="AR83" s="9">
        <v>18</v>
      </c>
      <c r="AS83" s="9">
        <v>19</v>
      </c>
      <c r="AT83" s="9">
        <v>20</v>
      </c>
      <c r="AU83" s="9">
        <v>21</v>
      </c>
      <c r="AV83" s="9">
        <v>22</v>
      </c>
      <c r="AW83" s="9">
        <v>23</v>
      </c>
      <c r="AX83" s="9">
        <v>24</v>
      </c>
      <c r="AY83" s="9">
        <v>25</v>
      </c>
      <c r="AZ83" s="9">
        <v>26</v>
      </c>
      <c r="BA83" s="9">
        <v>27</v>
      </c>
      <c r="BB83" s="9">
        <v>28</v>
      </c>
      <c r="BC83" s="9">
        <v>29</v>
      </c>
      <c r="BD83" s="9">
        <v>30</v>
      </c>
      <c r="BE83" s="9">
        <v>31</v>
      </c>
      <c r="BF83" s="9">
        <v>32</v>
      </c>
      <c r="BG83" s="9">
        <v>33</v>
      </c>
      <c r="BH83" s="9">
        <v>34</v>
      </c>
      <c r="BI83" s="9">
        <v>35</v>
      </c>
      <c r="BJ83" s="9">
        <v>36</v>
      </c>
      <c r="BK83" s="9">
        <v>37</v>
      </c>
      <c r="BL83" s="9">
        <v>38</v>
      </c>
      <c r="BM83" s="9">
        <v>39</v>
      </c>
      <c r="BN83" s="9">
        <v>40</v>
      </c>
      <c r="BO83" s="9">
        <v>41</v>
      </c>
      <c r="BP83" s="9">
        <v>42</v>
      </c>
      <c r="BQ83" s="9">
        <v>43</v>
      </c>
      <c r="BR83" s="9">
        <v>44</v>
      </c>
      <c r="BS83" s="9">
        <v>45</v>
      </c>
      <c r="BT83" s="9">
        <v>46</v>
      </c>
      <c r="BU83" s="9">
        <v>47</v>
      </c>
      <c r="BV83" s="9">
        <v>48</v>
      </c>
      <c r="BW83" s="9">
        <v>49</v>
      </c>
      <c r="BX83" s="9">
        <v>50</v>
      </c>
      <c r="BY83" s="9">
        <v>51</v>
      </c>
      <c r="BZ83" s="9">
        <v>52</v>
      </c>
      <c r="CA83" s="9">
        <v>53</v>
      </c>
      <c r="CB83" s="9">
        <v>54</v>
      </c>
      <c r="CC83" s="9">
        <v>55</v>
      </c>
      <c r="CD83" s="9">
        <v>56</v>
      </c>
      <c r="CE83" s="9">
        <v>57</v>
      </c>
      <c r="CF83" s="9"/>
      <c r="CG83" s="9"/>
      <c r="CH83" s="9"/>
      <c r="CI83" s="9"/>
      <c r="CJ83" s="9"/>
      <c r="CK83" s="9"/>
      <c r="CL83" s="9"/>
      <c r="CM83" s="9"/>
      <c r="CN83" s="9"/>
      <c r="CO83" s="9"/>
      <c r="CP83" s="9"/>
      <c r="CQ83" s="9"/>
      <c r="CR83" s="9"/>
      <c r="CS83" s="9"/>
      <c r="CT83" s="9"/>
      <c r="CU83" s="9"/>
      <c r="CV83" s="9"/>
      <c r="CW83" s="9"/>
      <c r="CX83" s="9"/>
      <c r="CY83" s="9"/>
      <c r="CZ83" s="9"/>
      <c r="DA83" s="9"/>
      <c r="DB83" s="9"/>
    </row>
    <row r="84" spans="2:106" ht="14">
      <c r="B84" s="98"/>
      <c r="C84" s="24"/>
      <c r="G84" s="16"/>
      <c r="I84" s="16"/>
      <c r="Z84" s="1"/>
      <c r="AB84" s="168" t="s">
        <v>414</v>
      </c>
      <c r="AC84" s="165"/>
      <c r="AD84" s="155"/>
      <c r="AE84" s="203" t="s">
        <v>352</v>
      </c>
      <c r="AF84" s="155"/>
      <c r="AG84" s="155"/>
      <c r="AH84" s="155"/>
      <c r="AI84" s="207" t="s">
        <v>345</v>
      </c>
      <c r="AJ84" s="155"/>
      <c r="AK84" s="155"/>
      <c r="AL84" s="155"/>
      <c r="AM84" s="155"/>
      <c r="AN84" s="207" t="s">
        <v>346</v>
      </c>
      <c r="AO84" s="165"/>
      <c r="AP84" s="166"/>
      <c r="AQ84" s="155"/>
      <c r="AR84" s="155"/>
      <c r="AS84" s="207" t="s">
        <v>439</v>
      </c>
      <c r="AT84" s="155"/>
      <c r="AU84" s="155"/>
      <c r="AV84" s="155"/>
      <c r="AW84" s="155"/>
      <c r="AX84" s="207" t="s">
        <v>344</v>
      </c>
      <c r="AY84" s="155"/>
      <c r="AZ84" s="155"/>
      <c r="BA84" s="155"/>
      <c r="BB84" s="155"/>
      <c r="BC84" s="155"/>
      <c r="BD84" s="207" t="s">
        <v>370</v>
      </c>
      <c r="BE84" s="155"/>
      <c r="BF84" s="155"/>
      <c r="BG84" s="155"/>
      <c r="BH84" s="155"/>
      <c r="BI84" s="155"/>
      <c r="BJ84" s="207" t="s">
        <v>347</v>
      </c>
      <c r="BK84" s="155"/>
      <c r="BL84" s="155"/>
      <c r="BM84" s="155"/>
      <c r="BN84" s="155"/>
      <c r="BO84" s="155"/>
      <c r="BP84" s="155"/>
      <c r="BQ84" s="155"/>
      <c r="BR84" s="155"/>
      <c r="BS84" s="155"/>
      <c r="BT84" s="155"/>
      <c r="BU84" s="155"/>
      <c r="BV84" s="207" t="s">
        <v>361</v>
      </c>
      <c r="BW84" s="155"/>
      <c r="BX84" s="155"/>
      <c r="BY84" s="155"/>
      <c r="BZ84" s="155"/>
      <c r="CA84" s="155"/>
      <c r="CB84" s="155"/>
      <c r="CC84" s="155"/>
      <c r="CD84" s="155"/>
      <c r="CE84" s="155"/>
      <c r="CF84" s="223"/>
    </row>
    <row r="85" spans="2:106" ht="13">
      <c r="B85" s="98" t="s">
        <v>228</v>
      </c>
      <c r="C85" s="24"/>
      <c r="D85" s="17" t="s">
        <v>231</v>
      </c>
      <c r="E85" s="17"/>
      <c r="F85" s="17"/>
      <c r="G85" s="226">
        <f>VLOOKUP($AB$2,$AA$88:$CE$94,41)</f>
        <v>5.4566999999999997</v>
      </c>
      <c r="H85" t="s">
        <v>78</v>
      </c>
      <c r="I85" s="15"/>
      <c r="Z85" s="1"/>
      <c r="AE85" s="204"/>
      <c r="AI85" s="204" t="s">
        <v>335</v>
      </c>
      <c r="AK85" s="17" t="s">
        <v>338</v>
      </c>
      <c r="AM85" t="s">
        <v>422</v>
      </c>
      <c r="AN85" s="204" t="s">
        <v>335</v>
      </c>
      <c r="AO85"/>
      <c r="AP85" s="17" t="s">
        <v>338</v>
      </c>
      <c r="AQ85" s="9"/>
      <c r="AR85" t="s">
        <v>422</v>
      </c>
      <c r="AS85" s="204" t="s">
        <v>434</v>
      </c>
      <c r="AX85" s="204"/>
      <c r="AY85" t="s">
        <v>335</v>
      </c>
      <c r="BA85" s="87" t="s">
        <v>350</v>
      </c>
      <c r="BB85" s="87"/>
      <c r="BC85" s="9" t="s">
        <v>422</v>
      </c>
      <c r="BD85" s="204"/>
      <c r="BE85" t="s">
        <v>335</v>
      </c>
      <c r="BG85" s="87" t="s">
        <v>350</v>
      </c>
      <c r="BH85" s="87"/>
      <c r="BI85" s="17" t="s">
        <v>422</v>
      </c>
      <c r="BJ85" s="204"/>
      <c r="BL85" s="9"/>
      <c r="BO85" s="9" t="s">
        <v>225</v>
      </c>
      <c r="BP85" t="s">
        <v>422</v>
      </c>
      <c r="BQ85" s="9" t="s">
        <v>226</v>
      </c>
      <c r="BR85" t="s">
        <v>422</v>
      </c>
      <c r="BU85" s="9" t="s">
        <v>224</v>
      </c>
      <c r="BV85" s="204"/>
      <c r="BZ85" s="9"/>
      <c r="CC85" s="9" t="s">
        <v>366</v>
      </c>
      <c r="CE85" t="s">
        <v>434</v>
      </c>
    </row>
    <row r="86" spans="2:106" ht="13">
      <c r="B86" s="98" t="s">
        <v>229</v>
      </c>
      <c r="C86" s="24"/>
      <c r="D86" s="17" t="s">
        <v>232</v>
      </c>
      <c r="E86" s="17"/>
      <c r="F86" s="17"/>
      <c r="G86" s="226">
        <f>VLOOKUP($AB$2,$AA$88:$CE$94,43)</f>
        <v>1.3676999999999999</v>
      </c>
      <c r="H86" t="s">
        <v>78</v>
      </c>
      <c r="I86" s="15"/>
      <c r="M86" s="24" t="s">
        <v>122</v>
      </c>
      <c r="N86" s="24"/>
      <c r="Q86" s="173">
        <f>MAXA(ABS(D31),ABS(D32),ABS(D33))/Q83</f>
        <v>0.17842850931031465</v>
      </c>
      <c r="R86" s="20" t="str">
        <f>IF(Q86&lt;=1," ≤1.00, ok", "non satisfaisante")</f>
        <v xml:space="preserve"> ≤1.00, ok</v>
      </c>
      <c r="S86" s="20"/>
      <c r="U86" s="20"/>
      <c r="Z86" s="1"/>
      <c r="AD86" s="9" t="s">
        <v>318</v>
      </c>
      <c r="AE86" s="204" t="s">
        <v>422</v>
      </c>
      <c r="AF86" s="9" t="s">
        <v>318</v>
      </c>
      <c r="AG86" t="s">
        <v>422</v>
      </c>
      <c r="AH86" s="9" t="s">
        <v>318</v>
      </c>
      <c r="AI86" s="208" t="s">
        <v>337</v>
      </c>
      <c r="AJ86" s="171"/>
      <c r="AK86" s="171" t="s">
        <v>336</v>
      </c>
      <c r="AL86" s="171" t="s">
        <v>337</v>
      </c>
      <c r="AN86" s="208" t="s">
        <v>337</v>
      </c>
      <c r="AO86" s="9" t="s">
        <v>436</v>
      </c>
      <c r="AP86" s="171" t="s">
        <v>336</v>
      </c>
      <c r="AQ86" s="171" t="s">
        <v>337</v>
      </c>
      <c r="AS86" s="9" t="s">
        <v>436</v>
      </c>
      <c r="AT86" s="9" t="s">
        <v>436</v>
      </c>
      <c r="AX86" s="211" t="s">
        <v>425</v>
      </c>
      <c r="AY86" s="193" t="s">
        <v>128</v>
      </c>
      <c r="BA86" s="193" t="s">
        <v>128</v>
      </c>
      <c r="BB86" s="87"/>
      <c r="BD86" s="211" t="s">
        <v>425</v>
      </c>
      <c r="BE86" s="193" t="s">
        <v>128</v>
      </c>
      <c r="BG86" s="193" t="s">
        <v>128</v>
      </c>
      <c r="BH86" s="87"/>
      <c r="BJ86" s="212" t="s">
        <v>213</v>
      </c>
      <c r="BK86" s="34" t="s">
        <v>221</v>
      </c>
      <c r="BL86" s="9" t="s">
        <v>217</v>
      </c>
      <c r="BM86" s="9" t="s">
        <v>364</v>
      </c>
      <c r="BN86" s="9" t="s">
        <v>222</v>
      </c>
      <c r="BO86" s="9" t="s">
        <v>430</v>
      </c>
      <c r="BP86" s="202" t="s">
        <v>432</v>
      </c>
      <c r="BQ86" s="9" t="s">
        <v>429</v>
      </c>
      <c r="BR86" s="202" t="s">
        <v>431</v>
      </c>
      <c r="BS86" s="34" t="s">
        <v>219</v>
      </c>
      <c r="BT86" s="59" t="s">
        <v>220</v>
      </c>
      <c r="BU86" s="201" t="s">
        <v>223</v>
      </c>
      <c r="BV86" s="214" t="s">
        <v>348</v>
      </c>
      <c r="BW86" s="9" t="s">
        <v>360</v>
      </c>
      <c r="BX86" s="9" t="s">
        <v>363</v>
      </c>
      <c r="BY86" s="34" t="s">
        <v>221</v>
      </c>
      <c r="BZ86" s="66" t="s">
        <v>217</v>
      </c>
      <c r="CA86" s="9" t="s">
        <v>364</v>
      </c>
      <c r="CB86" s="66" t="s">
        <v>222</v>
      </c>
      <c r="CC86" s="9" t="s">
        <v>216</v>
      </c>
      <c r="CD86" s="179" t="s">
        <v>365</v>
      </c>
      <c r="CE86" s="200" t="s">
        <v>433</v>
      </c>
      <c r="CF86" s="9"/>
      <c r="CG86" s="9"/>
      <c r="CH86" s="9"/>
    </row>
    <row r="87" spans="2:106" ht="13.5" thickBot="1">
      <c r="B87" s="98"/>
      <c r="C87" s="24"/>
      <c r="D87" s="17"/>
      <c r="E87" s="17"/>
      <c r="F87" s="17"/>
      <c r="G87" s="15"/>
      <c r="I87" s="15"/>
      <c r="Z87" s="1"/>
      <c r="AB87" s="57"/>
      <c r="AC87" s="198" t="s">
        <v>415</v>
      </c>
      <c r="AD87" s="197" t="s">
        <v>427</v>
      </c>
      <c r="AE87" s="205" t="s">
        <v>416</v>
      </c>
      <c r="AF87" s="197" t="s">
        <v>428</v>
      </c>
      <c r="AG87" s="198" t="s">
        <v>417</v>
      </c>
      <c r="AH87" s="197" t="s">
        <v>379</v>
      </c>
      <c r="AI87" s="209" t="s">
        <v>418</v>
      </c>
      <c r="AJ87" s="158" t="s">
        <v>438</v>
      </c>
      <c r="AK87" s="158" t="s">
        <v>438</v>
      </c>
      <c r="AL87" s="57"/>
      <c r="AM87" s="195" t="s">
        <v>423</v>
      </c>
      <c r="AN87" s="209" t="s">
        <v>419</v>
      </c>
      <c r="AO87" s="158" t="s">
        <v>435</v>
      </c>
      <c r="AP87" s="158" t="s">
        <v>437</v>
      </c>
      <c r="AQ87" s="57"/>
      <c r="AR87" s="195" t="s">
        <v>424</v>
      </c>
      <c r="AS87" s="158" t="s">
        <v>458</v>
      </c>
      <c r="AT87" s="158" t="s">
        <v>457</v>
      </c>
      <c r="AU87" s="216"/>
      <c r="AV87" s="216"/>
      <c r="AW87" s="216"/>
      <c r="AX87" s="209" t="s">
        <v>421</v>
      </c>
      <c r="AY87" s="116" t="s">
        <v>348</v>
      </c>
      <c r="AZ87" s="127" t="s">
        <v>349</v>
      </c>
      <c r="BA87" s="176" t="s">
        <v>348</v>
      </c>
      <c r="BB87" s="176" t="s">
        <v>349</v>
      </c>
      <c r="BC87" s="194" t="s">
        <v>420</v>
      </c>
      <c r="BD87" s="209" t="s">
        <v>421</v>
      </c>
      <c r="BE87" s="116" t="s">
        <v>348</v>
      </c>
      <c r="BF87" s="127" t="s">
        <v>373</v>
      </c>
      <c r="BG87" s="176" t="s">
        <v>348</v>
      </c>
      <c r="BH87" s="176" t="s">
        <v>373</v>
      </c>
      <c r="BI87" s="196" t="s">
        <v>426</v>
      </c>
      <c r="BJ87" s="213"/>
      <c r="BK87" s="89" t="s">
        <v>214</v>
      </c>
      <c r="BL87" s="89" t="s">
        <v>214</v>
      </c>
      <c r="BM87" s="89" t="s">
        <v>218</v>
      </c>
      <c r="BN87" s="88"/>
      <c r="BO87" s="90" t="s">
        <v>78</v>
      </c>
      <c r="BP87" s="199" t="s">
        <v>230</v>
      </c>
      <c r="BQ87" s="90" t="s">
        <v>78</v>
      </c>
      <c r="BR87" s="199" t="s">
        <v>230</v>
      </c>
      <c r="BS87" s="88"/>
      <c r="BT87" s="88"/>
      <c r="BU87" s="88"/>
      <c r="BV87" s="209"/>
      <c r="BW87" s="127" t="s">
        <v>77</v>
      </c>
      <c r="BX87" s="57"/>
      <c r="BY87" s="116" t="s">
        <v>214</v>
      </c>
      <c r="BZ87" s="175" t="s">
        <v>214</v>
      </c>
      <c r="CA87" s="116" t="s">
        <v>218</v>
      </c>
      <c r="CB87" s="178"/>
      <c r="CC87" s="127" t="s">
        <v>78</v>
      </c>
      <c r="CD87" s="176" t="s">
        <v>78</v>
      </c>
      <c r="CE87" s="176"/>
    </row>
    <row r="88" spans="2:106" ht="13">
      <c r="B88" s="98" t="s">
        <v>230</v>
      </c>
      <c r="C88" s="24"/>
      <c r="G88" s="173">
        <f>VLOOKUP($AB$2,$AA$88:$CE$94,42)</f>
        <v>3.6195353522389916E-2</v>
      </c>
      <c r="H88" s="17" t="str">
        <f>IF(G88&lt;=1,"≤ 1.00, ok","non satisfaisante !")</f>
        <v>≤ 1.00, ok</v>
      </c>
      <c r="M88" s="21" t="s">
        <v>126</v>
      </c>
      <c r="N88" s="21"/>
      <c r="Y88" s="24"/>
      <c r="Z88" s="1"/>
      <c r="AA88" s="63">
        <v>1</v>
      </c>
      <c r="AB88" s="316" t="s">
        <v>192</v>
      </c>
      <c r="AC88" s="104">
        <f t="shared" ref="AC88:AC94" si="19">ABS($P$22)/$W$6</f>
        <v>0</v>
      </c>
      <c r="AD88" s="192">
        <f>AC88*$AH$2</f>
        <v>0</v>
      </c>
      <c r="AE88" s="206">
        <f t="shared" ref="AE88:AE94" si="20">IF(classe=3,ABS($P$25)/$W$9,ABS($P$25)/$W$10)</f>
        <v>3.6195353522389916E-2</v>
      </c>
      <c r="AF88" s="192">
        <f>AE88*$AH$2</f>
        <v>8.5059080777616298</v>
      </c>
      <c r="AG88" s="104">
        <f t="shared" ref="AG88:AG94" si="21">IF(classe=3,ABS($P$26)/$W$11,ABS($P$26)/$W$12)</f>
        <v>0</v>
      </c>
      <c r="AH88" s="192">
        <f>AG88*$AH$2</f>
        <v>0</v>
      </c>
      <c r="AI88" s="210">
        <f t="shared" ref="AI88:AI94" si="22">$P$23/$W$7</f>
        <v>0</v>
      </c>
      <c r="AJ88" s="15">
        <f t="shared" ref="AJ88:AJ94" si="23">ABS($P$23)/Avz/$W$13*1000</f>
        <v>0</v>
      </c>
      <c r="AK88" s="15">
        <f>ABS($P$23)*1000*SVz/Iy/tw</f>
        <v>0</v>
      </c>
      <c r="AL88" s="16">
        <f t="shared" ref="AL88:AL94" si="24">AK88/(fy/(SQRT(3)*$W$13))</f>
        <v>0</v>
      </c>
      <c r="AM88" s="16">
        <f t="shared" ref="AM88:AM94" si="25">IF(classe=3,AL88,AI88)</f>
        <v>0</v>
      </c>
      <c r="AN88" s="210">
        <f t="shared" ref="AN88:AN94" si="26">$P$24/$W$8</f>
        <v>0</v>
      </c>
      <c r="AO88" s="15">
        <f t="shared" ref="AO88:AO94" si="27">ABS($P$24)/Avy/$W$13*1000</f>
        <v>0</v>
      </c>
      <c r="AP88" s="15">
        <f>ABS($P$24)*1000*SVy/Iz/tf</f>
        <v>0</v>
      </c>
      <c r="AQ88" s="16">
        <f t="shared" ref="AQ88:AQ94" si="28">AP88/(fy/(SQRT(3)*$W$14))</f>
        <v>0</v>
      </c>
      <c r="AR88" s="16">
        <f t="shared" ref="AR88:AR94" si="29">IF(classe=3,AQ88,AN88)</f>
        <v>0</v>
      </c>
      <c r="AS88" s="210" t="s">
        <v>199</v>
      </c>
      <c r="AT88" s="16" t="s">
        <v>199</v>
      </c>
      <c r="AU88" s="16"/>
      <c r="AV88" s="16"/>
      <c r="AW88" s="16"/>
      <c r="AX88" s="212" t="b">
        <f t="shared" ref="AX88:AX94" si="30">AM88&lt;0.5</f>
        <v>1</v>
      </c>
      <c r="AY88" s="16">
        <f t="shared" ref="AY88:AY94" si="31">IF(AX88=TRUE,0,IF(AM88&gt;1,1,(2*$P$23/($W$7)-1)^2))</f>
        <v>0</v>
      </c>
      <c r="AZ88" s="15">
        <f>(Wypl-AY88*((h-2*tf)*tw)^2/(4*tw))*fy/$W$13/1000000</f>
        <v>5.4566999999999997</v>
      </c>
      <c r="BA88" s="104">
        <f>AY88</f>
        <v>0</v>
      </c>
      <c r="BB88" s="177">
        <f>(Wyel-BA88*((h-2*tf)*tw)^2/(6*tw))*fy/$W$13/1000000</f>
        <v>4.7070499999999997</v>
      </c>
      <c r="BC88" s="104">
        <f t="shared" ref="BC88:BC94" si="32">IF(classe=3,ABS($P$25)/BB88,ABS($P$25)/AZ88)</f>
        <v>3.6195353522389916E-2</v>
      </c>
      <c r="BD88" s="204" t="b">
        <f t="shared" ref="BD88:BD94" si="33">AR88&lt;0.5</f>
        <v>1</v>
      </c>
      <c r="BE88" s="16">
        <f t="shared" ref="BE88:BE94" si="34">IF(BD88=TRUE,0,IF(AR88&gt;1,1,(2*$P$24/($W$8)-1)^2))</f>
        <v>0</v>
      </c>
      <c r="BF88" s="15">
        <f>(Wzpl-BE88/2*tf*(b)^2)*fy/$W$13/1000000</f>
        <v>1.3676999999999999</v>
      </c>
      <c r="BG88" s="104">
        <f>BE88</f>
        <v>0</v>
      </c>
      <c r="BH88" s="177">
        <f>(Wzel-BG88*tf/3*b^2)*fy/$W$13/1000000</f>
        <v>0.86714999999999998</v>
      </c>
      <c r="BI88" s="104">
        <f t="shared" ref="BI88:BI94" si="35">IF(classe=3,ABS($P$26)/BH88,ABS($P$26)/BF88)</f>
        <v>0</v>
      </c>
      <c r="BJ88" s="210">
        <f t="shared" ref="BJ88:BJ94" si="36">ABS($P$22)/$W$6</f>
        <v>0</v>
      </c>
      <c r="BK88" s="16">
        <f t="shared" ref="BK88:BK94" si="37">IF((A-2*b*tf)/A&lt;=0.5,(A-2*b*tf)/A, 0.5)</f>
        <v>0.37382198952879575</v>
      </c>
      <c r="BL88" s="9" t="s">
        <v>199</v>
      </c>
      <c r="BM88" s="16">
        <f>IF((1-$BJ88)/(1-0.5*BK88)&lt;=1,(1-$BJ88)/(1-0.5*BK88),1)</f>
        <v>1</v>
      </c>
      <c r="BN88" s="16" t="s">
        <v>199</v>
      </c>
      <c r="BO88" s="15">
        <f t="shared" ref="BO88:BO94" si="38">IF(classe=3, $W$9*(1-BJ88),$W$10*BM88)</f>
        <v>5.4566999999999997</v>
      </c>
      <c r="BP88" s="104">
        <f t="shared" ref="BP88:BP94" si="39">ABS($P$25)/BO88</f>
        <v>3.6195353522389916E-2</v>
      </c>
      <c r="BQ88" s="15">
        <f>IF(classe=3,$W$11*(1-BJ88),IF(BJ88&lt;=BK88,$W$12,$W$12*(1-((BJ88-BK88)/(1-BK88))^2)))</f>
        <v>1.3676999999999999</v>
      </c>
      <c r="BR88" s="104">
        <f t="shared" ref="BR88:BR94" si="40">ABS($P$26)/BQ88</f>
        <v>0</v>
      </c>
      <c r="BS88" s="16">
        <f>IF(classe=3,1,2)</f>
        <v>2</v>
      </c>
      <c r="BT88" s="16">
        <f>IF(classe=3,1,IF(5*BJ88&gt;=1,5*BJ88,1))</f>
        <v>1</v>
      </c>
      <c r="BU88" s="16">
        <f t="shared" ref="BU88:BU94" si="41">IF(classe=3,ABS($P$25)/BO88+ABS($P$26)/BQ88,(ABS($P$25)/BO88)^BS88+(ABS($P$26)/BQ88)^BT88)</f>
        <v>1.3101036166107841E-3</v>
      </c>
      <c r="BV88" s="210">
        <f t="shared" ref="BV88:BV94" si="42">IF(classe=3,$P$23/$W$7,AY88)</f>
        <v>0</v>
      </c>
      <c r="BW88" s="28">
        <f>(A*fy-BV88*(h-2*tf)*tw*fy)/1000</f>
        <v>179.54</v>
      </c>
      <c r="BX88" s="16">
        <f t="shared" ref="BX88:BX94" si="43">ABS($P$22)/BW88</f>
        <v>0</v>
      </c>
      <c r="BY88" s="16">
        <f t="shared" ref="BY88:BY94" si="44">IF((A-2*b*tf)/A&lt;=0.5,(A-2*b*tf)/A, 0.5)</f>
        <v>0.37382198952879575</v>
      </c>
      <c r="BZ88" s="66" t="s">
        <v>199</v>
      </c>
      <c r="CA88" s="16">
        <f t="shared" ref="CA88:CA94" si="45">IF((1-BX88)/(1-0.5*BY88)&lt;=1,(1-BX88)/(1-0.5*BY88),1)</f>
        <v>1</v>
      </c>
      <c r="CB88" s="111" t="s">
        <v>199</v>
      </c>
      <c r="CC88" s="15">
        <f t="shared" ref="CC88:CC94" si="46">IF(classe=3, $W$9*(1-BX88),$W$10*CA88)</f>
        <v>5.4566999999999997</v>
      </c>
      <c r="CD88" s="15">
        <f>IF(classe=3,CC88-BV88*((h-2*tf)*tw)^2*fy/6/tw/1000000,CC88-BV88*((h-2*tf)*tw)^2*fy/4/tw/1000000)</f>
        <v>5.4566999999999997</v>
      </c>
      <c r="CE88" s="22">
        <f t="shared" ref="CE88:CE94" si="47">ABS($P$25)/CD88</f>
        <v>3.6195353522389916E-2</v>
      </c>
      <c r="CF88" s="16"/>
    </row>
    <row r="89" spans="2:106" ht="13">
      <c r="B89" s="98"/>
      <c r="C89" s="24"/>
      <c r="Z89" s="1"/>
      <c r="AA89" s="63">
        <v>2</v>
      </c>
      <c r="AB89" s="316" t="s">
        <v>170</v>
      </c>
      <c r="AC89" s="104">
        <f t="shared" si="19"/>
        <v>0</v>
      </c>
      <c r="AD89" s="192">
        <f t="shared" ref="AD89:AD94" si="48">AC89*$AH$2</f>
        <v>0</v>
      </c>
      <c r="AE89" s="206">
        <f t="shared" si="20"/>
        <v>3.6195353522389916E-2</v>
      </c>
      <c r="AF89" s="192">
        <f t="shared" ref="AF89:AF94" si="49">AE89*$AH$2</f>
        <v>8.5059080777616298</v>
      </c>
      <c r="AG89" s="104">
        <f t="shared" si="21"/>
        <v>0</v>
      </c>
      <c r="AH89" s="192">
        <f t="shared" ref="AH89:AH94" si="50">AG89*$AH$2</f>
        <v>0</v>
      </c>
      <c r="AI89" s="210">
        <f t="shared" si="22"/>
        <v>0</v>
      </c>
      <c r="AJ89" s="15">
        <f t="shared" si="23"/>
        <v>0</v>
      </c>
      <c r="AK89" s="15">
        <f>ABS($P$23)*1000*SVz/Iy/tw</f>
        <v>0</v>
      </c>
      <c r="AL89" s="16">
        <f t="shared" si="24"/>
        <v>0</v>
      </c>
      <c r="AM89" s="16">
        <f t="shared" si="25"/>
        <v>0</v>
      </c>
      <c r="AN89" s="210">
        <f t="shared" si="26"/>
        <v>0</v>
      </c>
      <c r="AO89" s="15">
        <f t="shared" si="27"/>
        <v>0</v>
      </c>
      <c r="AP89" s="15">
        <f>ABS($P$24)*1000*SVy/Iz/tf</f>
        <v>0</v>
      </c>
      <c r="AQ89" s="16">
        <f t="shared" si="28"/>
        <v>0</v>
      </c>
      <c r="AR89" s="16">
        <f t="shared" si="29"/>
        <v>0</v>
      </c>
      <c r="AS89" s="210" t="s">
        <v>199</v>
      </c>
      <c r="AT89" s="16" t="s">
        <v>199</v>
      </c>
      <c r="AU89" s="16"/>
      <c r="AV89" s="16"/>
      <c r="AW89" s="16"/>
      <c r="AX89" s="212" t="b">
        <f t="shared" si="30"/>
        <v>1</v>
      </c>
      <c r="AY89" s="16">
        <f t="shared" si="31"/>
        <v>0</v>
      </c>
      <c r="AZ89" s="15">
        <f>(Wypl-AY89*((h-2*tf)*tw)^2/(4*tw))*fy/$W$13/1000000</f>
        <v>5.4566999999999997</v>
      </c>
      <c r="BA89" s="104">
        <f t="shared" ref="BA89:BA94" si="51">AY89</f>
        <v>0</v>
      </c>
      <c r="BB89" s="177">
        <f>(Wyel-BA89*((h-2*tf)*tw)^2/(6*tw))*fy/$W$13/1000000</f>
        <v>4.7070499999999997</v>
      </c>
      <c r="BC89" s="104">
        <f t="shared" si="32"/>
        <v>3.6195353522389916E-2</v>
      </c>
      <c r="BD89" s="204" t="b">
        <f t="shared" si="33"/>
        <v>1</v>
      </c>
      <c r="BE89" s="16">
        <f t="shared" si="34"/>
        <v>0</v>
      </c>
      <c r="BF89" s="15">
        <f>(Wzpl-BE89/2*tf*(b)^2)*fy/$W$13/1000000</f>
        <v>1.3676999999999999</v>
      </c>
      <c r="BG89" s="104">
        <f t="shared" ref="BG89:BG94" si="52">BE89</f>
        <v>0</v>
      </c>
      <c r="BH89" s="177">
        <f>(Wzel-BG89*tf/3*b^2)*fy/$W$13/1000000</f>
        <v>0.86714999999999998</v>
      </c>
      <c r="BI89" s="104">
        <f t="shared" si="35"/>
        <v>0</v>
      </c>
      <c r="BJ89" s="210">
        <f t="shared" si="36"/>
        <v>0</v>
      </c>
      <c r="BK89" s="16">
        <f t="shared" si="37"/>
        <v>0.37382198952879575</v>
      </c>
      <c r="BL89" s="34" t="s">
        <v>199</v>
      </c>
      <c r="BM89" s="16">
        <f t="shared" ref="BM89:BM94" si="53">IF((1-BJ89)/(1-0.5*BK89)&lt;=1,(1-BJ89)/(1-0.5*BK89),1)</f>
        <v>1</v>
      </c>
      <c r="BN89" s="16" t="s">
        <v>199</v>
      </c>
      <c r="BO89" s="15">
        <f t="shared" si="38"/>
        <v>5.4566999999999997</v>
      </c>
      <c r="BP89" s="104">
        <f t="shared" si="39"/>
        <v>3.6195353522389916E-2</v>
      </c>
      <c r="BQ89" s="15">
        <f>IF(classe=3,$W$11*(1-BJ89),IF(BJ89&lt;=BK89,$W$12,$W$12*(1-((BJ89-BK89)/(1-BK89))^2)))</f>
        <v>1.3676999999999999</v>
      </c>
      <c r="BR89" s="104">
        <f t="shared" si="40"/>
        <v>0</v>
      </c>
      <c r="BS89" s="16">
        <f>IF(classe=3,1,2)</f>
        <v>2</v>
      </c>
      <c r="BT89" s="16">
        <f>IF(classe=3,1,IF(5*BJ89&gt;=1,5*BJ89,1))</f>
        <v>1</v>
      </c>
      <c r="BU89" s="16">
        <f t="shared" si="41"/>
        <v>1.3101036166107841E-3</v>
      </c>
      <c r="BV89" s="210">
        <f t="shared" si="42"/>
        <v>0</v>
      </c>
      <c r="BW89" s="28">
        <f>(A*fy-BV89*(h-2*tf)*tw*fy)/1000</f>
        <v>179.54</v>
      </c>
      <c r="BX89" s="16">
        <f t="shared" si="43"/>
        <v>0</v>
      </c>
      <c r="BY89" s="16">
        <f t="shared" si="44"/>
        <v>0.37382198952879575</v>
      </c>
      <c r="BZ89" s="66" t="s">
        <v>199</v>
      </c>
      <c r="CA89" s="16">
        <f t="shared" si="45"/>
        <v>1</v>
      </c>
      <c r="CB89" s="111" t="s">
        <v>199</v>
      </c>
      <c r="CC89" s="15">
        <f t="shared" si="46"/>
        <v>5.4566999999999997</v>
      </c>
      <c r="CD89" s="15">
        <f>IF(classe=3,CC89-BV89*((h-2*tf)*tw)^2*fy/6/tw/1000000,CC89-BV89*((h-2*tf)*tw)^2*fy/4/tw/1000000)</f>
        <v>5.4566999999999997</v>
      </c>
      <c r="CE89" s="22">
        <f t="shared" si="47"/>
        <v>3.6195353522389916E-2</v>
      </c>
    </row>
    <row r="90" spans="2:106" ht="13">
      <c r="B90" s="187" t="str">
        <f>IF(classe=3,"[6.42]","")</f>
        <v/>
      </c>
      <c r="C90" s="218"/>
      <c r="D90" s="185" t="str">
        <f>IF(classe=3,"σ(N+My),x,Ed=","")</f>
        <v/>
      </c>
      <c r="E90" s="185"/>
      <c r="F90" s="185"/>
      <c r="G90" s="107" t="str">
        <f>IF(classe=3,G45+G49,"")</f>
        <v/>
      </c>
      <c r="H90" s="185" t="str">
        <f>IF(classe=3,"N/mm²","")</f>
        <v/>
      </c>
      <c r="I90" s="186"/>
      <c r="M90" s="24" t="s">
        <v>110</v>
      </c>
      <c r="O90" s="9" t="str">
        <f>IF(AF55="diagramme 1",AF55,IF(AF55="diagramme 3",AF55,"diagramme 2"))</f>
        <v>diagramme 2</v>
      </c>
      <c r="R90" s="9" t="str">
        <f>IF(AF68="diagramme 1",AF68,IF(AF68="diagramme 3",AF68,"diagramme 2"))</f>
        <v>diagramme 1</v>
      </c>
      <c r="Y90" s="215" t="s">
        <v>162</v>
      </c>
      <c r="Z90" s="1"/>
      <c r="AA90" s="63">
        <v>3</v>
      </c>
      <c r="AB90" s="316" t="s">
        <v>193</v>
      </c>
      <c r="AC90" s="104">
        <f t="shared" si="19"/>
        <v>0</v>
      </c>
      <c r="AD90" s="192">
        <f t="shared" si="48"/>
        <v>0</v>
      </c>
      <c r="AE90" s="206">
        <f t="shared" si="20"/>
        <v>3.6195353522389916E-2</v>
      </c>
      <c r="AF90" s="192">
        <f t="shared" si="49"/>
        <v>8.5059080777616298</v>
      </c>
      <c r="AG90" s="104">
        <f t="shared" si="21"/>
        <v>0</v>
      </c>
      <c r="AH90" s="192">
        <f t="shared" si="50"/>
        <v>0</v>
      </c>
      <c r="AI90" s="210">
        <f t="shared" si="22"/>
        <v>0</v>
      </c>
      <c r="AJ90" s="15">
        <f t="shared" si="23"/>
        <v>0</v>
      </c>
      <c r="AK90" s="15">
        <f>ABS($P$23)*1000*SVz/Iy/tw</f>
        <v>0</v>
      </c>
      <c r="AL90" s="16">
        <f t="shared" si="24"/>
        <v>0</v>
      </c>
      <c r="AM90" s="16">
        <f t="shared" si="25"/>
        <v>0</v>
      </c>
      <c r="AN90" s="210">
        <f t="shared" si="26"/>
        <v>0</v>
      </c>
      <c r="AO90" s="15">
        <f t="shared" si="27"/>
        <v>0</v>
      </c>
      <c r="AP90" s="15">
        <f>ABS($P$24)*1000*SVy/Iz/tf</f>
        <v>0</v>
      </c>
      <c r="AQ90" s="16">
        <f t="shared" si="28"/>
        <v>0</v>
      </c>
      <c r="AR90" s="16">
        <f t="shared" si="29"/>
        <v>0</v>
      </c>
      <c r="AS90" s="210" t="s">
        <v>199</v>
      </c>
      <c r="AT90" s="16" t="s">
        <v>199</v>
      </c>
      <c r="AU90" s="16"/>
      <c r="AV90" s="16"/>
      <c r="AW90" s="16"/>
      <c r="AX90" s="212" t="b">
        <f t="shared" si="30"/>
        <v>1</v>
      </c>
      <c r="AY90" s="16">
        <f t="shared" si="31"/>
        <v>0</v>
      </c>
      <c r="AZ90" s="15">
        <f>(Wypl-AY90*((h-2*tf)*tw)^2/(4*tw))*fy/$W$13/1000000</f>
        <v>5.4566999999999997</v>
      </c>
      <c r="BA90" s="104">
        <f t="shared" si="51"/>
        <v>0</v>
      </c>
      <c r="BB90" s="177">
        <f>(Wyel-BA90*((h-2*tf)*tw)^2/(6*tw))*fy/$W$13/1000000</f>
        <v>4.7070499999999997</v>
      </c>
      <c r="BC90" s="104">
        <f t="shared" si="32"/>
        <v>3.6195353522389916E-2</v>
      </c>
      <c r="BD90" s="204" t="b">
        <f t="shared" si="33"/>
        <v>1</v>
      </c>
      <c r="BE90" s="16">
        <f t="shared" si="34"/>
        <v>0</v>
      </c>
      <c r="BF90" s="15">
        <f>(Wzpl-BE90/2*tf*(b)^2)*fy/$W$13/1000000</f>
        <v>1.3676999999999999</v>
      </c>
      <c r="BG90" s="104">
        <f t="shared" si="52"/>
        <v>0</v>
      </c>
      <c r="BH90" s="177">
        <f>(Wzel-BG90*tf/3*b^2)*fy/$W$13/1000000</f>
        <v>0.86714999999999998</v>
      </c>
      <c r="BI90" s="104">
        <f t="shared" si="35"/>
        <v>0</v>
      </c>
      <c r="BJ90" s="210">
        <f t="shared" si="36"/>
        <v>0</v>
      </c>
      <c r="BK90" s="16">
        <f t="shared" si="37"/>
        <v>0.37382198952879575</v>
      </c>
      <c r="BL90" s="34" t="s">
        <v>199</v>
      </c>
      <c r="BM90" s="16">
        <f t="shared" si="53"/>
        <v>1</v>
      </c>
      <c r="BN90" s="16" t="s">
        <v>199</v>
      </c>
      <c r="BO90" s="15">
        <f t="shared" si="38"/>
        <v>5.4566999999999997</v>
      </c>
      <c r="BP90" s="104">
        <f t="shared" si="39"/>
        <v>3.6195353522389916E-2</v>
      </c>
      <c r="BQ90" s="15">
        <f>IF(classe=3,$W$11*(1-BJ90),IF(BJ90&lt;=BK90,$W$12,$W$12*(1-((BJ90-BK90)/(1-BK90))^2)))</f>
        <v>1.3676999999999999</v>
      </c>
      <c r="BR90" s="104">
        <f t="shared" si="40"/>
        <v>0</v>
      </c>
      <c r="BS90" s="16">
        <f>IF(classe=3,1,2)</f>
        <v>2</v>
      </c>
      <c r="BT90" s="16">
        <f>IF(classe=3,1,IF(5*BJ90&gt;=1,5*BJ90,1))</f>
        <v>1</v>
      </c>
      <c r="BU90" s="16">
        <f t="shared" si="41"/>
        <v>1.3101036166107841E-3</v>
      </c>
      <c r="BV90" s="210">
        <f t="shared" si="42"/>
        <v>0</v>
      </c>
      <c r="BW90" s="28">
        <f>(A*fy-BV90*(h-2*tf)*tw*fy)/1000</f>
        <v>179.54</v>
      </c>
      <c r="BX90" s="16">
        <f t="shared" si="43"/>
        <v>0</v>
      </c>
      <c r="BY90" s="16">
        <f t="shared" si="44"/>
        <v>0.37382198952879575</v>
      </c>
      <c r="BZ90" s="66" t="s">
        <v>199</v>
      </c>
      <c r="CA90" s="16">
        <f t="shared" si="45"/>
        <v>1</v>
      </c>
      <c r="CB90" s="111" t="s">
        <v>199</v>
      </c>
      <c r="CC90" s="15">
        <f t="shared" si="46"/>
        <v>5.4566999999999997</v>
      </c>
      <c r="CD90" s="15">
        <f>IF(classe=3,CC90-BV90*((h-2*tf)*tw)^2*fy/6/tw/1000000,CC90-BV90*((h-2*tf)*tw)^2*fy/4/tw/1000000)</f>
        <v>5.4566999999999997</v>
      </c>
      <c r="CE90" s="22">
        <f t="shared" si="47"/>
        <v>3.6195353522389916E-2</v>
      </c>
    </row>
    <row r="91" spans="2:106" ht="13">
      <c r="B91" s="98"/>
      <c r="C91" s="24"/>
      <c r="N91" s="185" t="s">
        <v>142</v>
      </c>
      <c r="O91" s="45">
        <f>AL51</f>
        <v>0.60000000000000009</v>
      </c>
      <c r="Q91" s="185" t="s">
        <v>143</v>
      </c>
      <c r="R91" s="45">
        <f>AL64</f>
        <v>0.6</v>
      </c>
      <c r="T91" s="20" t="str">
        <f>IF($P$36="oui","CmLT=","")</f>
        <v>CmLT=</v>
      </c>
      <c r="U91" s="16">
        <f>IF($P$36="oui",$AI$48,"")</f>
        <v>1</v>
      </c>
      <c r="W91" s="45"/>
      <c r="Z91" s="1"/>
      <c r="AA91" s="63">
        <v>4</v>
      </c>
      <c r="AB91" s="316" t="s">
        <v>194</v>
      </c>
      <c r="AC91" s="104">
        <f t="shared" si="19"/>
        <v>0</v>
      </c>
      <c r="AD91" s="192">
        <f t="shared" si="48"/>
        <v>0</v>
      </c>
      <c r="AE91" s="206">
        <f t="shared" si="20"/>
        <v>3.6195353522389916E-2</v>
      </c>
      <c r="AF91" s="192">
        <f t="shared" si="49"/>
        <v>8.5059080777616298</v>
      </c>
      <c r="AG91" s="104">
        <f t="shared" si="21"/>
        <v>0</v>
      </c>
      <c r="AH91" s="192">
        <f t="shared" si="50"/>
        <v>0</v>
      </c>
      <c r="AI91" s="210">
        <f t="shared" si="22"/>
        <v>0</v>
      </c>
      <c r="AJ91" s="15">
        <f t="shared" si="23"/>
        <v>0</v>
      </c>
      <c r="AK91" s="15">
        <f>ABS($P$23)*1000*SVz/Iy/tw</f>
        <v>0</v>
      </c>
      <c r="AL91" s="16">
        <f t="shared" si="24"/>
        <v>0</v>
      </c>
      <c r="AM91" s="16">
        <f t="shared" si="25"/>
        <v>0</v>
      </c>
      <c r="AN91" s="210">
        <f t="shared" si="26"/>
        <v>0</v>
      </c>
      <c r="AO91" s="15">
        <f t="shared" si="27"/>
        <v>0</v>
      </c>
      <c r="AP91" s="15">
        <f>ABS($P$24)*1000*SVy/Iz/tf</f>
        <v>0</v>
      </c>
      <c r="AQ91" s="16">
        <f t="shared" si="28"/>
        <v>0</v>
      </c>
      <c r="AR91" s="16">
        <f t="shared" si="29"/>
        <v>0</v>
      </c>
      <c r="AS91" s="210" t="s">
        <v>199</v>
      </c>
      <c r="AT91" s="16" t="s">
        <v>199</v>
      </c>
      <c r="AU91" s="16"/>
      <c r="AV91" s="16"/>
      <c r="AW91" s="16"/>
      <c r="AX91" s="212" t="b">
        <f t="shared" si="30"/>
        <v>1</v>
      </c>
      <c r="AY91" s="16">
        <f t="shared" si="31"/>
        <v>0</v>
      </c>
      <c r="AZ91" s="15">
        <f>(Wypl-AY91*((h-2*tf)*tw)^2/(4*tw))*fy/$W$13/1000000</f>
        <v>5.4566999999999997</v>
      </c>
      <c r="BA91" s="104">
        <f t="shared" si="51"/>
        <v>0</v>
      </c>
      <c r="BB91" s="177">
        <f>(Wyel-BA91*((h-2*tf)*tw)^2/(6*tw))*fy/$W$13/1000000</f>
        <v>4.7070499999999997</v>
      </c>
      <c r="BC91" s="104">
        <f t="shared" si="32"/>
        <v>3.6195353522389916E-2</v>
      </c>
      <c r="BD91" s="204" t="b">
        <f t="shared" si="33"/>
        <v>1</v>
      </c>
      <c r="BE91" s="16">
        <f t="shared" si="34"/>
        <v>0</v>
      </c>
      <c r="BF91" s="15">
        <f>(Wzpl-BE91/2*tf*(b)^2)*fy/$W$13/1000000</f>
        <v>1.3676999999999999</v>
      </c>
      <c r="BG91" s="104">
        <f t="shared" si="52"/>
        <v>0</v>
      </c>
      <c r="BH91" s="177">
        <f>(Wzel-BG91*tf/3*b^2)*fy/$W$13/1000000</f>
        <v>0.86714999999999998</v>
      </c>
      <c r="BI91" s="104">
        <f t="shared" si="35"/>
        <v>0</v>
      </c>
      <c r="BJ91" s="210">
        <f t="shared" si="36"/>
        <v>0</v>
      </c>
      <c r="BK91" s="16">
        <f t="shared" si="37"/>
        <v>0.37382198952879575</v>
      </c>
      <c r="BL91" s="34" t="s">
        <v>199</v>
      </c>
      <c r="BM91" s="16">
        <f t="shared" si="53"/>
        <v>1</v>
      </c>
      <c r="BN91" s="16" t="s">
        <v>199</v>
      </c>
      <c r="BO91" s="15">
        <f t="shared" si="38"/>
        <v>5.4566999999999997</v>
      </c>
      <c r="BP91" s="104">
        <f t="shared" si="39"/>
        <v>3.6195353522389916E-2</v>
      </c>
      <c r="BQ91" s="15">
        <f>IF(classe=3,$W$11*(1-BJ91),IF(BJ91&lt;=BK91,$W$12,$W$12*(1-((BJ91-BK91)/(1-BK91))^2)))</f>
        <v>1.3676999999999999</v>
      </c>
      <c r="BR91" s="104">
        <f t="shared" si="40"/>
        <v>0</v>
      </c>
      <c r="BS91" s="16">
        <f>IF(classe=3,1,2)</f>
        <v>2</v>
      </c>
      <c r="BT91" s="16">
        <f>IF(classe=3,1,IF(5*BJ91&gt;=1,5*BJ91,1))</f>
        <v>1</v>
      </c>
      <c r="BU91" s="16">
        <f t="shared" si="41"/>
        <v>1.3101036166107841E-3</v>
      </c>
      <c r="BV91" s="210">
        <f t="shared" si="42"/>
        <v>0</v>
      </c>
      <c r="BW91" s="28">
        <f>(A*fy-BV91*(h-2*tf)*tw*fy)/1000</f>
        <v>179.54</v>
      </c>
      <c r="BX91" s="16">
        <f t="shared" si="43"/>
        <v>0</v>
      </c>
      <c r="BY91" s="16">
        <f t="shared" si="44"/>
        <v>0.37382198952879575</v>
      </c>
      <c r="BZ91" s="66" t="s">
        <v>199</v>
      </c>
      <c r="CA91" s="16">
        <f t="shared" si="45"/>
        <v>1</v>
      </c>
      <c r="CB91" s="111" t="s">
        <v>199</v>
      </c>
      <c r="CC91" s="15">
        <f t="shared" si="46"/>
        <v>5.4566999999999997</v>
      </c>
      <c r="CD91" s="15">
        <f>IF(classe=3,CC91-BV91*((h-2*tf)*tw)^2*fy/6/tw/1000000,CC91-BV91*((h-2*tf)*tw)^2*fy/4/tw/1000000)</f>
        <v>5.4566999999999997</v>
      </c>
      <c r="CE91" s="22">
        <f t="shared" si="47"/>
        <v>3.6195353522389916E-2</v>
      </c>
    </row>
    <row r="92" spans="2:106" ht="13">
      <c r="B92" s="98"/>
      <c r="C92" s="24"/>
      <c r="G92" s="173">
        <f>VLOOKUP($AB$2,$AA$88:$CE$94,44)</f>
        <v>0</v>
      </c>
      <c r="H92" s="17" t="str">
        <f>IF(G92&lt;=1,"≤ 1.00, ok","non satisfaisante !")</f>
        <v>≤ 1.00, ok</v>
      </c>
      <c r="N92" s="17"/>
      <c r="Q92" s="17"/>
      <c r="Z92" s="1"/>
      <c r="AA92" s="63">
        <v>5</v>
      </c>
      <c r="AB92" s="253" t="s">
        <v>202</v>
      </c>
      <c r="AC92" s="104">
        <f t="shared" si="19"/>
        <v>0</v>
      </c>
      <c r="AD92" s="192">
        <f t="shared" si="48"/>
        <v>0</v>
      </c>
      <c r="AE92" s="206">
        <f t="shared" si="20"/>
        <v>3.6195353522389916E-2</v>
      </c>
      <c r="AF92" s="192">
        <f t="shared" si="49"/>
        <v>8.5059080777616298</v>
      </c>
      <c r="AG92" s="104">
        <f t="shared" si="21"/>
        <v>0</v>
      </c>
      <c r="AH92" s="192">
        <f t="shared" si="50"/>
        <v>0</v>
      </c>
      <c r="AI92" s="210">
        <f t="shared" si="22"/>
        <v>0</v>
      </c>
      <c r="AJ92" s="15">
        <f t="shared" si="23"/>
        <v>0</v>
      </c>
      <c r="AK92" s="15">
        <f>ABS($P$23)*1000*SVz/Iy/(tw*2)</f>
        <v>0</v>
      </c>
      <c r="AL92" s="16">
        <f t="shared" si="24"/>
        <v>0</v>
      </c>
      <c r="AM92" s="16">
        <f t="shared" si="25"/>
        <v>0</v>
      </c>
      <c r="AN92" s="210">
        <f t="shared" si="26"/>
        <v>0</v>
      </c>
      <c r="AO92" s="15">
        <f t="shared" si="27"/>
        <v>0</v>
      </c>
      <c r="AP92" s="15">
        <f>ABS($P$24)*1000*SVy/Iz/tf/2</f>
        <v>0</v>
      </c>
      <c r="AQ92" s="16">
        <f t="shared" si="28"/>
        <v>0</v>
      </c>
      <c r="AR92" s="16">
        <f t="shared" si="29"/>
        <v>0</v>
      </c>
      <c r="AS92" s="210" t="s">
        <v>199</v>
      </c>
      <c r="AT92" s="15" t="e">
        <f>#REF!*1000000*gM0/(2*PI()*((b-tf)/2)^2*tf)</f>
        <v>#REF!</v>
      </c>
      <c r="AU92" s="16"/>
      <c r="AV92" s="16"/>
      <c r="AW92" s="16"/>
      <c r="AX92" s="212" t="b">
        <f t="shared" si="30"/>
        <v>1</v>
      </c>
      <c r="AY92" s="16">
        <f t="shared" si="31"/>
        <v>0</v>
      </c>
      <c r="AZ92" s="15">
        <f>(Wypl-AY92*4*(h/2-tf/2)^2*tf*(SIN(0.5*PI())-SIN(0.5*PI()-1)))*fy/$W$13/1000000</f>
        <v>5.4566999999999997</v>
      </c>
      <c r="BA92" s="104">
        <f t="shared" si="51"/>
        <v>0</v>
      </c>
      <c r="BB92" s="15">
        <f>(Iy-2*AY92*(h/2)^3*tf*(1-3*tf/h+tf^2/(h)^2-tf^3/(4*(h/2)^3))*(1-SIN(1)*COS(1)))/(h/2)*fy/1000000/$W$13</f>
        <v>4.7082249999999997</v>
      </c>
      <c r="BC92" s="104">
        <f t="shared" si="32"/>
        <v>3.6195353522389916E-2</v>
      </c>
      <c r="BD92" s="204" t="b">
        <f t="shared" si="33"/>
        <v>1</v>
      </c>
      <c r="BE92" s="16">
        <f t="shared" si="34"/>
        <v>0</v>
      </c>
      <c r="BF92" s="15">
        <f>(Wzpl-BE92*4*(h/2-tf/2)^2*tf*(SIN(0.5*PI())-SIN(0.5*PI()-1)))*fy/1000000/$W$13</f>
        <v>1.3676999999999999</v>
      </c>
      <c r="BG92" s="104">
        <f t="shared" si="52"/>
        <v>0</v>
      </c>
      <c r="BH92" s="15">
        <f>(Iz-2*BE92*(h/2)^3*tf*(1-3*tf/h+tf^2/(h)^2-tf^3/(4*(h/2)^3))*(1-SIN(1)*COS(1)))/(h/2)*fy/1000000</f>
        <v>0.49878749999999999</v>
      </c>
      <c r="BI92" s="104">
        <f t="shared" si="35"/>
        <v>0</v>
      </c>
      <c r="BJ92" s="210">
        <f t="shared" si="36"/>
        <v>0</v>
      </c>
      <c r="BK92" s="16">
        <f t="shared" si="37"/>
        <v>0.37382198952879575</v>
      </c>
      <c r="BL92" s="16">
        <f>IF((A-2*h*tw)/A&lt;=0.5,(A-2*h*tw)/A, 0.5)</f>
        <v>0.20418848167539266</v>
      </c>
      <c r="BM92" s="16">
        <f t="shared" si="53"/>
        <v>1</v>
      </c>
      <c r="BN92" s="16">
        <f>IF((1-$BJ92)/(1-0.5*BL92)&lt;=1,(1-$BJ92)/(1-0.5*BL92),1)</f>
        <v>1</v>
      </c>
      <c r="BO92" s="15">
        <f t="shared" si="38"/>
        <v>5.4566999999999997</v>
      </c>
      <c r="BP92" s="104">
        <f t="shared" si="39"/>
        <v>3.6195353522389916E-2</v>
      </c>
      <c r="BQ92" s="15">
        <f>IF(classe=3, $W$11*(1-BJ92),$W$12*BN92)</f>
        <v>1.3676999999999999</v>
      </c>
      <c r="BR92" s="104">
        <f t="shared" si="40"/>
        <v>0</v>
      </c>
      <c r="BS92" s="16">
        <f>IF(classe=3,1,2)</f>
        <v>2</v>
      </c>
      <c r="BT92" s="16">
        <f>IF(classe=3,1,2)</f>
        <v>2</v>
      </c>
      <c r="BU92" s="16">
        <f t="shared" si="41"/>
        <v>1.3101036166107841E-3</v>
      </c>
      <c r="BV92" s="210">
        <f t="shared" si="42"/>
        <v>0</v>
      </c>
      <c r="BW92" s="28">
        <f>(A-BV92*Avz)*fy/1000</f>
        <v>179.54</v>
      </c>
      <c r="BX92" s="16">
        <f t="shared" si="43"/>
        <v>0</v>
      </c>
      <c r="BY92" s="16">
        <f t="shared" si="44"/>
        <v>0.37382198952879575</v>
      </c>
      <c r="BZ92" s="111">
        <f>IF((A-2*h*tw)/A&lt;=0.5,(A-2*h*tw)/A, 0.5)</f>
        <v>0.20418848167539266</v>
      </c>
      <c r="CA92" s="16">
        <f t="shared" si="45"/>
        <v>1</v>
      </c>
      <c r="CB92" s="111">
        <f>IF((1-$BV92)/(1-0.5*BZ92)&lt;=1,(1-$BV92)/(1-0.5*BZ92),1)</f>
        <v>1</v>
      </c>
      <c r="CC92" s="15">
        <f t="shared" si="46"/>
        <v>5.4566999999999997</v>
      </c>
      <c r="CD92" s="15">
        <f>IF(classe=3,CC92-2*BV92*(h/2)^3*tf*(1-3*tf/h+tf^2/(h)^2-tf^3/(4*(h/2)^3))*(1-SIN(1)*COS(1))/(h/2)*fy/1000000,CC92-(BV92*4*(h/2-tf/2)^2*tf*(SIN(0.5*PI())-SIN(0.5*PI()-1)))*fy/1000000)</f>
        <v>5.4566999999999997</v>
      </c>
      <c r="CE92" s="22">
        <f t="shared" si="47"/>
        <v>3.6195353522389916E-2</v>
      </c>
    </row>
    <row r="93" spans="2:106" ht="13">
      <c r="B93" s="98"/>
      <c r="C93" s="24"/>
      <c r="M93" s="24" t="s">
        <v>161</v>
      </c>
      <c r="N93" s="17" t="s">
        <v>157</v>
      </c>
      <c r="O93" s="16">
        <f>IF(classe=3,AC78,AB78)</f>
        <v>0.60000000000000009</v>
      </c>
      <c r="Q93" s="17" t="s">
        <v>160</v>
      </c>
      <c r="R93" s="16">
        <f>IF(classe=3,AC81,AB81)</f>
        <v>0.6</v>
      </c>
      <c r="W93" s="16"/>
      <c r="Z93" s="1"/>
      <c r="AA93" s="63">
        <v>6</v>
      </c>
      <c r="AB93" s="254" t="s">
        <v>203</v>
      </c>
      <c r="AC93" s="104">
        <f t="shared" si="19"/>
        <v>0</v>
      </c>
      <c r="AD93" s="192">
        <f t="shared" si="48"/>
        <v>0</v>
      </c>
      <c r="AE93" s="206">
        <f t="shared" si="20"/>
        <v>3.6195353522389916E-2</v>
      </c>
      <c r="AF93" s="192">
        <f t="shared" si="49"/>
        <v>8.5059080777616298</v>
      </c>
      <c r="AG93" s="104">
        <f t="shared" si="21"/>
        <v>0</v>
      </c>
      <c r="AH93" s="192">
        <f t="shared" si="50"/>
        <v>0</v>
      </c>
      <c r="AI93" s="210">
        <f t="shared" si="22"/>
        <v>0</v>
      </c>
      <c r="AJ93" s="15">
        <f t="shared" si="23"/>
        <v>0</v>
      </c>
      <c r="AK93" s="15">
        <f>ABS($P$23)*1000*SVz/Iy/(tw*2)</f>
        <v>0</v>
      </c>
      <c r="AL93" s="16">
        <f t="shared" si="24"/>
        <v>0</v>
      </c>
      <c r="AM93" s="16">
        <f t="shared" si="25"/>
        <v>0</v>
      </c>
      <c r="AN93" s="210">
        <f t="shared" si="26"/>
        <v>0</v>
      </c>
      <c r="AO93" s="15">
        <f t="shared" si="27"/>
        <v>0</v>
      </c>
      <c r="AP93" s="15">
        <f>ABS($P$24)*1000*SVy/Iz/tf/2</f>
        <v>0</v>
      </c>
      <c r="AQ93" s="16">
        <f t="shared" si="28"/>
        <v>0</v>
      </c>
      <c r="AR93" s="16">
        <f t="shared" si="29"/>
        <v>0</v>
      </c>
      <c r="AS93" s="210" t="s">
        <v>199</v>
      </c>
      <c r="AT93" s="15" t="e">
        <f>#REF!*1000000*gM0/(2*(b-tf)*(h-tf)*tf)</f>
        <v>#REF!</v>
      </c>
      <c r="AU93" s="16"/>
      <c r="AV93" s="16"/>
      <c r="AW93" s="16"/>
      <c r="AX93" s="212" t="b">
        <f t="shared" si="30"/>
        <v>1</v>
      </c>
      <c r="AY93" s="16">
        <f t="shared" si="31"/>
        <v>0</v>
      </c>
      <c r="AZ93" s="177">
        <f>(Wypl-2*AY93*tw*((h-2*tf)^2/4))*fy/$W$13/1000000</f>
        <v>5.4566999999999997</v>
      </c>
      <c r="BA93" s="104">
        <f t="shared" si="51"/>
        <v>0</v>
      </c>
      <c r="BB93" s="177">
        <f>(Wyel-2*BA93*tw*((h-2*tf)^2/6))*fy/$W$13/1000000</f>
        <v>4.7070499999999997</v>
      </c>
      <c r="BC93" s="104">
        <f t="shared" si="32"/>
        <v>3.6195353522389916E-2</v>
      </c>
      <c r="BD93" s="204" t="b">
        <f t="shared" si="33"/>
        <v>1</v>
      </c>
      <c r="BE93" s="16">
        <f t="shared" si="34"/>
        <v>0</v>
      </c>
      <c r="BF93" s="15">
        <f>(Wzpl-2*BE93*tf*((b-2*tw)^2)/4)*fy/$W$13/1000000</f>
        <v>1.3676999999999999</v>
      </c>
      <c r="BG93" s="104">
        <f t="shared" si="52"/>
        <v>0</v>
      </c>
      <c r="BH93" s="15">
        <f>(Wzel-BG93*tf/3*(b-2*tw)^2)*fy/$W$13/1000000</f>
        <v>0.86714999999999998</v>
      </c>
      <c r="BI93" s="104">
        <f t="shared" si="35"/>
        <v>0</v>
      </c>
      <c r="BJ93" s="210">
        <f t="shared" si="36"/>
        <v>0</v>
      </c>
      <c r="BK93" s="16">
        <f t="shared" si="37"/>
        <v>0.37382198952879575</v>
      </c>
      <c r="BL93" s="16">
        <f>IF((A-2*h*tw)/A&lt;=0.5,(A-2*h*tw)/A, 0.5)</f>
        <v>0.20418848167539266</v>
      </c>
      <c r="BM93" s="16">
        <f t="shared" si="53"/>
        <v>1</v>
      </c>
      <c r="BN93" s="16">
        <f>IF((1-$BJ93)/(1-0.5*BL93)&lt;=1,(1-$BJ93)/(1-0.5*BL93),1)</f>
        <v>1</v>
      </c>
      <c r="BO93" s="15">
        <f t="shared" si="38"/>
        <v>5.4566999999999997</v>
      </c>
      <c r="BP93" s="104">
        <f t="shared" si="39"/>
        <v>3.6195353522389916E-2</v>
      </c>
      <c r="BQ93" s="15">
        <f>IF(classe=3, $W$11*(1-BJ93),$W$12*BN93)</f>
        <v>1.3676999999999999</v>
      </c>
      <c r="BR93" s="104">
        <f t="shared" si="40"/>
        <v>0</v>
      </c>
      <c r="BS93" s="16">
        <f>IF(classe=3,1,IF(1.66/(1-1.13*(BJ93)^2)&lt;=6,1.66/(1-1.13*(BJ93)^2),6))</f>
        <v>1.66</v>
      </c>
      <c r="BT93" s="16">
        <f>BS93</f>
        <v>1.66</v>
      </c>
      <c r="BU93" s="16">
        <f t="shared" si="41"/>
        <v>4.0491483252255702E-3</v>
      </c>
      <c r="BV93" s="210">
        <f t="shared" si="42"/>
        <v>0</v>
      </c>
      <c r="BW93" s="28">
        <f>(A*fy-2*BV93*(h-2*tf)*tw*fy)/1000</f>
        <v>179.54</v>
      </c>
      <c r="BX93" s="16">
        <f t="shared" si="43"/>
        <v>0</v>
      </c>
      <c r="BY93" s="16">
        <f t="shared" si="44"/>
        <v>0.37382198952879575</v>
      </c>
      <c r="BZ93" s="111">
        <f>IF((A-2*h*tw)/A&lt;=0.5,(A-2*h*tw)/A, 0.5)</f>
        <v>0.20418848167539266</v>
      </c>
      <c r="CA93" s="16">
        <f t="shared" si="45"/>
        <v>1</v>
      </c>
      <c r="CB93" s="111">
        <f>IF((1-$BV93)/(1-0.5*BZ93)&lt;=1,(1-$BV93)/(1-0.5*BZ93),1)</f>
        <v>1</v>
      </c>
      <c r="CC93" s="15">
        <f t="shared" si="46"/>
        <v>5.4566999999999997</v>
      </c>
      <c r="CD93" s="15">
        <f>IF(classe=3,CC93-2*BV93*((h-2*tf)*tw)^2*fy/6/tw/1000000,CC93-2*BV93*((h-2*tf)*tw)^2*fy/4/tw/1000000)</f>
        <v>5.4566999999999997</v>
      </c>
      <c r="CE93" s="22">
        <f t="shared" si="47"/>
        <v>3.6195353522389916E-2</v>
      </c>
    </row>
    <row r="94" spans="2:106" ht="13">
      <c r="B94" s="187" t="str">
        <f>IF(classe=3,"[6.42]","")</f>
        <v/>
      </c>
      <c r="C94" s="218"/>
      <c r="D94" s="185" t="str">
        <f>IF(classe=3,"σ(N+Mz),x,Ed=","")</f>
        <v/>
      </c>
      <c r="E94" s="185"/>
      <c r="F94" s="185"/>
      <c r="G94" s="107" t="str">
        <f>IF(classe=3,G45+G51,"")</f>
        <v/>
      </c>
      <c r="H94" s="185" t="str">
        <f>IF(classe=3,"N/mm²","")</f>
        <v/>
      </c>
      <c r="I94" s="186"/>
      <c r="N94" s="17" t="s">
        <v>158</v>
      </c>
      <c r="O94" s="16">
        <f>IF(classe=3,AC79,AB79)</f>
        <v>0.36</v>
      </c>
      <c r="Q94" s="17" t="s">
        <v>159</v>
      </c>
      <c r="R94" s="16">
        <f>IF(classe=3, AC80,AB80)</f>
        <v>1</v>
      </c>
      <c r="T94" s="25" t="str">
        <f>IF(P36="oui","kzy suivant tableau B.2","")</f>
        <v>kzy suivant tableau B.2</v>
      </c>
      <c r="Z94" s="1"/>
      <c r="AA94" s="63">
        <v>7</v>
      </c>
      <c r="AB94" s="87" t="str">
        <f>AB9</f>
        <v>Custom</v>
      </c>
      <c r="AC94" s="104">
        <f t="shared" si="19"/>
        <v>0</v>
      </c>
      <c r="AD94" s="192">
        <f t="shared" si="48"/>
        <v>0</v>
      </c>
      <c r="AE94" s="206">
        <f t="shared" si="20"/>
        <v>3.6195353522389916E-2</v>
      </c>
      <c r="AF94" s="192">
        <f t="shared" si="49"/>
        <v>8.5059080777616298</v>
      </c>
      <c r="AG94" s="104">
        <f t="shared" si="21"/>
        <v>0</v>
      </c>
      <c r="AH94" s="192">
        <f t="shared" si="50"/>
        <v>0</v>
      </c>
      <c r="AI94" s="210">
        <f t="shared" si="22"/>
        <v>0</v>
      </c>
      <c r="AJ94" s="15">
        <f t="shared" si="23"/>
        <v>0</v>
      </c>
      <c r="AK94" s="15">
        <f>ABS($P$23)*1000*SVz/Iy/tw</f>
        <v>0</v>
      </c>
      <c r="AL94" s="16">
        <f t="shared" si="24"/>
        <v>0</v>
      </c>
      <c r="AM94" s="16">
        <f t="shared" si="25"/>
        <v>0</v>
      </c>
      <c r="AN94" s="210">
        <f t="shared" si="26"/>
        <v>0</v>
      </c>
      <c r="AO94" s="15">
        <f t="shared" si="27"/>
        <v>0</v>
      </c>
      <c r="AP94" s="15">
        <f>ABS($P$24)*1000*SVy/Iz/tf</f>
        <v>0</v>
      </c>
      <c r="AQ94" s="16">
        <f t="shared" si="28"/>
        <v>0</v>
      </c>
      <c r="AR94" s="16">
        <f t="shared" si="29"/>
        <v>0</v>
      </c>
      <c r="AS94" s="210" t="s">
        <v>199</v>
      </c>
      <c r="AT94" s="16" t="s">
        <v>199</v>
      </c>
      <c r="AU94" s="16"/>
      <c r="AV94" s="16"/>
      <c r="AW94" s="16"/>
      <c r="AX94" s="212" t="b">
        <f t="shared" si="30"/>
        <v>1</v>
      </c>
      <c r="AY94" s="16">
        <f t="shared" si="31"/>
        <v>0</v>
      </c>
      <c r="AZ94" s="15">
        <f>(Wypl-AY94*((h-2*tf)*tw)^2/(4*tw))*fy/$W$13/1000000</f>
        <v>5.4566999999999997</v>
      </c>
      <c r="BA94" s="104">
        <f t="shared" si="51"/>
        <v>0</v>
      </c>
      <c r="BB94" s="177">
        <f>(Wyel-BA94*((h-2*tf)*tw)^2/(6*tw))*fy/$W$13/1000000</f>
        <v>4.7070499999999997</v>
      </c>
      <c r="BC94" s="104">
        <f t="shared" si="32"/>
        <v>3.6195353522389916E-2</v>
      </c>
      <c r="BD94" s="204" t="b">
        <f t="shared" si="33"/>
        <v>1</v>
      </c>
      <c r="BE94" s="16">
        <f t="shared" si="34"/>
        <v>0</v>
      </c>
      <c r="BF94" s="15">
        <f>(Wzpl-BE94/2*tf*(b)^2)*fy/$W$13/1000000</f>
        <v>1.3676999999999999</v>
      </c>
      <c r="BG94" s="104">
        <f t="shared" si="52"/>
        <v>0</v>
      </c>
      <c r="BH94" s="177">
        <f>(Wzel-BG94*tf/3*b^2)*fy/$W$13/1000000</f>
        <v>0.86714999999999998</v>
      </c>
      <c r="BI94" s="104">
        <f t="shared" si="35"/>
        <v>0</v>
      </c>
      <c r="BJ94" s="210">
        <f t="shared" si="36"/>
        <v>0</v>
      </c>
      <c r="BK94" s="16">
        <f t="shared" si="37"/>
        <v>0.37382198952879575</v>
      </c>
      <c r="BL94" s="16">
        <f>IF((A-2*h*tw)/A&lt;=0.5,(A-2*h*tw)/A, 0.5)</f>
        <v>0.20418848167539266</v>
      </c>
      <c r="BM94" s="16">
        <f t="shared" si="53"/>
        <v>1</v>
      </c>
      <c r="BN94" s="16">
        <f>IF((1-$BJ94)/(1-0.5*BL94)&lt;=1,(1-$BJ94)/(1-0.5*BL94),1)</f>
        <v>1</v>
      </c>
      <c r="BO94" s="15">
        <f t="shared" si="38"/>
        <v>5.4566999999999997</v>
      </c>
      <c r="BP94" s="104">
        <f t="shared" si="39"/>
        <v>3.6195353522389916E-2</v>
      </c>
      <c r="BQ94" s="15">
        <f>IF(classe=3,$W$11*(1-BJ94),IF(BJ94&lt;=BK94,$W$12,$W$12*(1-((BJ94-BK94)/(1-BK94))^2)))</f>
        <v>1.3676999999999999</v>
      </c>
      <c r="BR94" s="104">
        <f t="shared" si="40"/>
        <v>0</v>
      </c>
      <c r="BS94" s="16">
        <f>IF(classe=3,1,2)</f>
        <v>2</v>
      </c>
      <c r="BT94" s="16">
        <f>IF(classe=3,1,IF(5*BJ94&gt;=1,5*BJ94,1))</f>
        <v>1</v>
      </c>
      <c r="BU94" s="16">
        <f t="shared" si="41"/>
        <v>1.3101036166107841E-3</v>
      </c>
      <c r="BV94" s="210">
        <f t="shared" si="42"/>
        <v>0</v>
      </c>
      <c r="BW94" s="28">
        <f>(A*fy-BV94*(h-2*tf)*tw*fy)/1000</f>
        <v>179.54</v>
      </c>
      <c r="BX94" s="16">
        <f t="shared" si="43"/>
        <v>0</v>
      </c>
      <c r="BY94" s="16">
        <f t="shared" si="44"/>
        <v>0.37382198952879575</v>
      </c>
      <c r="BZ94" s="111">
        <f>IF((A-2*h*tw)/A&lt;=0.5,(A-2*h*tw)/A, 0.5)</f>
        <v>0.20418848167539266</v>
      </c>
      <c r="CA94" s="16">
        <f t="shared" si="45"/>
        <v>1</v>
      </c>
      <c r="CB94" s="111">
        <f>IF((1-$BV94)/(1-0.5*BZ94)&lt;=1,(1-$BV94)/(1-0.5*BZ94),1)</f>
        <v>1</v>
      </c>
      <c r="CC94" s="15">
        <f t="shared" si="46"/>
        <v>5.4566999999999997</v>
      </c>
      <c r="CD94" s="10">
        <f>IF(classe=3,CC94-BV94*((h-2*tf)*tw)^2*fy/6/tw/1000000,CC94-BV94*((h-2*tf)*tw)^2*fy/4/tw/1000000)</f>
        <v>5.4566999999999997</v>
      </c>
      <c r="CE94" s="22">
        <f t="shared" si="47"/>
        <v>3.6195353522389916E-2</v>
      </c>
    </row>
    <row r="95" spans="2:106" ht="13">
      <c r="B95" s="98"/>
      <c r="C95" s="24"/>
      <c r="Z95" s="1"/>
    </row>
    <row r="96" spans="2:106" ht="13">
      <c r="B96" s="98" t="s">
        <v>227</v>
      </c>
      <c r="C96" s="24"/>
      <c r="D96" s="18" t="s">
        <v>219</v>
      </c>
      <c r="E96" s="18"/>
      <c r="F96" s="18"/>
      <c r="G96" s="104">
        <f>VLOOKUP($AB$2,$AA$88:$CE$94,45)</f>
        <v>2</v>
      </c>
      <c r="H96" s="16"/>
      <c r="I96" s="173"/>
      <c r="M96" s="24" t="s">
        <v>166</v>
      </c>
      <c r="U96" s="47" t="s">
        <v>136</v>
      </c>
      <c r="V96" s="173">
        <f>IF(P22&gt;0,"N &gt;0, ok",IF(classe=3,ABS(P22)/(P63*W6/W14)+O93*MAX(ABS(D31),ABS(D32),ABS(D33))/(S80*W9/W14)+O94*MAX(ABS(D35),ABS(D36),ABS(D37))/(W11/W14),ABS(P22)/(P63*W6/W14)+O93*MAX(ABS(D31),ABS(D32),ABS(D33))/(S80*W10/W14)+O94*MAX(ABS(D35),ABS(D36),ABS(D37))/(W12/W14)))</f>
        <v>0.10705710558618879</v>
      </c>
      <c r="W96" t="str">
        <f>IF(V96&lt;=1,"≤1.00, ok",IF(V96="N &gt;0, ok","","non satisfaisante"))</f>
        <v>≤1.00, ok</v>
      </c>
      <c r="Z96" s="1"/>
    </row>
    <row r="97" spans="2:26" ht="13">
      <c r="B97" s="98"/>
      <c r="C97" s="24"/>
      <c r="D97" s="72" t="s">
        <v>220</v>
      </c>
      <c r="E97" s="72"/>
      <c r="F97" s="72"/>
      <c r="G97" s="104">
        <f>VLOOKUP($AB$2,$AA$88:$CE$94,46)</f>
        <v>1</v>
      </c>
      <c r="H97" s="16"/>
      <c r="I97" s="16"/>
      <c r="V97" s="9"/>
      <c r="Z97" s="1"/>
    </row>
    <row r="98" spans="2:26" ht="13">
      <c r="B98" s="98"/>
      <c r="C98" s="24"/>
      <c r="G98" s="16"/>
      <c r="H98" s="16"/>
      <c r="I98" s="16"/>
      <c r="V98" s="9"/>
      <c r="Z98" s="1"/>
    </row>
    <row r="99" spans="2:26" ht="13">
      <c r="B99" s="98" t="s">
        <v>224</v>
      </c>
      <c r="C99" s="24"/>
      <c r="G99" s="173">
        <f>VLOOKUP($AB$2,$AA$88:$CE$94,47)</f>
        <v>1.3101036166107841E-3</v>
      </c>
      <c r="H99" s="17" t="str">
        <f>IF(G99&lt;=1,"≤ 1.00, ok","non satisfaisante !")</f>
        <v>≤ 1.00, ok</v>
      </c>
      <c r="I99" s="173"/>
      <c r="V99" s="9"/>
      <c r="Z99" s="1"/>
    </row>
    <row r="100" spans="2:26" ht="13">
      <c r="B100" s="98"/>
      <c r="C100" s="24"/>
      <c r="M100" s="24" t="s">
        <v>167</v>
      </c>
      <c r="U100" s="47" t="s">
        <v>136</v>
      </c>
      <c r="V100" s="173">
        <f>IF(P22&gt;0,"N &gt;0, ok",IF(classe=3,ABS(P22)/(U63*W6/W14)+R94*MAX(ABS(D31),ABS(D32),ABS(D33))/(S80*W9/W14)+R93*MAX(ABS(D35),ABS(D36),ABS(D37))/(W11/W14),ABS(P22)/(U63*W6/W14)+R94*MAX(ABS(D31),ABS(D32),ABS(D33))/(S80*W10/W14)+R93*MAX(ABS(D35),ABS(D36),ABS(D37))/(W12/W14)))</f>
        <v>0.17842850931031465</v>
      </c>
      <c r="W100" t="str">
        <f>IF(V100&lt;=1,"≤1.00, ok",IF(V100="N &gt;0, ok","","non satisfaisante"))</f>
        <v>≤1.00, ok</v>
      </c>
      <c r="Z100" s="1"/>
    </row>
    <row r="101" spans="2:26" ht="13">
      <c r="B101" s="187" t="str">
        <f>IF(classe=3,"[6.42]","")</f>
        <v/>
      </c>
      <c r="C101" s="218"/>
      <c r="D101" s="185" t="str">
        <f>IF(classe=3,"σ(N+My+Mz),x,Ed=","")</f>
        <v/>
      </c>
      <c r="E101" s="185"/>
      <c r="F101" s="185"/>
      <c r="G101" s="107" t="str">
        <f>IF(classe=3,AD88+AF88+AH88,"")</f>
        <v/>
      </c>
      <c r="H101" s="185" t="str">
        <f>IF(classe=3,"N/mm²","")</f>
        <v/>
      </c>
      <c r="I101" s="186"/>
      <c r="Z101" s="1"/>
    </row>
    <row r="102" spans="2:26" ht="13">
      <c r="B102" s="187"/>
      <c r="C102" s="218"/>
      <c r="D102" s="185"/>
      <c r="E102" s="185"/>
      <c r="F102" s="185"/>
      <c r="G102" s="107"/>
      <c r="H102" s="185"/>
      <c r="I102" s="186"/>
      <c r="Z102" s="1"/>
    </row>
    <row r="103" spans="2:26" ht="13">
      <c r="B103" s="97" t="s">
        <v>644</v>
      </c>
      <c r="C103" s="388"/>
      <c r="D103" s="389"/>
      <c r="E103" s="389"/>
      <c r="F103" s="389"/>
      <c r="G103" s="390"/>
      <c r="H103" s="389"/>
      <c r="I103" s="391"/>
      <c r="J103" s="392"/>
      <c r="K103" s="392"/>
      <c r="L103" s="392"/>
      <c r="M103" s="392"/>
      <c r="N103" s="392"/>
      <c r="O103" s="392"/>
      <c r="P103" s="392"/>
      <c r="Q103" s="392"/>
      <c r="R103" s="392"/>
      <c r="S103" s="392"/>
      <c r="T103" s="392"/>
      <c r="U103" s="392"/>
      <c r="V103" s="392"/>
      <c r="W103" s="392"/>
      <c r="X103" s="392"/>
      <c r="Y103" s="392"/>
      <c r="Z103" s="393"/>
    </row>
    <row r="104" spans="2:26" ht="13">
      <c r="B104" s="394" t="s">
        <v>647</v>
      </c>
      <c r="C104" s="218"/>
      <c r="D104" s="185"/>
      <c r="E104" s="399" t="s">
        <v>648</v>
      </c>
      <c r="F104" s="396">
        <f>E</f>
        <v>210000</v>
      </c>
      <c r="G104" s="395" t="s">
        <v>318</v>
      </c>
      <c r="H104" s="185"/>
      <c r="I104" s="186"/>
      <c r="Z104" s="1"/>
    </row>
    <row r="105" spans="2:26" ht="13">
      <c r="B105" s="394" t="s">
        <v>645</v>
      </c>
      <c r="C105" s="218"/>
      <c r="D105" s="185"/>
      <c r="E105" s="399" t="s">
        <v>646</v>
      </c>
      <c r="F105" s="396">
        <f>Q12*10^(-12)*F104*10^(6)</f>
        <v>17829</v>
      </c>
      <c r="G105" s="395" t="s">
        <v>649</v>
      </c>
      <c r="H105" s="185"/>
      <c r="I105" s="186"/>
      <c r="Z105" s="1"/>
    </row>
    <row r="106" spans="2:26" ht="13">
      <c r="B106" s="187"/>
      <c r="C106" s="218"/>
      <c r="D106" s="185"/>
      <c r="E106" s="185"/>
      <c r="F106" s="107"/>
      <c r="G106" s="185"/>
      <c r="H106" s="185"/>
      <c r="I106" s="186"/>
      <c r="Z106" s="1"/>
    </row>
    <row r="107" spans="2:26" ht="13">
      <c r="B107" s="97" t="s">
        <v>650</v>
      </c>
      <c r="C107" s="218"/>
      <c r="D107" s="185"/>
      <c r="E107" s="185"/>
      <c r="F107" s="107"/>
      <c r="G107" s="185"/>
      <c r="H107" s="185"/>
      <c r="I107" s="186"/>
      <c r="Z107" s="1"/>
    </row>
    <row r="108" spans="2:26" ht="13">
      <c r="B108" s="394" t="s">
        <v>651</v>
      </c>
      <c r="C108" s="218"/>
      <c r="D108" s="185"/>
      <c r="E108" s="399" t="s">
        <v>76</v>
      </c>
      <c r="F108" s="107">
        <f>(F22+F23*0.3+F24+F25*0.3)*10^3/9.81</f>
        <v>0</v>
      </c>
      <c r="G108" s="395" t="s">
        <v>22</v>
      </c>
      <c r="H108" s="185"/>
      <c r="I108" s="186"/>
      <c r="Z108" s="1"/>
    </row>
    <row r="109" spans="2:26" ht="13">
      <c r="B109" s="394" t="s">
        <v>652</v>
      </c>
      <c r="C109" s="218"/>
      <c r="D109" s="185"/>
      <c r="E109" s="399" t="s">
        <v>94</v>
      </c>
      <c r="F109" s="22">
        <f>IF(J14="1. Encastré / Encastré", 0.41, IF(J14="2. Appuyé / Encastré", 0.45,IF(J14="3. Appuyé / Appuyé", 0.5, 0.64)))</f>
        <v>0.41</v>
      </c>
      <c r="G109" s="107"/>
      <c r="H109" s="185"/>
      <c r="I109" s="186"/>
      <c r="Z109" s="1"/>
    </row>
    <row r="110" spans="2:26" ht="13">
      <c r="B110" s="394" t="s">
        <v>653</v>
      </c>
      <c r="C110" s="218"/>
      <c r="D110" s="185"/>
      <c r="E110" s="399" t="s">
        <v>654</v>
      </c>
      <c r="F110" s="397">
        <f>F109*F108*Lo</f>
        <v>0</v>
      </c>
      <c r="G110" s="395" t="s">
        <v>655</v>
      </c>
      <c r="H110" s="185"/>
      <c r="I110" s="186"/>
      <c r="Z110" s="1"/>
    </row>
    <row r="111" spans="2:26" ht="13">
      <c r="B111" s="394" t="s">
        <v>656</v>
      </c>
      <c r="C111" s="218"/>
      <c r="D111" s="185"/>
      <c r="E111" s="185"/>
      <c r="F111" s="107"/>
      <c r="G111" s="185"/>
      <c r="H111" s="185"/>
      <c r="I111" s="186"/>
      <c r="Z111" s="1"/>
    </row>
    <row r="112" spans="2:26" ht="13">
      <c r="B112" s="187"/>
      <c r="C112" s="218"/>
      <c r="D112" s="185"/>
      <c r="E112" s="399" t="s">
        <v>657</v>
      </c>
      <c r="F112" s="398" t="e">
        <f>2/PI()*SQRT(F105/(F108*Lo^4))</f>
        <v>#DIV/0!</v>
      </c>
      <c r="G112" s="395" t="s">
        <v>627</v>
      </c>
      <c r="H112" s="185"/>
      <c r="I112" s="186"/>
      <c r="Z112" s="1"/>
    </row>
    <row r="113" spans="2:183" s="245" customFormat="1" ht="13.5" thickBot="1">
      <c r="B113" s="188"/>
      <c r="C113" s="219"/>
      <c r="D113" s="57"/>
      <c r="E113" s="57"/>
      <c r="F113" s="57"/>
      <c r="G113" s="57"/>
      <c r="H113" s="57"/>
      <c r="I113" s="57"/>
      <c r="J113" s="57"/>
      <c r="K113" s="57"/>
      <c r="L113" s="57"/>
      <c r="M113" s="57"/>
      <c r="N113" s="57"/>
      <c r="O113" s="57"/>
      <c r="P113" s="57"/>
      <c r="Q113" s="57"/>
      <c r="R113" s="57"/>
      <c r="S113" s="57"/>
      <c r="T113" s="57"/>
      <c r="U113" s="57"/>
      <c r="V113" s="57"/>
      <c r="W113" s="57"/>
      <c r="X113" s="57"/>
      <c r="Y113" s="57"/>
      <c r="Z113" s="2"/>
      <c r="AA113"/>
      <c r="AB113"/>
      <c r="AC113"/>
      <c r="AD113"/>
      <c r="AE113"/>
      <c r="AF113"/>
      <c r="AG113"/>
      <c r="AH113"/>
      <c r="AI113"/>
      <c r="AJ113"/>
      <c r="AK113"/>
      <c r="AL113"/>
      <c r="AM113"/>
      <c r="AN113"/>
      <c r="AO113" s="9"/>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c r="CO113"/>
      <c r="CP113"/>
      <c r="CQ113"/>
      <c r="CR113"/>
      <c r="CS113"/>
      <c r="CT113"/>
      <c r="CU113"/>
      <c r="CV113"/>
      <c r="CW113"/>
      <c r="CX113"/>
      <c r="CY113"/>
      <c r="CZ113"/>
      <c r="DA113"/>
      <c r="DB113"/>
      <c r="DC113"/>
      <c r="DD113"/>
      <c r="DE113"/>
      <c r="DF113"/>
      <c r="DG113"/>
      <c r="DH113"/>
      <c r="DI113"/>
      <c r="DJ113"/>
      <c r="DK113"/>
      <c r="DL113"/>
      <c r="DM113"/>
      <c r="DN113"/>
      <c r="DO113"/>
      <c r="DP113"/>
      <c r="DQ113"/>
      <c r="DR113"/>
      <c r="DS113"/>
      <c r="DT113"/>
      <c r="DU113"/>
      <c r="DV113"/>
      <c r="DW113"/>
      <c r="DX113"/>
      <c r="DY113"/>
      <c r="DZ113"/>
      <c r="EA113"/>
      <c r="EB113"/>
      <c r="EC113"/>
      <c r="ED113"/>
      <c r="EE113"/>
      <c r="EF113"/>
      <c r="EG113"/>
      <c r="EH113"/>
      <c r="EI113"/>
      <c r="EJ113"/>
      <c r="EK113"/>
      <c r="EL113"/>
      <c r="EM113"/>
      <c r="EN113"/>
      <c r="EO113"/>
      <c r="EP113"/>
      <c r="EQ113"/>
      <c r="ER113"/>
      <c r="ES113"/>
      <c r="ET113"/>
      <c r="EU113"/>
      <c r="EV113"/>
      <c r="EW113"/>
      <c r="EX113"/>
      <c r="EY113"/>
      <c r="EZ113"/>
      <c r="FA113"/>
      <c r="FB113"/>
      <c r="FC113"/>
      <c r="FD113"/>
      <c r="FE113"/>
      <c r="FF113"/>
      <c r="FG113"/>
      <c r="FH113"/>
      <c r="FI113"/>
      <c r="FJ113"/>
      <c r="FK113"/>
      <c r="FL113"/>
      <c r="FM113"/>
      <c r="FN113"/>
      <c r="FO113"/>
      <c r="FP113"/>
      <c r="FQ113"/>
      <c r="FR113"/>
      <c r="FS113"/>
      <c r="FT113"/>
      <c r="FU113"/>
      <c r="FV113"/>
      <c r="FW113"/>
      <c r="FX113"/>
      <c r="FY113"/>
      <c r="FZ113"/>
      <c r="GA113"/>
    </row>
    <row r="114" spans="2:183" s="247" customFormat="1" ht="13">
      <c r="B114" s="24"/>
      <c r="C114" s="24"/>
      <c r="D114"/>
      <c r="E114"/>
      <c r="F114"/>
      <c r="G114"/>
      <c r="H114"/>
      <c r="I114"/>
      <c r="J114"/>
      <c r="K114"/>
      <c r="L114"/>
      <c r="M114"/>
      <c r="N114"/>
      <c r="O114"/>
      <c r="P114"/>
      <c r="Q114"/>
      <c r="R114"/>
      <c r="S114"/>
      <c r="T114"/>
      <c r="U114"/>
      <c r="V114"/>
      <c r="W114"/>
      <c r="X114"/>
      <c r="Y114"/>
      <c r="Z114"/>
      <c r="AA114" s="245"/>
      <c r="AB114" s="245"/>
      <c r="AC114" s="245"/>
      <c r="AD114" s="245"/>
      <c r="AE114" s="245"/>
      <c r="AF114" s="245"/>
      <c r="AG114" s="245"/>
      <c r="AH114" s="245"/>
      <c r="AI114" s="245"/>
      <c r="AJ114" s="245"/>
      <c r="AK114" s="245"/>
      <c r="AL114" s="245"/>
      <c r="AM114" s="245"/>
      <c r="AN114" s="245"/>
      <c r="AO114" s="246"/>
      <c r="AP114" s="245"/>
      <c r="AQ114" s="245"/>
      <c r="AR114" s="245"/>
      <c r="AS114" s="245"/>
      <c r="AT114" s="245"/>
      <c r="AU114" s="245"/>
      <c r="AV114" s="245"/>
      <c r="AW114" s="245"/>
      <c r="AX114" s="245"/>
      <c r="AY114" s="245"/>
      <c r="AZ114" s="245"/>
      <c r="BA114" s="245"/>
      <c r="BB114" s="245"/>
      <c r="BC114" s="245"/>
      <c r="BD114" s="245"/>
      <c r="BE114" s="245"/>
      <c r="BF114" s="245"/>
      <c r="BG114" s="245"/>
      <c r="BH114" s="245"/>
      <c r="BI114" s="245"/>
      <c r="BJ114" s="245"/>
      <c r="BK114" s="245"/>
      <c r="BL114" s="245"/>
      <c r="BM114" s="245"/>
      <c r="BN114" s="245"/>
      <c r="BO114" s="245"/>
      <c r="BP114" s="245"/>
      <c r="BQ114" s="245"/>
      <c r="BR114" s="245"/>
      <c r="BS114" s="245"/>
      <c r="BT114" s="245"/>
      <c r="BU114" s="245"/>
      <c r="BV114" s="245"/>
      <c r="BW114" s="245"/>
      <c r="BX114" s="245"/>
      <c r="BY114" s="245"/>
      <c r="BZ114" s="245"/>
      <c r="CA114" s="245"/>
      <c r="CB114" s="245"/>
      <c r="CC114" s="245"/>
      <c r="CD114" s="245"/>
      <c r="CE114" s="245"/>
      <c r="CF114" s="245"/>
      <c r="CG114" s="245"/>
      <c r="CH114" s="245"/>
      <c r="CI114"/>
      <c r="CJ114" s="245"/>
      <c r="CK114" s="245"/>
      <c r="CL114" s="245"/>
      <c r="CM114" s="245"/>
      <c r="CN114" s="245"/>
      <c r="CO114" s="245"/>
      <c r="CP114" s="245"/>
      <c r="CQ114" s="245"/>
      <c r="CR114" s="245"/>
      <c r="CS114" s="245"/>
      <c r="CT114" s="245"/>
      <c r="CU114" s="245"/>
      <c r="CV114" s="245"/>
      <c r="CW114" s="245"/>
      <c r="CX114" s="245"/>
      <c r="CY114" s="245"/>
      <c r="CZ114" s="245"/>
      <c r="DA114" s="245"/>
      <c r="DB114" s="245"/>
      <c r="DC114" s="245"/>
      <c r="DD114" s="245"/>
      <c r="DE114" s="245"/>
      <c r="DF114" s="245"/>
      <c r="DG114" s="245"/>
      <c r="DH114" s="245"/>
      <c r="DI114" s="245"/>
      <c r="DJ114" s="245"/>
      <c r="DK114" s="245"/>
      <c r="DL114" s="245"/>
      <c r="DM114" s="245"/>
      <c r="DN114" s="245"/>
      <c r="DO114" s="245"/>
      <c r="DP114" s="245"/>
      <c r="DQ114" s="245"/>
      <c r="DR114" s="245"/>
      <c r="DS114" s="245"/>
      <c r="DT114" s="245"/>
      <c r="DU114" s="245"/>
      <c r="DV114" s="245"/>
      <c r="DW114" s="245"/>
      <c r="DX114" s="245"/>
      <c r="DY114" s="245"/>
      <c r="DZ114" s="245"/>
      <c r="EA114" s="245"/>
      <c r="EB114" s="245"/>
      <c r="EC114" s="245"/>
      <c r="ED114" s="245"/>
      <c r="EE114" s="245"/>
      <c r="EF114" s="245"/>
      <c r="EG114" s="245"/>
      <c r="EH114" s="245"/>
      <c r="EI114" s="245"/>
      <c r="EJ114" s="245"/>
      <c r="EK114" s="245"/>
      <c r="EL114" s="245"/>
      <c r="EM114" s="245"/>
      <c r="EN114" s="245"/>
      <c r="EO114" s="245"/>
      <c r="EP114" s="245"/>
      <c r="EQ114" s="245"/>
      <c r="ER114" s="245"/>
      <c r="ES114" s="245"/>
      <c r="ET114" s="245"/>
      <c r="EU114" s="245"/>
      <c r="EV114" s="245"/>
      <c r="EW114" s="245"/>
      <c r="EX114" s="245"/>
      <c r="EY114" s="245"/>
      <c r="EZ114" s="245"/>
      <c r="FA114" s="245"/>
      <c r="FB114" s="245"/>
      <c r="FC114" s="245"/>
      <c r="FD114" s="245"/>
      <c r="FE114" s="245"/>
      <c r="FF114" s="245"/>
      <c r="FG114" s="245"/>
      <c r="FH114" s="245"/>
      <c r="FI114" s="245"/>
      <c r="FJ114" s="245"/>
      <c r="FK114" s="245"/>
      <c r="FL114" s="245"/>
      <c r="FM114" s="245"/>
      <c r="FN114" s="245"/>
      <c r="FO114" s="245"/>
      <c r="FP114" s="245"/>
      <c r="FQ114" s="245"/>
      <c r="FR114" s="245"/>
      <c r="FS114" s="245"/>
      <c r="FT114" s="245"/>
      <c r="FU114" s="245"/>
      <c r="FV114" s="245"/>
      <c r="FW114" s="245"/>
      <c r="FX114" s="245"/>
      <c r="FY114" s="245"/>
      <c r="FZ114" s="245"/>
      <c r="GA114" s="245"/>
    </row>
  </sheetData>
  <protectedRanges>
    <protectedRange sqref="AI48 AH42:AH44 P30:P36" name="Facteurs stabilité"/>
    <protectedRange sqref="P22 P24:P28 G14:G17" name="Charges et dimensions"/>
    <protectedRange sqref="D31:D33 D35:D37" name="Charges et dimensions_2"/>
  </protectedRanges>
  <dataConsolidate/>
  <mergeCells count="27">
    <mergeCell ref="AQ39:AQ42"/>
    <mergeCell ref="J14:M14"/>
    <mergeCell ref="J16:K16"/>
    <mergeCell ref="AQ33:AQ36"/>
    <mergeCell ref="AP20:AP27"/>
    <mergeCell ref="AP12:AP19"/>
    <mergeCell ref="AQ29:AQ32"/>
    <mergeCell ref="AQ12:AQ15"/>
    <mergeCell ref="AQ24:AQ27"/>
    <mergeCell ref="AY10:BA10"/>
    <mergeCell ref="BB10:BD10"/>
    <mergeCell ref="BL3:BL9"/>
    <mergeCell ref="BJ2:BL2"/>
    <mergeCell ref="BK3:BK9"/>
    <mergeCell ref="BJ3:BJ9"/>
    <mergeCell ref="BM2:BO2"/>
    <mergeCell ref="BM3:BM9"/>
    <mergeCell ref="BN3:BN9"/>
    <mergeCell ref="BO3:BO9"/>
    <mergeCell ref="AR5:AR6"/>
    <mergeCell ref="AR3:AR4"/>
    <mergeCell ref="G20:H20"/>
    <mergeCell ref="AS10:AU10"/>
    <mergeCell ref="AV10:AX10"/>
    <mergeCell ref="M20:N20"/>
    <mergeCell ref="AQ16:AQ19"/>
    <mergeCell ref="AQ20:AQ23"/>
  </mergeCells>
  <phoneticPr fontId="3" type="noConversion"/>
  <conditionalFormatting sqref="L2:L4 X35:X38 X23:X33">
    <cfRule type="cellIs" dxfId="3" priority="13" stopIfTrue="1" operator="greaterThan">
      <formula>1</formula>
    </cfRule>
  </conditionalFormatting>
  <conditionalFormatting sqref="B27">
    <cfRule type="cellIs" dxfId="2" priority="17" stopIfTrue="1" operator="notEqual">
      <formula>""" """</formula>
    </cfRule>
  </conditionalFormatting>
  <conditionalFormatting sqref="X20">
    <cfRule type="cellIs" dxfId="1" priority="4" operator="between">
      <formula>$AL$3</formula>
      <formula>$AM$3</formula>
    </cfRule>
  </conditionalFormatting>
  <conditionalFormatting sqref="X21">
    <cfRule type="cellIs" dxfId="0" priority="1" operator="between">
      <formula>$AL$4</formula>
      <formula>$AM$4</formula>
    </cfRule>
  </conditionalFormatting>
  <dataValidations count="5">
    <dataValidation type="list" allowBlank="1" showInputMessage="1" showErrorMessage="1" sqref="M20:N20" xr:uid="{00000000-0002-0000-0100-000000000000}">
      <formula1>$AN$19:$AN$21</formula1>
    </dataValidation>
    <dataValidation type="list" allowBlank="1" showInputMessage="1" showErrorMessage="1" sqref="P36" xr:uid="{00000000-0002-0000-0100-000001000000}">
      <formula1>"oui,non"</formula1>
    </dataValidation>
    <dataValidation type="list" allowBlank="1" showInputMessage="1" showErrorMessage="1" sqref="P35" xr:uid="{00000000-0002-0000-0100-000002000000}">
      <formula1>"U,C,N"</formula1>
    </dataValidation>
    <dataValidation type="list" allowBlank="1" showInputMessage="1" showErrorMessage="1" sqref="J14" xr:uid="{00000000-0002-0000-0100-000003000000}">
      <formula1>$AN$12:$AN$15</formula1>
    </dataValidation>
    <dataValidation type="list" allowBlank="1" showInputMessage="1" showErrorMessage="1" sqref="J16:K16" xr:uid="{00000000-0002-0000-0100-000004000000}">
      <formula1>$AN$24:$AN$25</formula1>
    </dataValidation>
  </dataValidations>
  <pageMargins left="0.78740157499999996" right="0.59" top="0.984251969" bottom="0.984251969" header="0.4921259845" footer="0.4921259845"/>
  <pageSetup paperSize="9" scale="54" orientation="portrait" r:id="rId1"/>
  <headerFooter alignWithMargins="0">
    <oddFooter>&amp;R_x000D_&amp;1#&amp;"Aptos"&amp;10&amp;K000000 Data sensitivity - Public</oddFooter>
  </headerFooter>
  <ignoredErrors>
    <ignoredError sqref="Y36" formula="1"/>
  </ignoredErrors>
  <drawing r:id="rId2"/>
  <legacyDrawing r:id="rId3"/>
  <oleObjects>
    <mc:AlternateContent xmlns:mc="http://schemas.openxmlformats.org/markup-compatibility/2006">
      <mc:Choice Requires="x14">
        <oleObject progId="Equation.3" shapeId="1036" r:id="rId4">
          <objectPr defaultSize="0" autoPict="0" r:id="rId5">
            <anchor moveWithCells="1" sizeWithCells="1">
              <from>
                <xdr:col>13</xdr:col>
                <xdr:colOff>31750</xdr:colOff>
                <xdr:row>94</xdr:row>
                <xdr:rowOff>69850</xdr:rowOff>
              </from>
              <to>
                <xdr:col>19</xdr:col>
                <xdr:colOff>190500</xdr:colOff>
                <xdr:row>97</xdr:row>
                <xdr:rowOff>114300</xdr:rowOff>
              </to>
            </anchor>
          </objectPr>
        </oleObject>
      </mc:Choice>
      <mc:Fallback>
        <oleObject progId="Equation.3" shapeId="1036" r:id="rId4"/>
      </mc:Fallback>
    </mc:AlternateContent>
    <mc:AlternateContent xmlns:mc="http://schemas.openxmlformats.org/markup-compatibility/2006">
      <mc:Choice Requires="x14">
        <oleObject progId="Equation.3" shapeId="1037" r:id="rId6">
          <objectPr defaultSize="0" autoPict="0" r:id="rId7">
            <anchor moveWithCells="1" sizeWithCells="1">
              <from>
                <xdr:col>13</xdr:col>
                <xdr:colOff>31750</xdr:colOff>
                <xdr:row>97</xdr:row>
                <xdr:rowOff>152400</xdr:rowOff>
              </from>
              <to>
                <xdr:col>19</xdr:col>
                <xdr:colOff>215900</xdr:colOff>
                <xdr:row>101</xdr:row>
                <xdr:rowOff>63500</xdr:rowOff>
              </to>
            </anchor>
          </objectPr>
        </oleObject>
      </mc:Choice>
      <mc:Fallback>
        <oleObject progId="Equation.3" shapeId="1037" r:id="rId6"/>
      </mc:Fallback>
    </mc:AlternateContent>
    <mc:AlternateContent xmlns:mc="http://schemas.openxmlformats.org/markup-compatibility/2006">
      <mc:Choice Requires="x14">
        <oleObject progId="Equation.3" shapeId="1048" r:id="rId8">
          <objectPr defaultSize="0" autoPict="0" r:id="rId9">
            <anchor moveWithCells="1" sizeWithCells="1">
              <from>
                <xdr:col>2</xdr:col>
                <xdr:colOff>152400</xdr:colOff>
                <xdr:row>97</xdr:row>
                <xdr:rowOff>31750</xdr:rowOff>
              </from>
              <to>
                <xdr:col>6</xdr:col>
                <xdr:colOff>0</xdr:colOff>
                <xdr:row>99</xdr:row>
                <xdr:rowOff>139700</xdr:rowOff>
              </to>
            </anchor>
          </objectPr>
        </oleObject>
      </mc:Choice>
      <mc:Fallback>
        <oleObject progId="Equation.3" shapeId="1048" r:id="rId8"/>
      </mc:Fallback>
    </mc:AlternateContent>
    <mc:AlternateContent xmlns:mc="http://schemas.openxmlformats.org/markup-compatibility/2006">
      <mc:Choice Requires="x14">
        <oleObject progId="Equation.3" shapeId="1049" r:id="rId10">
          <objectPr defaultSize="0" autoPict="0" r:id="rId11">
            <anchor moveWithCells="1" sizeWithCells="1">
              <from>
                <xdr:col>3</xdr:col>
                <xdr:colOff>25400</xdr:colOff>
                <xdr:row>86</xdr:row>
                <xdr:rowOff>63500</xdr:rowOff>
              </from>
              <to>
                <xdr:col>4</xdr:col>
                <xdr:colOff>266700</xdr:colOff>
                <xdr:row>88</xdr:row>
                <xdr:rowOff>114300</xdr:rowOff>
              </to>
            </anchor>
          </objectPr>
        </oleObject>
      </mc:Choice>
      <mc:Fallback>
        <oleObject progId="Equation.3" shapeId="1049" r:id="rId10"/>
      </mc:Fallback>
    </mc:AlternateContent>
    <mc:AlternateContent xmlns:mc="http://schemas.openxmlformats.org/markup-compatibility/2006">
      <mc:Choice Requires="x14">
        <oleObject progId="Equation.3" shapeId="1050" r:id="rId12">
          <objectPr defaultSize="0" autoPict="0" r:id="rId13">
            <anchor moveWithCells="1" sizeWithCells="1">
              <from>
                <xdr:col>3</xdr:col>
                <xdr:colOff>25400</xdr:colOff>
                <xdr:row>90</xdr:row>
                <xdr:rowOff>76200</xdr:rowOff>
              </from>
              <to>
                <xdr:col>4</xdr:col>
                <xdr:colOff>304800</xdr:colOff>
                <xdr:row>92</xdr:row>
                <xdr:rowOff>146050</xdr:rowOff>
              </to>
            </anchor>
          </objectPr>
        </oleObject>
      </mc:Choice>
      <mc:Fallback>
        <oleObject progId="Equation.3" shapeId="1050" r:id="rId12"/>
      </mc:Fallback>
    </mc:AlternateContent>
    <mc:AlternateContent xmlns:mc="http://schemas.openxmlformats.org/markup-compatibility/2006">
      <mc:Choice Requires="x14">
        <oleObject progId="Equation.3" shapeId="1054" r:id="rId14">
          <objectPr defaultSize="0" autoPict="0" r:id="rId15">
            <anchor moveWithCells="1" sizeWithCells="1">
              <from>
                <xdr:col>13</xdr:col>
                <xdr:colOff>0</xdr:colOff>
                <xdr:row>84</xdr:row>
                <xdr:rowOff>63500</xdr:rowOff>
              </from>
              <to>
                <xdr:col>14</xdr:col>
                <xdr:colOff>292100</xdr:colOff>
                <xdr:row>86</xdr:row>
                <xdr:rowOff>114300</xdr:rowOff>
              </to>
            </anchor>
          </objectPr>
        </oleObject>
      </mc:Choice>
      <mc:Fallback>
        <oleObject progId="Equation.3" shapeId="1054" r:id="rId14"/>
      </mc:Fallback>
    </mc:AlternateContent>
    <mc:AlternateContent xmlns:mc="http://schemas.openxmlformats.org/markup-compatibility/2006">
      <mc:Choice Requires="x14">
        <oleObject progId="Equation.3" shapeId="1055" r:id="rId16">
          <objectPr defaultSize="0" autoPict="0" r:id="rId17">
            <anchor moveWithCells="1" sizeWithCells="1">
              <from>
                <xdr:col>13</xdr:col>
                <xdr:colOff>25400</xdr:colOff>
                <xdr:row>65</xdr:row>
                <xdr:rowOff>69850</xdr:rowOff>
              </from>
              <to>
                <xdr:col>14</xdr:col>
                <xdr:colOff>266700</xdr:colOff>
                <xdr:row>67</xdr:row>
                <xdr:rowOff>139700</xdr:rowOff>
              </to>
            </anchor>
          </objectPr>
        </oleObject>
      </mc:Choice>
      <mc:Fallback>
        <oleObject progId="Equation.3" shapeId="1055" r:id="rId16"/>
      </mc:Fallback>
    </mc:AlternateContent>
    <mc:AlternateContent xmlns:mc="http://schemas.openxmlformats.org/markup-compatibility/2006">
      <mc:Choice Requires="x14">
        <oleObject progId="Equation.3" shapeId="1057" r:id="rId18">
          <objectPr defaultSize="0" autoPict="0" r:id="rId19">
            <anchor moveWithCells="1" sizeWithCells="1">
              <from>
                <xdr:col>3</xdr:col>
                <xdr:colOff>25400</xdr:colOff>
                <xdr:row>42</xdr:row>
                <xdr:rowOff>69850</xdr:rowOff>
              </from>
              <to>
                <xdr:col>4</xdr:col>
                <xdr:colOff>184150</xdr:colOff>
                <xdr:row>44</xdr:row>
                <xdr:rowOff>139700</xdr:rowOff>
              </to>
            </anchor>
          </objectPr>
        </oleObject>
      </mc:Choice>
      <mc:Fallback>
        <oleObject progId="Equation.3" shapeId="1057" r:id="rId18"/>
      </mc:Fallback>
    </mc:AlternateContent>
    <mc:AlternateContent xmlns:mc="http://schemas.openxmlformats.org/markup-compatibility/2006">
      <mc:Choice Requires="x14">
        <oleObject progId="Equation.3" shapeId="1208" r:id="rId20">
          <objectPr defaultSize="0" autoPict="0" r:id="rId21">
            <anchor moveWithCells="1" sizeWithCells="1">
              <from>
                <xdr:col>3</xdr:col>
                <xdr:colOff>25400</xdr:colOff>
                <xdr:row>52</xdr:row>
                <xdr:rowOff>69850</xdr:rowOff>
              </from>
              <to>
                <xdr:col>4</xdr:col>
                <xdr:colOff>152400</xdr:colOff>
                <xdr:row>54</xdr:row>
                <xdr:rowOff>139700</xdr:rowOff>
              </to>
            </anchor>
          </objectPr>
        </oleObject>
      </mc:Choice>
      <mc:Fallback>
        <oleObject progId="Equation.3" shapeId="1208" r:id="rId20"/>
      </mc:Fallback>
    </mc:AlternateContent>
    <mc:AlternateContent xmlns:mc="http://schemas.openxmlformats.org/markup-compatibility/2006">
      <mc:Choice Requires="x14">
        <oleObject progId="Equation.3" shapeId="1209" r:id="rId22">
          <objectPr defaultSize="0" autoPict="0" r:id="rId23">
            <anchor moveWithCells="1" sizeWithCells="1">
              <from>
                <xdr:col>3</xdr:col>
                <xdr:colOff>0</xdr:colOff>
                <xdr:row>54</xdr:row>
                <xdr:rowOff>101600</xdr:rowOff>
              </from>
              <to>
                <xdr:col>4</xdr:col>
                <xdr:colOff>177800</xdr:colOff>
                <xdr:row>56</xdr:row>
                <xdr:rowOff>152400</xdr:rowOff>
              </to>
            </anchor>
          </objectPr>
        </oleObject>
      </mc:Choice>
      <mc:Fallback>
        <oleObject progId="Equation.3" shapeId="1209" r:id="rId22"/>
      </mc:Fallback>
    </mc:AlternateContent>
    <mc:AlternateContent xmlns:mc="http://schemas.openxmlformats.org/markup-compatibility/2006">
      <mc:Choice Requires="x14">
        <oleObject progId="Equation.3" shapeId="1212" r:id="rId24">
          <objectPr defaultSize="0" autoPict="0" r:id="rId25">
            <anchor moveWithCells="1" sizeWithCells="1">
              <from>
                <xdr:col>37</xdr:col>
                <xdr:colOff>0</xdr:colOff>
                <xdr:row>86</xdr:row>
                <xdr:rowOff>0</xdr:rowOff>
              </from>
              <to>
                <xdr:col>38</xdr:col>
                <xdr:colOff>0</xdr:colOff>
                <xdr:row>87</xdr:row>
                <xdr:rowOff>38100</xdr:rowOff>
              </to>
            </anchor>
          </objectPr>
        </oleObject>
      </mc:Choice>
      <mc:Fallback>
        <oleObject progId="Equation.3" shapeId="1212" r:id="rId24"/>
      </mc:Fallback>
    </mc:AlternateContent>
    <mc:AlternateContent xmlns:mc="http://schemas.openxmlformats.org/markup-compatibility/2006">
      <mc:Choice Requires="x14">
        <oleObject progId="Equation.3" shapeId="1231" r:id="rId26">
          <objectPr defaultSize="0" autoPict="0" r:id="rId25">
            <anchor moveWithCells="1" sizeWithCells="1">
              <from>
                <xdr:col>42</xdr:col>
                <xdr:colOff>0</xdr:colOff>
                <xdr:row>85</xdr:row>
                <xdr:rowOff>146050</xdr:rowOff>
              </from>
              <to>
                <xdr:col>43</xdr:col>
                <xdr:colOff>0</xdr:colOff>
                <xdr:row>87</xdr:row>
                <xdr:rowOff>31750</xdr:rowOff>
              </to>
            </anchor>
          </objectPr>
        </oleObject>
      </mc:Choice>
      <mc:Fallback>
        <oleObject progId="Equation.3" shapeId="1231" r:id="rId26"/>
      </mc:Fallback>
    </mc:AlternateContent>
    <mc:AlternateContent xmlns:mc="http://schemas.openxmlformats.org/markup-compatibility/2006">
      <mc:Choice Requires="x14">
        <oleObject progId="Equation.3" shapeId="1300" r:id="rId27">
          <objectPr defaultSize="0" autoPict="0" r:id="rId28">
            <anchor moveWithCells="1" sizeWithCells="1">
              <from>
                <xdr:col>13</xdr:col>
                <xdr:colOff>0</xdr:colOff>
                <xdr:row>50</xdr:row>
                <xdr:rowOff>69850</xdr:rowOff>
              </from>
              <to>
                <xdr:col>15</xdr:col>
                <xdr:colOff>184150</xdr:colOff>
                <xdr:row>52</xdr:row>
                <xdr:rowOff>139700</xdr:rowOff>
              </to>
            </anchor>
          </objectPr>
        </oleObject>
      </mc:Choice>
      <mc:Fallback>
        <oleObject progId="Equation.3" shapeId="1300" r:id="rId27"/>
      </mc:Fallback>
    </mc:AlternateContent>
    <mc:AlternateContent xmlns:mc="http://schemas.openxmlformats.org/markup-compatibility/2006">
      <mc:Choice Requires="x14">
        <oleObject progId="Equation.3" shapeId="1306" r:id="rId29">
          <objectPr defaultSize="0" autoPict="0" r:id="rId30">
            <anchor moveWithCells="1" sizeWithCells="1">
              <from>
                <xdr:col>3</xdr:col>
                <xdr:colOff>0</xdr:colOff>
                <xdr:row>46</xdr:row>
                <xdr:rowOff>76200</xdr:rowOff>
              </from>
              <to>
                <xdr:col>4</xdr:col>
                <xdr:colOff>184150</xdr:colOff>
                <xdr:row>48</xdr:row>
                <xdr:rowOff>114300</xdr:rowOff>
              </to>
            </anchor>
          </objectPr>
        </oleObject>
      </mc:Choice>
      <mc:Fallback>
        <oleObject progId="Equation.3" shapeId="1306" r:id="rId29"/>
      </mc:Fallback>
    </mc:AlternateContent>
    <mc:AlternateContent xmlns:mc="http://schemas.openxmlformats.org/markup-compatibility/2006">
      <mc:Choice Requires="x14">
        <oleObject progId="Equation.3" shapeId="1307" r:id="rId31">
          <objectPr defaultSize="0" autoPict="0" r:id="rId32">
            <anchor moveWithCells="1" sizeWithCells="1">
              <from>
                <xdr:col>13</xdr:col>
                <xdr:colOff>25400</xdr:colOff>
                <xdr:row>42</xdr:row>
                <xdr:rowOff>38100</xdr:rowOff>
              </from>
              <to>
                <xdr:col>15</xdr:col>
                <xdr:colOff>298450</xdr:colOff>
                <xdr:row>44</xdr:row>
                <xdr:rowOff>146050</xdr:rowOff>
              </to>
            </anchor>
          </objectPr>
        </oleObject>
      </mc:Choice>
      <mc:Fallback>
        <oleObject progId="Equation.3" shapeId="1307" r:id="rId31"/>
      </mc:Fallback>
    </mc:AlternateContent>
    <mc:AlternateContent xmlns:mc="http://schemas.openxmlformats.org/markup-compatibility/2006">
      <mc:Choice Requires="x14">
        <oleObject progId="Equation.3" shapeId="1308" r:id="rId33">
          <objectPr defaultSize="0" autoPict="0" r:id="rId34">
            <anchor moveWithCells="1" sizeWithCells="1">
              <from>
                <xdr:col>3</xdr:col>
                <xdr:colOff>25400</xdr:colOff>
                <xdr:row>78</xdr:row>
                <xdr:rowOff>69850</xdr:rowOff>
              </from>
              <to>
                <xdr:col>5</xdr:col>
                <xdr:colOff>0</xdr:colOff>
                <xdr:row>80</xdr:row>
                <xdr:rowOff>139700</xdr:rowOff>
              </to>
            </anchor>
          </objectPr>
        </oleObject>
      </mc:Choice>
      <mc:Fallback>
        <oleObject progId="Equation.3" shapeId="1308" r:id="rId33"/>
      </mc:Fallback>
    </mc:AlternateContent>
    <mc:AlternateContent xmlns:mc="http://schemas.openxmlformats.org/markup-compatibility/2006">
      <mc:Choice Requires="x14">
        <oleObject progId="Equation.3" shapeId="1318" r:id="rId35">
          <objectPr defaultSize="0" autoPict="0" r:id="rId36">
            <anchor moveWithCells="1" sizeWithCells="1">
              <from>
                <xdr:col>3</xdr:col>
                <xdr:colOff>0</xdr:colOff>
                <xdr:row>61</xdr:row>
                <xdr:rowOff>38100</xdr:rowOff>
              </from>
              <to>
                <xdr:col>4</xdr:col>
                <xdr:colOff>292100</xdr:colOff>
                <xdr:row>63</xdr:row>
                <xdr:rowOff>139700</xdr:rowOff>
              </to>
            </anchor>
          </objectPr>
        </oleObject>
      </mc:Choice>
      <mc:Fallback>
        <oleObject progId="Equation.3" shapeId="1318" r:id="rId35"/>
      </mc:Fallback>
    </mc:AlternateContent>
    <mc:AlternateContent xmlns:mc="http://schemas.openxmlformats.org/markup-compatibility/2006">
      <mc:Choice Requires="x14">
        <oleObject progId="Equation.3" shapeId="1320" r:id="rId37">
          <objectPr defaultSize="0" autoPict="0" r:id="rId38">
            <anchor moveWithCells="1" sizeWithCells="1">
              <from>
                <xdr:col>3</xdr:col>
                <xdr:colOff>0</xdr:colOff>
                <xdr:row>69</xdr:row>
                <xdr:rowOff>0</xdr:rowOff>
              </from>
              <to>
                <xdr:col>4</xdr:col>
                <xdr:colOff>342900</xdr:colOff>
                <xdr:row>71</xdr:row>
                <xdr:rowOff>139700</xdr:rowOff>
              </to>
            </anchor>
          </objectPr>
        </oleObject>
      </mc:Choice>
      <mc:Fallback>
        <oleObject progId="Equation.3" shapeId="1320" r:id="rId37"/>
      </mc:Fallback>
    </mc:AlternateContent>
    <mc:AlternateContent xmlns:mc="http://schemas.openxmlformats.org/markup-compatibility/2006">
      <mc:Choice Requires="x14">
        <oleObject progId="Equation.3" shapeId="1322" r:id="rId39">
          <objectPr defaultSize="0" autoPict="0" r:id="rId40">
            <anchor moveWithCells="1" sizeWithCells="1">
              <from>
                <xdr:col>3</xdr:col>
                <xdr:colOff>25400</xdr:colOff>
                <xdr:row>73</xdr:row>
                <xdr:rowOff>63500</xdr:rowOff>
              </from>
              <to>
                <xdr:col>4</xdr:col>
                <xdr:colOff>266700</xdr:colOff>
                <xdr:row>75</xdr:row>
                <xdr:rowOff>114300</xdr:rowOff>
              </to>
            </anchor>
          </objectPr>
        </oleObject>
      </mc:Choice>
      <mc:Fallback>
        <oleObject progId="Equation.3" shapeId="1322" r:id="rId39"/>
      </mc:Fallback>
    </mc:AlternateContent>
    <mc:AlternateContent xmlns:mc="http://schemas.openxmlformats.org/markup-compatibility/2006">
      <mc:Choice Requires="x14">
        <oleObject progId="Equation.3" shapeId="1324" r:id="rId41">
          <objectPr defaultSize="0" autoPict="0" r:id="rId42">
            <anchor moveWithCells="1" sizeWithCells="1">
              <from>
                <xdr:col>3</xdr:col>
                <xdr:colOff>0</xdr:colOff>
                <xdr:row>48</xdr:row>
                <xdr:rowOff>76200</xdr:rowOff>
              </from>
              <to>
                <xdr:col>4</xdr:col>
                <xdr:colOff>190500</xdr:colOff>
                <xdr:row>50</xdr:row>
                <xdr:rowOff>146050</xdr:rowOff>
              </to>
            </anchor>
          </objectPr>
        </oleObject>
      </mc:Choice>
      <mc:Fallback>
        <oleObject progId="Equation.3" shapeId="1324" r:id="rId41"/>
      </mc:Fallback>
    </mc:AlternateContent>
    <mc:AlternateContent xmlns:mc="http://schemas.openxmlformats.org/markup-compatibility/2006">
      <mc:Choice Requires="x14">
        <oleObject progId="Equation.3" shapeId="1343" r:id="rId43">
          <objectPr defaultSize="0" autoPict="0" r:id="rId25">
            <anchor moveWithCells="1" sizeWithCells="1">
              <from>
                <xdr:col>36</xdr:col>
                <xdr:colOff>488950</xdr:colOff>
                <xdr:row>114</xdr:row>
                <xdr:rowOff>0</xdr:rowOff>
              </from>
              <to>
                <xdr:col>37</xdr:col>
                <xdr:colOff>869950</xdr:colOff>
                <xdr:row>114</xdr:row>
                <xdr:rowOff>0</xdr:rowOff>
              </to>
            </anchor>
          </objectPr>
        </oleObject>
      </mc:Choice>
      <mc:Fallback>
        <oleObject progId="Equation.3" shapeId="1343" r:id="rId43"/>
      </mc:Fallback>
    </mc:AlternateContent>
    <mc:AlternateContent xmlns:mc="http://schemas.openxmlformats.org/markup-compatibility/2006">
      <mc:Choice Requires="x14">
        <oleObject progId="Equation.3" shapeId="1344" r:id="rId44">
          <objectPr defaultSize="0" autoPict="0" r:id="rId25">
            <anchor moveWithCells="1" sizeWithCells="1">
              <from>
                <xdr:col>42</xdr:col>
                <xdr:colOff>69850</xdr:colOff>
                <xdr:row>114</xdr:row>
                <xdr:rowOff>0</xdr:rowOff>
              </from>
              <to>
                <xdr:col>42</xdr:col>
                <xdr:colOff>1092200</xdr:colOff>
                <xdr:row>114</xdr:row>
                <xdr:rowOff>0</xdr:rowOff>
              </to>
            </anchor>
          </objectPr>
        </oleObject>
      </mc:Choice>
      <mc:Fallback>
        <oleObject progId="Equation.3" shapeId="1344" r:id="rId44"/>
      </mc:Fallback>
    </mc:AlternateContent>
    <mc:AlternateContent xmlns:mc="http://schemas.openxmlformats.org/markup-compatibility/2006">
      <mc:Choice Requires="x14">
        <oleObject progId="Equation.3" shapeId="1361" r:id="rId45">
          <objectPr defaultSize="0" autoPict="0" r:id="rId25">
            <anchor moveWithCells="1" sizeWithCells="1">
              <from>
                <xdr:col>36</xdr:col>
                <xdr:colOff>488950</xdr:colOff>
                <xdr:row>114</xdr:row>
                <xdr:rowOff>0</xdr:rowOff>
              </from>
              <to>
                <xdr:col>37</xdr:col>
                <xdr:colOff>869950</xdr:colOff>
                <xdr:row>114</xdr:row>
                <xdr:rowOff>0</xdr:rowOff>
              </to>
            </anchor>
          </objectPr>
        </oleObject>
      </mc:Choice>
      <mc:Fallback>
        <oleObject progId="Equation.3" shapeId="1361" r:id="rId45"/>
      </mc:Fallback>
    </mc:AlternateContent>
    <mc:AlternateContent xmlns:mc="http://schemas.openxmlformats.org/markup-compatibility/2006">
      <mc:Choice Requires="x14">
        <oleObject progId="Equation.3" shapeId="1362" r:id="rId46">
          <objectPr defaultSize="0" autoPict="0" r:id="rId25">
            <anchor moveWithCells="1" sizeWithCells="1">
              <from>
                <xdr:col>42</xdr:col>
                <xdr:colOff>69850</xdr:colOff>
                <xdr:row>114</xdr:row>
                <xdr:rowOff>0</xdr:rowOff>
              </from>
              <to>
                <xdr:col>42</xdr:col>
                <xdr:colOff>1092200</xdr:colOff>
                <xdr:row>114</xdr:row>
                <xdr:rowOff>0</xdr:rowOff>
              </to>
            </anchor>
          </objectPr>
        </oleObject>
      </mc:Choice>
      <mc:Fallback>
        <oleObject progId="Equation.3" shapeId="1362" r:id="rId46"/>
      </mc:Fallback>
    </mc:AlternateContent>
    <mc:AlternateContent xmlns:mc="http://schemas.openxmlformats.org/markup-compatibility/2006">
      <mc:Choice Requires="x14">
        <oleObject progId="Equation.3" shapeId="1368" r:id="rId47">
          <objectPr defaultSize="0" autoPict="0" r:id="rId25">
            <anchor moveWithCells="1" sizeWithCells="1">
              <from>
                <xdr:col>36</xdr:col>
                <xdr:colOff>488950</xdr:colOff>
                <xdr:row>114</xdr:row>
                <xdr:rowOff>0</xdr:rowOff>
              </from>
              <to>
                <xdr:col>37</xdr:col>
                <xdr:colOff>869950</xdr:colOff>
                <xdr:row>114</xdr:row>
                <xdr:rowOff>0</xdr:rowOff>
              </to>
            </anchor>
          </objectPr>
        </oleObject>
      </mc:Choice>
      <mc:Fallback>
        <oleObject progId="Equation.3" shapeId="1368" r:id="rId47"/>
      </mc:Fallback>
    </mc:AlternateContent>
    <mc:AlternateContent xmlns:mc="http://schemas.openxmlformats.org/markup-compatibility/2006">
      <mc:Choice Requires="x14">
        <oleObject progId="Equation.3" shapeId="1369" r:id="rId48">
          <objectPr defaultSize="0" autoPict="0" r:id="rId25">
            <anchor moveWithCells="1" sizeWithCells="1">
              <from>
                <xdr:col>42</xdr:col>
                <xdr:colOff>69850</xdr:colOff>
                <xdr:row>114</xdr:row>
                <xdr:rowOff>0</xdr:rowOff>
              </from>
              <to>
                <xdr:col>42</xdr:col>
                <xdr:colOff>1092200</xdr:colOff>
                <xdr:row>114</xdr:row>
                <xdr:rowOff>0</xdr:rowOff>
              </to>
            </anchor>
          </objectPr>
        </oleObject>
      </mc:Choice>
      <mc:Fallback>
        <oleObject progId="Equation.3" shapeId="1369" r:id="rId48"/>
      </mc:Fallback>
    </mc:AlternateContent>
    <mc:AlternateContent xmlns:mc="http://schemas.openxmlformats.org/markup-compatibility/2006">
      <mc:Choice Requires="x14">
        <oleObject progId="Equation.3" shapeId="1432" r:id="rId49">
          <objectPr defaultSize="0" autoPict="0" r:id="rId50">
            <anchor moveWithCells="1" sizeWithCells="1">
              <from>
                <xdr:col>18</xdr:col>
                <xdr:colOff>31750</xdr:colOff>
                <xdr:row>57</xdr:row>
                <xdr:rowOff>146050</xdr:rowOff>
              </from>
              <to>
                <xdr:col>18</xdr:col>
                <xdr:colOff>330200</xdr:colOff>
                <xdr:row>59</xdr:row>
                <xdr:rowOff>38100</xdr:rowOff>
              </to>
            </anchor>
          </objectPr>
        </oleObject>
      </mc:Choice>
      <mc:Fallback>
        <oleObject progId="Equation.3" shapeId="1432" r:id="rId49"/>
      </mc:Fallback>
    </mc:AlternateContent>
    <mc:AlternateContent xmlns:mc="http://schemas.openxmlformats.org/markup-compatibility/2006">
      <mc:Choice Requires="x14">
        <oleObject progId="Equation.3" shapeId="1435" r:id="rId51">
          <objectPr defaultSize="0" autoPict="0" r:id="rId52">
            <anchor moveWithCells="1" sizeWithCells="1">
              <from>
                <xdr:col>13</xdr:col>
                <xdr:colOff>31750</xdr:colOff>
                <xdr:row>74</xdr:row>
                <xdr:rowOff>38100</xdr:rowOff>
              </from>
              <to>
                <xdr:col>15</xdr:col>
                <xdr:colOff>152400</xdr:colOff>
                <xdr:row>77</xdr:row>
                <xdr:rowOff>0</xdr:rowOff>
              </to>
            </anchor>
          </objectPr>
        </oleObject>
      </mc:Choice>
      <mc:Fallback>
        <oleObject progId="Equation.3" shapeId="1435" r:id="rId51"/>
      </mc:Fallback>
    </mc:AlternateContent>
    <mc:AlternateContent xmlns:mc="http://schemas.openxmlformats.org/markup-compatibility/2006">
      <mc:Choice Requires="x14">
        <oleObject progId="Equation.3" shapeId="1438" r:id="rId53">
          <objectPr defaultSize="0" autoPict="0" r:id="rId54">
            <anchor moveWithCells="1" sizeWithCells="1">
              <from>
                <xdr:col>13</xdr:col>
                <xdr:colOff>0</xdr:colOff>
                <xdr:row>77</xdr:row>
                <xdr:rowOff>0</xdr:rowOff>
              </from>
              <to>
                <xdr:col>17</xdr:col>
                <xdr:colOff>215900</xdr:colOff>
                <xdr:row>78</xdr:row>
                <xdr:rowOff>76200</xdr:rowOff>
              </to>
            </anchor>
          </objectPr>
        </oleObject>
      </mc:Choice>
      <mc:Fallback>
        <oleObject progId="Equation.3" shapeId="1438" r:id="rId53"/>
      </mc:Fallback>
    </mc:AlternateContent>
    <mc:AlternateContent xmlns:mc="http://schemas.openxmlformats.org/markup-compatibility/2006">
      <mc:Choice Requires="x14">
        <oleObject progId="Equation.3" shapeId="1439" r:id="rId55">
          <objectPr defaultSize="0" autoPict="0" r:id="rId56">
            <anchor moveWithCells="1" sizeWithCells="1">
              <from>
                <xdr:col>13</xdr:col>
                <xdr:colOff>31750</xdr:colOff>
                <xdr:row>78</xdr:row>
                <xdr:rowOff>114300</xdr:rowOff>
              </from>
              <to>
                <xdr:col>16</xdr:col>
                <xdr:colOff>488950</xdr:colOff>
                <xdr:row>81</xdr:row>
                <xdr:rowOff>38100</xdr:rowOff>
              </to>
            </anchor>
          </objectPr>
        </oleObject>
      </mc:Choice>
      <mc:Fallback>
        <oleObject progId="Equation.3" shapeId="1439" r:id="rId55"/>
      </mc:Fallback>
    </mc:AlternateContent>
    <mc:AlternateContent xmlns:mc="http://schemas.openxmlformats.org/markup-compatibility/2006">
      <mc:Choice Requires="x14">
        <oleObject progId="Equation.3" shapeId="1442" r:id="rId57">
          <objectPr defaultSize="0" autoPict="0" r:id="rId58">
            <anchor moveWithCells="1" sizeWithCells="1">
              <from>
                <xdr:col>13</xdr:col>
                <xdr:colOff>31750</xdr:colOff>
                <xdr:row>81</xdr:row>
                <xdr:rowOff>69850</xdr:rowOff>
              </from>
              <to>
                <xdr:col>16</xdr:col>
                <xdr:colOff>31750</xdr:colOff>
                <xdr:row>83</xdr:row>
                <xdr:rowOff>146050</xdr:rowOff>
              </to>
            </anchor>
          </objectPr>
        </oleObject>
      </mc:Choice>
      <mc:Fallback>
        <oleObject progId="Equation.3" shapeId="1442" r:id="rId57"/>
      </mc:Fallback>
    </mc:AlternateContent>
    <mc:AlternateContent xmlns:mc="http://schemas.openxmlformats.org/markup-compatibility/2006">
      <mc:Choice Requires="x14">
        <oleObject progId="Equation.3" shapeId="1443" r:id="rId59">
          <objectPr defaultSize="0" autoPict="0" r:id="rId60">
            <anchor moveWithCells="1" sizeWithCells="1">
              <from>
                <xdr:col>13</xdr:col>
                <xdr:colOff>31750</xdr:colOff>
                <xdr:row>70</xdr:row>
                <xdr:rowOff>152400</xdr:rowOff>
              </from>
              <to>
                <xdr:col>21</xdr:col>
                <xdr:colOff>374650</xdr:colOff>
                <xdr:row>74</xdr:row>
                <xdr:rowOff>146050</xdr:rowOff>
              </to>
            </anchor>
          </objectPr>
        </oleObject>
      </mc:Choice>
      <mc:Fallback>
        <oleObject progId="Equation.3" shapeId="1443" r:id="rId59"/>
      </mc:Fallback>
    </mc:AlternateContent>
    <mc:AlternateContent xmlns:mc="http://schemas.openxmlformats.org/markup-compatibility/2006">
      <mc:Choice Requires="x14">
        <oleObject progId="Equation.3" shapeId="1538" r:id="rId61">
          <objectPr defaultSize="0" autoPict="0" r:id="rId62">
            <anchor moveWithCells="1" sizeWithCells="1">
              <from>
                <xdr:col>13</xdr:col>
                <xdr:colOff>31750</xdr:colOff>
                <xdr:row>58</xdr:row>
                <xdr:rowOff>0</xdr:rowOff>
              </from>
              <to>
                <xdr:col>13</xdr:col>
                <xdr:colOff>330200</xdr:colOff>
                <xdr:row>59</xdr:row>
                <xdr:rowOff>76200</xdr:rowOff>
              </to>
            </anchor>
          </objectPr>
        </oleObject>
      </mc:Choice>
      <mc:Fallback>
        <oleObject progId="Equation.3" shapeId="1538" r:id="rId61"/>
      </mc:Fallback>
    </mc:AlternateContent>
  </oleObjects>
  <mc:AlternateContent xmlns:mc="http://schemas.openxmlformats.org/markup-compatibility/2006">
    <mc:Choice Requires="x14">
      <controls>
        <mc:AlternateContent xmlns:mc="http://schemas.openxmlformats.org/markup-compatibility/2006">
          <mc:Choice Requires="x14">
            <control shapeId="1038" r:id="rId63" name="Drop Down 14">
              <controlPr locked="0" defaultSize="0" autoLine="0" autoPict="0">
                <anchor moveWithCells="1">
                  <from>
                    <xdr:col>6</xdr:col>
                    <xdr:colOff>25400</xdr:colOff>
                    <xdr:row>5</xdr:row>
                    <xdr:rowOff>31750</xdr:rowOff>
                  </from>
                  <to>
                    <xdr:col>6</xdr:col>
                    <xdr:colOff>571500</xdr:colOff>
                    <xdr:row>6</xdr:row>
                    <xdr:rowOff>76200</xdr:rowOff>
                  </to>
                </anchor>
              </controlPr>
            </control>
          </mc:Choice>
        </mc:AlternateContent>
        <mc:AlternateContent xmlns:mc="http://schemas.openxmlformats.org/markup-compatibility/2006">
          <mc:Choice Requires="x14">
            <control shapeId="1039" r:id="rId64" name="Drop Down 15">
              <controlPr locked="0" defaultSize="0" autoLine="0" autoPict="0">
                <anchor moveWithCells="1">
                  <from>
                    <xdr:col>7</xdr:col>
                    <xdr:colOff>69850</xdr:colOff>
                    <xdr:row>5</xdr:row>
                    <xdr:rowOff>31750</xdr:rowOff>
                  </from>
                  <to>
                    <xdr:col>9</xdr:col>
                    <xdr:colOff>406400</xdr:colOff>
                    <xdr:row>6</xdr:row>
                    <xdr:rowOff>101600</xdr:rowOff>
                  </to>
                </anchor>
              </controlPr>
            </control>
          </mc:Choice>
        </mc:AlternateContent>
        <mc:AlternateContent xmlns:mc="http://schemas.openxmlformats.org/markup-compatibility/2006">
          <mc:Choice Requires="x14">
            <control shapeId="1041" r:id="rId65" name="Drop Down 17">
              <controlPr locked="0" defaultSize="0" autoLine="0" autoPict="0">
                <anchor moveWithCells="1">
                  <from>
                    <xdr:col>8</xdr:col>
                    <xdr:colOff>139700</xdr:colOff>
                    <xdr:row>6</xdr:row>
                    <xdr:rowOff>139700</xdr:rowOff>
                  </from>
                  <to>
                    <xdr:col>9</xdr:col>
                    <xdr:colOff>381000</xdr:colOff>
                    <xdr:row>8</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dimension ref="B1"/>
  <sheetViews>
    <sheetView topLeftCell="A28" zoomScale="85" workbookViewId="0">
      <selection activeCell="R60" sqref="R60"/>
    </sheetView>
  </sheetViews>
  <sheetFormatPr defaultColWidth="10.90625" defaultRowHeight="12.5"/>
  <sheetData>
    <row r="1" spans="2:2" ht="18">
      <c r="B1" s="189" t="s">
        <v>486</v>
      </c>
    </row>
  </sheetData>
  <phoneticPr fontId="3" type="noConversion"/>
  <pageMargins left="0.78740157499999996" right="0.78740157499999996" top="0.984251969" bottom="0.984251969" header="0.4921259845" footer="0.4921259845"/>
  <pageSetup paperSize="9" orientation="landscape" r:id="rId1"/>
  <headerFooter alignWithMargins="0">
    <oddFooter>&amp;R_x000D_&amp;1#&amp;"Aptos"&amp;10&amp;K000000 Data sensitivity - Public</oddFooter>
  </headerFooter>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3"/>
  <dimension ref="A1:N372"/>
  <sheetViews>
    <sheetView zoomScale="85" workbookViewId="0">
      <selection activeCell="E95" sqref="E95"/>
    </sheetView>
  </sheetViews>
  <sheetFormatPr defaultColWidth="10.90625" defaultRowHeight="12.5"/>
  <cols>
    <col min="1" max="1" width="4.453125" customWidth="1"/>
    <col min="2" max="2" width="13.81640625" customWidth="1"/>
    <col min="3" max="3" width="17.81640625" customWidth="1"/>
    <col min="4" max="4" width="22.453125" customWidth="1"/>
    <col min="5" max="5" width="20.453125" customWidth="1"/>
    <col min="6" max="6" width="16.81640625" customWidth="1"/>
    <col min="7" max="7" width="17.81640625" customWidth="1"/>
    <col min="10" max="10" width="15.81640625" customWidth="1"/>
    <col min="14" max="14" width="16.54296875" bestFit="1" customWidth="1"/>
  </cols>
  <sheetData>
    <row r="1" spans="1:14">
      <c r="A1" s="132"/>
      <c r="B1" s="132"/>
      <c r="C1" s="132"/>
      <c r="D1" s="132"/>
      <c r="E1" s="132"/>
      <c r="F1" s="132"/>
      <c r="G1" s="132"/>
      <c r="H1" s="132"/>
      <c r="I1" s="132"/>
      <c r="J1" s="132"/>
      <c r="K1" s="132"/>
    </row>
    <row r="2" spans="1:14" ht="18">
      <c r="A2" s="132"/>
      <c r="B2" s="152" t="s">
        <v>378</v>
      </c>
      <c r="C2" s="132"/>
      <c r="D2" s="132"/>
      <c r="E2" s="132"/>
      <c r="F2" s="132"/>
      <c r="G2" s="184"/>
      <c r="H2" s="132"/>
      <c r="I2" s="132"/>
      <c r="J2" s="132"/>
      <c r="K2" s="132"/>
    </row>
    <row r="3" spans="1:14">
      <c r="A3" s="132"/>
      <c r="B3" s="132"/>
      <c r="C3" s="132"/>
      <c r="D3" s="132"/>
      <c r="E3" s="132"/>
      <c r="F3" s="132"/>
      <c r="G3" s="132"/>
      <c r="H3" s="132"/>
      <c r="I3" s="132"/>
      <c r="J3" s="132"/>
      <c r="K3" s="132"/>
    </row>
    <row r="4" spans="1:14" ht="15.5">
      <c r="A4" s="133"/>
      <c r="B4" s="135" t="s">
        <v>332</v>
      </c>
      <c r="C4" s="136"/>
      <c r="D4" s="136"/>
      <c r="E4" s="136"/>
      <c r="F4" s="136"/>
      <c r="G4" s="136"/>
      <c r="H4" s="136"/>
      <c r="I4" s="136"/>
      <c r="J4" s="137"/>
      <c r="K4" s="137"/>
    </row>
    <row r="5" spans="1:14" ht="13">
      <c r="A5" s="133"/>
      <c r="C5" s="9" t="s">
        <v>399</v>
      </c>
      <c r="D5" s="9" t="str">
        <f>IF(OR(Calcul!$AB$2=1,Calcul!$AB$2=2,Calcul!$AB$2=3,Calcul!$AB$2=4),Calcul!$AC$11,"-")</f>
        <v>IPE 80</v>
      </c>
      <c r="I5" s="105"/>
      <c r="J5" s="105"/>
      <c r="N5" s="60" t="str">
        <f>IF(Calcul!$AB$2=1,IPE!B3,IF(Calcul!$AB$2=2,IPN!B3,IF(Calcul!$AB$2=3,HE!B3,IF(Calcul!$AB$2=4,HD!B3,IF(Calcul!$AB$2=5,CHS!B3,IF(Calcul!$AB$2=6,RHS!B3,IF(Calcul!$AB$2=7,Custom!B3,0)))))))</f>
        <v>IPE 80</v>
      </c>
    </row>
    <row r="6" spans="1:14">
      <c r="A6" s="133"/>
      <c r="C6" s="34" t="s">
        <v>277</v>
      </c>
      <c r="D6" s="16">
        <f>SQRT(235/(VLOOKUP(Calcul!$AG$1,Calcul!$AF$4:$AH$9,2)))</f>
        <v>1</v>
      </c>
      <c r="I6" s="111"/>
      <c r="J6" s="111"/>
      <c r="N6" s="60" t="str">
        <f>IF(Calcul!$AB$2=1,IPE!B4,IF(Calcul!$AB$2=2,IPN!B4,IF(Calcul!$AB$2=3,HE!B4,IF(Calcul!$AB$2=4,HD!B4,IF(Calcul!$AB$2=5,CHS!B4,IF(Calcul!$AB$2=6,RHS!B4,IF(Calcul!$AB$2=7,Custom!B4,0)))))))</f>
        <v>IPE100</v>
      </c>
    </row>
    <row r="7" spans="1:14">
      <c r="A7" s="133"/>
      <c r="C7" t="s">
        <v>295</v>
      </c>
      <c r="D7" s="9">
        <f>IF(AND(Calcul!$D$31=0,Calcul!$P$25=0,Calcul!$D$32=0,Calcul!$D$33=0,Calcul!$P$22&lt;0),MAX(F24:F27),MAX(D24:D27,H24:H27))</f>
        <v>1</v>
      </c>
      <c r="E7" s="125"/>
      <c r="I7" s="111"/>
      <c r="J7" s="111"/>
      <c r="N7" s="60" t="str">
        <f>IF(Calcul!$AB$2=1,IPE!B5,IF(Calcul!$AB$2=2,IPN!B5,IF(Calcul!$AB$2=3,HE!B5,IF(Calcul!$AB$2=4,HD!B5,IF(Calcul!$AB$2=5,CHS!B5,IF(Calcul!$AB$2=6,RHS!B5,IF(Calcul!$AB$2=7,Custom!B5,0)))))))</f>
        <v>IPE120</v>
      </c>
    </row>
    <row r="8" spans="1:14">
      <c r="A8" s="133"/>
      <c r="C8" t="s">
        <v>297</v>
      </c>
      <c r="D8" s="9">
        <f>MAX(D51:D54,F51:F54)</f>
        <v>1</v>
      </c>
      <c r="E8" s="125"/>
      <c r="N8" s="60" t="str">
        <f>IF(Calcul!$AB$2=1,IPE!B6,IF(Calcul!$AB$2=2,IPN!B6,IF(Calcul!$AB$2=3,HE!B6,IF(Calcul!$AB$2=4,HD!B6,IF(Calcul!$AB$2=5,CHS!B6,IF(Calcul!$AB$2=6,RHS!B6,IF(Calcul!$AB$2=7,Custom!B6,0)))))))</f>
        <v>IPE140</v>
      </c>
    </row>
    <row r="9" spans="1:14" ht="13">
      <c r="A9" s="133"/>
      <c r="C9" s="150" t="s">
        <v>298</v>
      </c>
      <c r="D9" s="151">
        <f>MAX(D7:D8)</f>
        <v>1</v>
      </c>
      <c r="N9" s="60" t="str">
        <f>IF(Calcul!$AB$2=1,IPE!B7,IF(Calcul!$AB$2=2,IPN!B7,IF(Calcul!$AB$2=3,HE!B7,IF(Calcul!$AB$2=4,HD!B7,IF(Calcul!$AB$2=5,CHS!B7,IF(Calcul!$AB$2=6,RHS!B7,IF(Calcul!$AB$2=7,Custom!B7,0)))))))</f>
        <v>IPE160</v>
      </c>
    </row>
    <row r="10" spans="1:14">
      <c r="A10" s="133"/>
      <c r="N10" s="60" t="str">
        <f>IF(Calcul!$AB$2=1,IPE!B8,IF(Calcul!$AB$2=2,IPN!B8,IF(Calcul!$AB$2=3,HE!B8,IF(Calcul!$AB$2=4,HD!B8,IF(Calcul!$AB$2=5,CHS!B8,IF(Calcul!$AB$2=6,RHS!B8,IF(Calcul!$AB$2=7,Custom!B8,0)))))))</f>
        <v>IPE180</v>
      </c>
    </row>
    <row r="11" spans="1:14">
      <c r="A11" s="133"/>
      <c r="N11" s="60" t="str">
        <f>IF(Calcul!$AB$2=1,IPE!B9,IF(Calcul!$AB$2=2,IPN!B9,IF(Calcul!$AB$2=3,HE!B9,IF(Calcul!$AB$2=4,HD!B9,IF(Calcul!$AB$2=5,CHS!B9,IF(Calcul!$AB$2=6,RHS!B9,IF(Calcul!$AB$2=7,Custom!B9,0)))))))</f>
        <v>IPE200</v>
      </c>
    </row>
    <row r="12" spans="1:14" ht="14">
      <c r="A12" s="133"/>
      <c r="B12" s="115" t="s">
        <v>300</v>
      </c>
      <c r="N12" s="60" t="str">
        <f>IF(Calcul!$AB$2=1,IPE!B10,IF(Calcul!$AB$2=2,IPN!B10,IF(Calcul!$AB$2=3,HE!B10,IF(Calcul!$AB$2=4,HD!B10,IF(Calcul!$AB$2=5,CHS!B10,IF(Calcul!$AB$2=6,RHS!B10,IF(Calcul!$AB$2=7,Custom!B10,0)))))))</f>
        <v>IPE220</v>
      </c>
    </row>
    <row r="13" spans="1:14">
      <c r="A13" s="133"/>
      <c r="B13" s="17" t="s">
        <v>328</v>
      </c>
      <c r="D13" s="9">
        <f>h-2*_r-2*tf</f>
        <v>59.6</v>
      </c>
      <c r="E13" t="s">
        <v>0</v>
      </c>
      <c r="N13" s="60" t="str">
        <f>IF(Calcul!$AB$2=1,IPE!B11,IF(Calcul!$AB$2=2,IPN!B11,IF(Calcul!$AB$2=3,HE!B11,IF(Calcul!$AB$2=4,HD!B11,IF(Calcul!$AB$2=5,CHS!B11,IF(Calcul!$AB$2=6,RHS!B11,IF(Calcul!$AB$2=7,Custom!B11,0)))))))</f>
        <v>IPE240</v>
      </c>
    </row>
    <row r="14" spans="1:14" ht="14">
      <c r="A14" s="133"/>
      <c r="C14" s="109" t="s">
        <v>280</v>
      </c>
      <c r="D14" s="110">
        <f>D13/tw</f>
        <v>15.684210526315791</v>
      </c>
      <c r="I14" s="111"/>
      <c r="J14" s="111"/>
      <c r="N14" s="60" t="str">
        <f>IF(Calcul!$AB$2=1,IPE!B12,IF(Calcul!$AB$2=2,IPN!B12,IF(Calcul!$AB$2=3,HE!B12,IF(Calcul!$AB$2=4,HD!B12,IF(Calcul!$AB$2=5,CHS!B12,IF(Calcul!$AB$2=6,RHS!B12,IF(Calcul!$AB$2=7,Custom!B12,0)))))))</f>
        <v>IPE270</v>
      </c>
    </row>
    <row r="15" spans="1:14">
      <c r="A15" s="133"/>
      <c r="N15" s="60" t="str">
        <f>IF(Calcul!$AB$2=1,IPE!B13,IF(Calcul!$AB$2=2,IPN!B13,IF(Calcul!$AB$2=3,HE!B13,IF(Calcul!$AB$2=4,HD!B13,IF(Calcul!$AB$2=5,CHS!B13,IF(Calcul!$AB$2=6,RHS!B13,IF(Calcul!$AB$2=7,Custom!B13,0)))))))</f>
        <v>IPE300</v>
      </c>
    </row>
    <row r="16" spans="1:14" ht="13">
      <c r="A16" s="133"/>
      <c r="B16" s="25" t="s">
        <v>301</v>
      </c>
      <c r="N16" s="60" t="str">
        <f>IF(Calcul!$AB$2=1,IPE!B14,IF(Calcul!$AB$2=2,IPN!B14,IF(Calcul!$AB$2=3,HE!B14,IF(Calcul!$AB$2=4,HD!B14,IF(Calcul!$AB$2=5,CHS!B14,IF(Calcul!$AB$2=6,RHS!B14,IF(Calcul!$AB$2=7,Custom!B14,0)))))))</f>
        <v>IPE330</v>
      </c>
    </row>
    <row r="17" spans="1:14" ht="13" thickBot="1">
      <c r="A17" s="133"/>
      <c r="B17" s="116" t="s">
        <v>271</v>
      </c>
      <c r="C17" s="116" t="s">
        <v>320</v>
      </c>
      <c r="D17" s="116" t="s">
        <v>321</v>
      </c>
      <c r="E17" s="116" t="s">
        <v>322</v>
      </c>
      <c r="F17" s="116" t="s">
        <v>323</v>
      </c>
      <c r="G17" s="116" t="s">
        <v>275</v>
      </c>
      <c r="H17" s="116" t="s">
        <v>276</v>
      </c>
      <c r="N17" s="60" t="str">
        <f>IF(Calcul!$AB$2=1,IPE!B15,IF(Calcul!$AB$2=2,IPN!B15,IF(Calcul!$AB$2=3,HE!B15,IF(Calcul!$AB$2=4,HD!B15,IF(Calcul!$AB$2=5,CHS!B15,IF(Calcul!$AB$2=6,RHS!B15,IF(Calcul!$AB$2=7,Custom!B15,0)))))))</f>
        <v>IPE360</v>
      </c>
    </row>
    <row r="18" spans="1:14">
      <c r="A18" s="134"/>
      <c r="B18" s="28">
        <v>1</v>
      </c>
      <c r="C18" s="16">
        <f>Calcul!$P$22/A*1000</f>
        <v>0</v>
      </c>
      <c r="D18" s="104">
        <f>1000000*(MAX(ABS(Calcul!$D$31),ABS(Calcul!$D$32),ABS(Calcul!$P$25),ABS(Calcul!$D$33)))*(h/2-tf-_r)/Iy</f>
        <v>14.688580309098144</v>
      </c>
      <c r="E18" s="16">
        <f>C18+-D18</f>
        <v>-14.688580309098144</v>
      </c>
      <c r="F18" s="16">
        <f>C18+D18</f>
        <v>14.688580309098144</v>
      </c>
      <c r="G18" s="44">
        <f>IF(OR(F18&lt;=0,E18&gt;0),1,(E18)/(E18-F18))</f>
        <v>0.5</v>
      </c>
      <c r="H18" s="16" t="s">
        <v>199</v>
      </c>
      <c r="N18" s="60" t="str">
        <f>IF(Calcul!$AB$2=1,IPE!B16,IF(Calcul!$AB$2=2,IPN!B16,IF(Calcul!$AB$2=3,HE!B16,IF(Calcul!$AB$2=4,HD!B16,IF(Calcul!$AB$2=5,CHS!B16,IF(Calcul!$AB$2=6,RHS!B16,IF(Calcul!$AB$2=7,Custom!B16,0)))))))</f>
        <v>IPE400</v>
      </c>
    </row>
    <row r="19" spans="1:14">
      <c r="A19" s="133"/>
      <c r="B19" s="28">
        <v>2</v>
      </c>
      <c r="C19" s="16">
        <f>Calcul!$P$22/A*1000</f>
        <v>0</v>
      </c>
      <c r="D19" s="104">
        <f>1000000*(MAX(ABS(Calcul!$D$31),ABS(Calcul!$D$32),ABS(Calcul!$P$25),ABS(Calcul!$D$33)))*(h/2-tf-_r)/Iy</f>
        <v>14.688580309098144</v>
      </c>
      <c r="E19" s="16">
        <f>C19+-D19</f>
        <v>-14.688580309098144</v>
      </c>
      <c r="F19" s="16">
        <f>C19+D19</f>
        <v>14.688580309098144</v>
      </c>
      <c r="G19" s="44">
        <f>IF(OR(D18=0,F18&lt;=0,E18&gt;0),1,(E18)/(E18-F18))</f>
        <v>0.5</v>
      </c>
      <c r="H19" s="16" t="s">
        <v>199</v>
      </c>
      <c r="N19" s="60" t="str">
        <f>IF(Calcul!$AB$2=1,IPE!B17,IF(Calcul!$AB$2=2,IPN!B17,IF(Calcul!$AB$2=3,HE!B17,IF(Calcul!$AB$2=4,HD!B17,IF(Calcul!$AB$2=5,CHS!B17,IF(Calcul!$AB$2=6,RHS!B17,IF(Calcul!$AB$2=7,Custom!B17,0)))))))</f>
        <v>IPE450</v>
      </c>
    </row>
    <row r="20" spans="1:14">
      <c r="A20" s="133"/>
      <c r="B20" s="28">
        <v>3</v>
      </c>
      <c r="C20" s="16">
        <f>Calcul!$P$22/A*1000</f>
        <v>0</v>
      </c>
      <c r="D20" s="104">
        <f>1000000*(MAX(ABS(Calcul!$D$31),ABS(Calcul!$D$32),ABS(Calcul!$P$25),ABS(Calcul!$D$33)))*(h/2-tf-_r)/Iy</f>
        <v>14.688580309098144</v>
      </c>
      <c r="E20" s="16">
        <f>C20+-D20</f>
        <v>-14.688580309098144</v>
      </c>
      <c r="F20" s="16">
        <f>C20+D20</f>
        <v>14.688580309098144</v>
      </c>
      <c r="G20" s="44" t="s">
        <v>199</v>
      </c>
      <c r="H20" s="16">
        <f>F20/E20</f>
        <v>-1</v>
      </c>
      <c r="N20" s="60" t="str">
        <f>IF(Calcul!$AB$2=1,IPE!B18,IF(Calcul!$AB$2=2,IPN!B18,IF(Calcul!$AB$2=3,HE!B18,IF(Calcul!$AB$2=4,HD!B18,IF(Calcul!$AB$2=5,CHS!B18,IF(Calcul!$AB$2=6,RHS!B18,IF(Calcul!$AB$2=7,Custom!B18,0)))))))</f>
        <v>IPE500</v>
      </c>
    </row>
    <row r="21" spans="1:14">
      <c r="A21" s="133"/>
      <c r="B21" s="28"/>
      <c r="C21" s="104"/>
      <c r="G21" s="28"/>
      <c r="N21" s="60" t="str">
        <f>IF(Calcul!$AB$2=1,IPE!B19,IF(Calcul!$AB$2=2,IPN!B19,IF(Calcul!$AB$2=3,HE!B19,IF(Calcul!$AB$2=4,HD!B19,IF(Calcul!$AB$2=5,CHS!B19,IF(Calcul!$AB$2=6,RHS!B19,IF(Calcul!$AB$2=7,Custom!B19,0)))))))</f>
        <v>IPE600</v>
      </c>
    </row>
    <row r="22" spans="1:14">
      <c r="A22" s="133"/>
      <c r="B22" s="124" t="s">
        <v>278</v>
      </c>
      <c r="C22" s="9" t="s">
        <v>272</v>
      </c>
      <c r="D22" s="119"/>
      <c r="E22" s="9" t="s">
        <v>290</v>
      </c>
      <c r="F22" s="122"/>
      <c r="G22" t="s">
        <v>291</v>
      </c>
      <c r="H22" s="119"/>
      <c r="N22" s="60" t="str">
        <f>IF(Calcul!$AB$2=1,IPE!B20,IF(Calcul!$AB$2=2,IPN!B20,IF(Calcul!$AB$2=3,HE!B20,IF(Calcul!$AB$2=4,HD!B20,IF(Calcul!$AB$2=5,CHS!B20,IF(Calcul!$AB$2=6,RHS!B20,IF(Calcul!$AB$2=7,Custom!B20,0)))))))</f>
        <v>IPEA 80</v>
      </c>
    </row>
    <row r="23" spans="1:14" ht="13" thickBot="1">
      <c r="A23" s="133"/>
      <c r="B23" s="117" t="s">
        <v>271</v>
      </c>
      <c r="C23" s="116" t="s">
        <v>288</v>
      </c>
      <c r="D23" s="120" t="s">
        <v>289</v>
      </c>
      <c r="E23" s="116" t="s">
        <v>288</v>
      </c>
      <c r="F23" s="117" t="s">
        <v>289</v>
      </c>
      <c r="G23" s="116" t="s">
        <v>288</v>
      </c>
      <c r="H23" s="123" t="s">
        <v>289</v>
      </c>
      <c r="N23" s="60" t="str">
        <f>IF(Calcul!$AB$2=1,IPE!B21,IF(Calcul!$AB$2=2,IPN!B21,IF(Calcul!$AB$2=3,HE!B21,IF(Calcul!$AB$2=4,HD!B21,IF(Calcul!$AB$2=5,CHS!B21,IF(Calcul!$AB$2=6,RHS!B21,IF(Calcul!$AB$2=7,Custom!B21,0)))))))</f>
        <v>IPEA100</v>
      </c>
    </row>
    <row r="24" spans="1:14">
      <c r="A24" s="133"/>
      <c r="B24" s="118">
        <v>1</v>
      </c>
      <c r="C24" s="107">
        <f>72*D6</f>
        <v>72</v>
      </c>
      <c r="D24" s="121">
        <f>IF($D$14&lt;=C24,1,"-")</f>
        <v>1</v>
      </c>
      <c r="E24" s="15">
        <f>33*D6</f>
        <v>33</v>
      </c>
      <c r="F24" s="121" t="str">
        <f>IF(F18&gt;=0,"-",IF(D14&lt;=E24,1,"-"))</f>
        <v>-</v>
      </c>
      <c r="G24" s="15">
        <f>IF(G18&gt;0.5,396*$D$6/(13*G18-1),36*$D$6/G18)</f>
        <v>72</v>
      </c>
      <c r="H24" s="121">
        <f>IF(E18&gt;=0,"-",IF(D14&lt;=G24,1,"-"))</f>
        <v>1</v>
      </c>
      <c r="N24" s="60" t="str">
        <f>IF(Calcul!$AB$2=1,IPE!B22,IF(Calcul!$AB$2=2,IPN!B22,IF(Calcul!$AB$2=3,HE!B22,IF(Calcul!$AB$2=4,HD!B22,IF(Calcul!$AB$2=5,CHS!B22,IF(Calcul!$AB$2=6,RHS!B22,IF(Calcul!$AB$2=7,Custom!B22,0)))))))</f>
        <v>IPEA120</v>
      </c>
    </row>
    <row r="25" spans="1:14">
      <c r="A25" s="133"/>
      <c r="B25" s="118">
        <v>2</v>
      </c>
      <c r="C25" s="107">
        <f>83*D6</f>
        <v>83</v>
      </c>
      <c r="D25" s="121" t="str">
        <f>IF(AND(C24&lt;$D$14,$D$14&lt;=C25),2,"-")</f>
        <v>-</v>
      </c>
      <c r="E25" s="15">
        <f>38*D6</f>
        <v>38</v>
      </c>
      <c r="F25" s="121" t="str">
        <f>IF(F19&gt;=0,"-",IF(AND(E24&lt;D14,D14&lt;=E25),2,"-"))</f>
        <v>-</v>
      </c>
      <c r="G25" s="15">
        <f>IF(G19&gt;0.5,456*$D$6/(13*G19-1),41.5*$D$6/G19)</f>
        <v>83</v>
      </c>
      <c r="H25" s="121" t="str">
        <f>IF(E19&gt;=0,"-",IF(AND(G24&lt;D14,D14&lt;=G25),2,"-"))</f>
        <v>-</v>
      </c>
      <c r="N25" s="60" t="str">
        <f>IF(Calcul!$AB$2=1,IPE!B23,IF(Calcul!$AB$2=2,IPN!B23,IF(Calcul!$AB$2=3,HE!B23,IF(Calcul!$AB$2=4,HD!B23,IF(Calcul!$AB$2=5,CHS!B23,IF(Calcul!$AB$2=6,RHS!B23,IF(Calcul!$AB$2=7,Custom!B23,0)))))))</f>
        <v>IPEA140</v>
      </c>
    </row>
    <row r="26" spans="1:14">
      <c r="A26" s="133"/>
      <c r="B26" s="118">
        <v>3</v>
      </c>
      <c r="C26" s="107">
        <f>124*D6</f>
        <v>124</v>
      </c>
      <c r="D26" s="121" t="str">
        <f>IF(AND(C25&lt;$D$14,$D$14&lt;=C26),3,"-")</f>
        <v>-</v>
      </c>
      <c r="E26" s="15">
        <f>42*D6</f>
        <v>42</v>
      </c>
      <c r="F26" s="121" t="str">
        <f>IF(F20&gt;=0,"-",IF(AND(E25&lt;D14,D14&lt;=E26),3,"-"))</f>
        <v>-</v>
      </c>
      <c r="G26" s="15">
        <f>IF($H$20&gt;-1,42*D6/(0.67+0.33*$H$20),62*D6*(1-$H$20)*SQRT(-$H$20))</f>
        <v>124</v>
      </c>
      <c r="H26" s="121" t="str">
        <f>IF(E20&gt;=0,"-",IF(AND(G25&lt;D14,D14&lt;=G26),3,"-"))</f>
        <v>-</v>
      </c>
      <c r="N26" s="60" t="str">
        <f>IF(Calcul!$AB$2=1,IPE!B24,IF(Calcul!$AB$2=2,IPN!B24,IF(Calcul!$AB$2=3,HE!B24,IF(Calcul!$AB$2=4,HD!B24,IF(Calcul!$AB$2=5,CHS!B24,IF(Calcul!$AB$2=6,RHS!B24,IF(Calcul!$AB$2=7,Custom!B24,0)))))))</f>
        <v>IPEA160</v>
      </c>
    </row>
    <row r="27" spans="1:14">
      <c r="A27" s="133"/>
      <c r="B27" s="118">
        <v>4</v>
      </c>
      <c r="C27" s="108">
        <f>C26</f>
        <v>124</v>
      </c>
      <c r="D27" s="121" t="str">
        <f>IF(SUM(D24:D26)=0,4,"-")</f>
        <v>-</v>
      </c>
      <c r="E27" s="108">
        <f>E26</f>
        <v>42</v>
      </c>
      <c r="F27" s="121" t="str">
        <f>IF(F20&gt;=0,"-",IF(D14&gt;E27,4,"-"))</f>
        <v>-</v>
      </c>
      <c r="G27" s="108">
        <f>G26</f>
        <v>124</v>
      </c>
      <c r="H27" s="121" t="str">
        <f>IF(OR(D20=0,E20&gt;=0),"-",IF(D14&gt;G27,4,"-"))</f>
        <v>-</v>
      </c>
      <c r="N27" s="60" t="str">
        <f>IF(Calcul!$AB$2=1,IPE!B25,IF(Calcul!$AB$2=2,IPN!B25,IF(Calcul!$AB$2=3,HE!B25,IF(Calcul!$AB$2=4,HD!B25,IF(Calcul!$AB$2=5,CHS!B25,IF(Calcul!$AB$2=6,RHS!B25,IF(Calcul!$AB$2=7,Custom!B25,0)))))))</f>
        <v>IPEA180</v>
      </c>
    </row>
    <row r="28" spans="1:14" ht="13">
      <c r="A28" s="133"/>
      <c r="B28" s="118" t="s">
        <v>296</v>
      </c>
      <c r="C28" s="15">
        <f>C26*C32</f>
        <v>495.98175987215666</v>
      </c>
      <c r="D28" s="121" t="str">
        <f>IF(D27=4,IF(D14&lt;=C28,3,4),"-")</f>
        <v>-</v>
      </c>
      <c r="E28" s="15">
        <f>E26*C32</f>
        <v>167.9938218921821</v>
      </c>
      <c r="F28" s="121" t="str">
        <f>IF(F27=4,IF(D14&lt;=E28,3,4),"-")</f>
        <v>-</v>
      </c>
      <c r="G28" s="15">
        <f>G26*C32</f>
        <v>495.98175987215666</v>
      </c>
      <c r="H28" s="121" t="str">
        <f>IF(H27=4,IF(D14&lt;=G28,3,4),"-")</f>
        <v>-</v>
      </c>
      <c r="L28" s="6"/>
      <c r="N28" s="60" t="str">
        <f>IF(Calcul!$AB$2=1,IPE!B26,IF(Calcul!$AB$2=2,IPN!B26,IF(Calcul!$AB$2=3,HE!B26,IF(Calcul!$AB$2=4,HD!B26,IF(Calcul!$AB$2=5,CHS!B26,IF(Calcul!$AB$2=6,RHS!B26,IF(Calcul!$AB$2=7,Custom!B26,0)))))))</f>
        <v>IPEA200</v>
      </c>
    </row>
    <row r="29" spans="1:14" ht="13">
      <c r="A29" s="133"/>
      <c r="G29" s="6"/>
      <c r="H29" s="6"/>
      <c r="L29" s="6"/>
      <c r="N29" s="60" t="str">
        <f>IF(Calcul!$AB$2=1,IPE!B27,IF(Calcul!$AB$2=2,IPN!B27,IF(Calcul!$AB$2=3,HE!B27,IF(Calcul!$AB$2=4,HD!B27,IF(Calcul!$AB$2=5,CHS!B27,IF(Calcul!$AB$2=6,RHS!B27,IF(Calcul!$AB$2=7,Custom!B27,0)))))))</f>
        <v>IPEA220</v>
      </c>
    </row>
    <row r="30" spans="1:14" ht="13">
      <c r="A30" s="133"/>
      <c r="B30" s="34" t="s">
        <v>299</v>
      </c>
      <c r="C30" s="16">
        <f>E20</f>
        <v>-14.688580309098144</v>
      </c>
      <c r="D30" t="s">
        <v>318</v>
      </c>
      <c r="K30" s="4"/>
      <c r="L30" s="4"/>
      <c r="N30" s="60" t="str">
        <f>IF(Calcul!$AB$2=1,IPE!B28,IF(Calcul!$AB$2=2,IPN!B28,IF(Calcul!$AB$2=3,HE!B28,IF(Calcul!$AB$2=4,HD!B28,IF(Calcul!$AB$2=5,CHS!B28,IF(Calcul!$AB$2=6,RHS!B28,IF(Calcul!$AB$2=7,Custom!B28,0)))))))</f>
        <v>IPEA240</v>
      </c>
    </row>
    <row r="31" spans="1:14" ht="13">
      <c r="A31" s="133"/>
      <c r="B31" s="16"/>
      <c r="K31" s="4"/>
      <c r="L31" s="4"/>
      <c r="N31" s="60" t="str">
        <f>IF(Calcul!$AB$2=1,IPE!B29,IF(Calcul!$AB$2=2,IPN!B29,IF(Calcul!$AB$2=3,HE!B29,IF(Calcul!$AB$2=4,HD!B29,IF(Calcul!$AB$2=5,CHS!B29,IF(Calcul!$AB$2=6,RHS!B29,IF(Calcul!$AB$2=7,Custom!B29,0)))))))</f>
        <v>IPEA270</v>
      </c>
    </row>
    <row r="32" spans="1:14" ht="13">
      <c r="A32" s="133"/>
      <c r="C32" s="16">
        <f>SQRT(fy/Calcul!$W$13/ABS(C30))</f>
        <v>3.9998529021948119</v>
      </c>
      <c r="D32" s="25" t="s">
        <v>292</v>
      </c>
      <c r="K32" s="4"/>
      <c r="L32" s="4"/>
      <c r="N32" s="60" t="str">
        <f>IF(Calcul!$AB$2=1,IPE!B30,IF(Calcul!$AB$2=2,IPN!B30,IF(Calcul!$AB$2=3,HE!B30,IF(Calcul!$AB$2=4,HD!B30,IF(Calcul!$AB$2=5,CHS!B30,IF(Calcul!$AB$2=6,RHS!B30,IF(Calcul!$AB$2=7,Custom!B30,0)))))))</f>
        <v>IPEA300</v>
      </c>
    </row>
    <row r="33" spans="1:14" ht="13">
      <c r="A33" s="133"/>
      <c r="K33" s="4"/>
      <c r="L33" s="4"/>
      <c r="N33" s="60" t="str">
        <f>IF(Calcul!$AB$2=1,IPE!B31,IF(Calcul!$AB$2=2,IPN!B31,IF(Calcul!$AB$2=3,HE!B31,IF(Calcul!$AB$2=4,HD!B31,IF(Calcul!$AB$2=5,CHS!B31,IF(Calcul!$AB$2=6,RHS!B31,IF(Calcul!$AB$2=7,Custom!B31,0)))))))</f>
        <v>IPEA330</v>
      </c>
    </row>
    <row r="34" spans="1:14" ht="13">
      <c r="A34" s="133"/>
      <c r="K34" s="4"/>
      <c r="L34" s="4"/>
      <c r="N34" s="60" t="str">
        <f>IF(Calcul!$AB$2=1,IPE!B32,IF(Calcul!$AB$2=2,IPN!B32,IF(Calcul!$AB$2=3,HE!B32,IF(Calcul!$AB$2=4,HD!B32,IF(Calcul!$AB$2=5,CHS!B32,IF(Calcul!$AB$2=6,RHS!B32,IF(Calcul!$AB$2=7,Custom!B32,0)))))))</f>
        <v>IPEO180</v>
      </c>
    </row>
    <row r="35" spans="1:14" ht="13">
      <c r="A35" s="133"/>
      <c r="C35" s="16">
        <f>$D$6*C32</f>
        <v>3.9998529021948119</v>
      </c>
      <c r="D35" s="6"/>
      <c r="K35" s="4"/>
      <c r="L35" s="4"/>
      <c r="N35" s="60" t="str">
        <f>IF(Calcul!$AB$2=1,IPE!B33,IF(Calcul!$AB$2=2,IPN!B33,IF(Calcul!$AB$2=3,HE!B33,IF(Calcul!$AB$2=4,HD!B33,IF(Calcul!$AB$2=5,CHS!B33,IF(Calcul!$AB$2=6,RHS!B33,IF(Calcul!$AB$2=7,Custom!B33,0)))))))</f>
        <v>IPEO200</v>
      </c>
    </row>
    <row r="36" spans="1:14" ht="13">
      <c r="A36" s="133"/>
      <c r="K36" s="4"/>
      <c r="L36" s="4"/>
      <c r="N36" s="60" t="str">
        <f>IF(Calcul!$AB$2=1,IPE!B34,IF(Calcul!$AB$2=2,IPN!B34,IF(Calcul!$AB$2=3,HE!B34,IF(Calcul!$AB$2=4,HD!B34,IF(Calcul!$AB$2=5,CHS!B34,IF(Calcul!$AB$2=6,RHS!B34,IF(Calcul!$AB$2=7,Custom!B34,0)))))))</f>
        <v>IPEO220</v>
      </c>
    </row>
    <row r="37" spans="1:14">
      <c r="A37" s="133"/>
      <c r="N37" s="60" t="str">
        <f>IF(Calcul!$AB$2=1,IPE!B35,IF(Calcul!$AB$2=2,IPN!B35,IF(Calcul!$AB$2=3,HE!B35,IF(Calcul!$AB$2=4,HD!B35,IF(Calcul!$AB$2=5,CHS!B35,IF(Calcul!$AB$2=6,RHS!B35,IF(Calcul!$AB$2=7,Custom!B35,0)))))))</f>
        <v>IPEO240</v>
      </c>
    </row>
    <row r="38" spans="1:14">
      <c r="A38" s="133"/>
      <c r="N38" s="60" t="str">
        <f>IF(Calcul!$AB$2=1,IPE!B36,IF(Calcul!$AB$2=2,IPN!B36,IF(Calcul!$AB$2=3,HE!B36,IF(Calcul!$AB$2=4,HD!B36,IF(Calcul!$AB$2=5,CHS!B36,IF(Calcul!$AB$2=6,RHS!B36,IF(Calcul!$AB$2=7,Custom!B36,0)))))))</f>
        <v>IPEO270</v>
      </c>
    </row>
    <row r="39" spans="1:14" ht="14">
      <c r="A39" s="133"/>
      <c r="B39" s="115" t="s">
        <v>302</v>
      </c>
      <c r="N39" s="60" t="str">
        <f>IF(Calcul!$AB$2=1,IPE!B37,IF(Calcul!$AB$2=2,IPN!B37,IF(Calcul!$AB$2=3,HE!B37,IF(Calcul!$AB$2=4,HD!B37,IF(Calcul!$AB$2=5,CHS!B37,IF(Calcul!$AB$2=6,RHS!B37,IF(Calcul!$AB$2=7,Custom!B37,0)))))))</f>
        <v>IPEO300</v>
      </c>
    </row>
    <row r="40" spans="1:14">
      <c r="A40" s="133"/>
      <c r="B40" s="17" t="s">
        <v>329</v>
      </c>
      <c r="D40" s="9">
        <f>b*0.5-0.5*tw-_r</f>
        <v>16.100000000000001</v>
      </c>
      <c r="E40" t="s">
        <v>0</v>
      </c>
      <c r="N40" s="60" t="str">
        <f>IF(Calcul!$AB$2=1,IPE!B38,IF(Calcul!$AB$2=2,IPN!B38,IF(Calcul!$AB$2=3,HE!B38,IF(Calcul!$AB$2=4,HD!B38,IF(Calcul!$AB$2=5,CHS!B38,IF(Calcul!$AB$2=6,RHS!B38,IF(Calcul!$AB$2=7,Custom!B38,0)))))))</f>
        <v>IPEO330</v>
      </c>
    </row>
    <row r="41" spans="1:14" ht="14">
      <c r="A41" s="133"/>
      <c r="B41" s="4"/>
      <c r="C41" s="109" t="s">
        <v>294</v>
      </c>
      <c r="D41" s="110">
        <f>D40/tf</f>
        <v>3.0961538461538463</v>
      </c>
      <c r="G41" s="4"/>
      <c r="H41" s="4"/>
      <c r="I41" s="4"/>
      <c r="J41" s="4"/>
      <c r="K41" s="4"/>
      <c r="L41" s="4"/>
      <c r="N41" s="60" t="str">
        <f>IF(Calcul!$AB$2=1,IPE!B39,IF(Calcul!$AB$2=2,IPN!B39,IF(Calcul!$AB$2=3,HE!B39,IF(Calcul!$AB$2=4,HD!B39,IF(Calcul!$AB$2=5,CHS!B39,IF(Calcul!$AB$2=6,RHS!B39,IF(Calcul!$AB$2=7,Custom!B39,0)))))))</f>
        <v>IPEO360</v>
      </c>
    </row>
    <row r="42" spans="1:14" ht="13">
      <c r="A42" s="133"/>
      <c r="B42" s="4"/>
      <c r="E42" s="4"/>
      <c r="F42" s="34" t="s">
        <v>285</v>
      </c>
      <c r="G42" s="34" t="s">
        <v>285</v>
      </c>
      <c r="H42" s="4"/>
      <c r="J42" s="4" t="s">
        <v>286</v>
      </c>
      <c r="K42" s="4"/>
      <c r="L42" s="4"/>
      <c r="N42" s="60" t="str">
        <f>IF(Calcul!$AB$2=1,IPE!B40,IF(Calcul!$AB$2=2,IPN!B40,IF(Calcul!$AB$2=3,HE!B40,IF(Calcul!$AB$2=4,HD!B40,IF(Calcul!$AB$2=5,CHS!B40,IF(Calcul!$AB$2=6,RHS!B40,IF(Calcul!$AB$2=7,Custom!B40,0)))))))</f>
        <v>IPEO400</v>
      </c>
    </row>
    <row r="43" spans="1:14" ht="13.5" thickBot="1">
      <c r="A43" s="133"/>
      <c r="B43" s="116" t="s">
        <v>271</v>
      </c>
      <c r="C43" s="116" t="s">
        <v>324</v>
      </c>
      <c r="D43" s="116" t="s">
        <v>325</v>
      </c>
      <c r="E43" s="116" t="s">
        <v>284</v>
      </c>
      <c r="F43" s="116" t="s">
        <v>326</v>
      </c>
      <c r="G43" s="116" t="s">
        <v>327</v>
      </c>
      <c r="H43" s="116" t="s">
        <v>275</v>
      </c>
      <c r="I43" s="116" t="s">
        <v>276</v>
      </c>
      <c r="J43" s="129" t="s">
        <v>287</v>
      </c>
      <c r="K43" s="4"/>
      <c r="L43" s="4"/>
      <c r="N43" s="60" t="str">
        <f>IF(Calcul!$AB$2=1,IPE!B41,IF(Calcul!$AB$2=2,IPN!B41,IF(Calcul!$AB$2=3,HE!B41,IF(Calcul!$AB$2=4,HD!B41,IF(Calcul!$AB$2=5,CHS!B41,IF(Calcul!$AB$2=6,RHS!B41,IF(Calcul!$AB$2=7,Custom!B41,0)))))))</f>
        <v>IPEO450</v>
      </c>
    </row>
    <row r="44" spans="1:14" ht="13">
      <c r="A44" s="133"/>
      <c r="B44" s="28">
        <v>1</v>
      </c>
      <c r="C44" s="16">
        <f>Calcul!$P$22/A*1000-1000000*(MAX(ABS(Calcul!$D$31),ABS(Calcul!$D$32),ABS(Calcul!$P$25),ABS(Calcul!$D$33)))*(h/2)/Iy</f>
        <v>-19.716215179997512</v>
      </c>
      <c r="D44" s="106">
        <f>-(MAX(ABS(Calcul!$D$35),ABS(Calcul!$D$36),ABS(Calcul!$P$26),ABS(Calcul!$D$37))*(0.5*tw+_r))/Iz*1000000</f>
        <v>0</v>
      </c>
      <c r="E44" s="107">
        <f>-MAX(ABS(Calcul!$D$35),ABS(Calcul!$D$36),ABS(Calcul!$P$26),ABS(Calcul!$D$37))/Wzel*1000000</f>
        <v>0</v>
      </c>
      <c r="F44" s="106">
        <f>C44+D44</f>
        <v>-19.716215179997512</v>
      </c>
      <c r="G44" s="106">
        <f>C44+E44</f>
        <v>-19.716215179997512</v>
      </c>
      <c r="H44" s="39">
        <f>IF(AND(F44&lt;0,G44&lt;0),1,IF(G44&lt;0,ABS(G44)/(F44-G44),"-"))</f>
        <v>1</v>
      </c>
      <c r="I44" s="16" t="s">
        <v>199</v>
      </c>
      <c r="J44" s="31" t="s">
        <v>199</v>
      </c>
      <c r="K44" s="4"/>
      <c r="L44" s="4"/>
      <c r="N44" s="60" t="str">
        <f>IF(Calcul!$AB$2=1,IPE!B42,IF(Calcul!$AB$2=2,IPN!B42,IF(Calcul!$AB$2=3,HE!B42,IF(Calcul!$AB$2=4,HD!B42,IF(Calcul!$AB$2=5,CHS!B42,IF(Calcul!$AB$2=6,RHS!B42,IF(Calcul!$AB$2=7,Custom!B42,0)))))))</f>
        <v>IPEO500</v>
      </c>
    </row>
    <row r="45" spans="1:14" ht="13">
      <c r="A45" s="133"/>
      <c r="B45" s="28">
        <v>2</v>
      </c>
      <c r="C45" s="16">
        <f>Calcul!$P$22/A*1000-1000000*(MAX(ABS(Calcul!$D$31),ABS(Calcul!$D$32),ABS(Calcul!$P$25),ABS(Calcul!$D$33)))*(h/2)/Iy</f>
        <v>-19.716215179997512</v>
      </c>
      <c r="D45" s="106">
        <f>-(MAX(ABS(Calcul!$D$35),ABS(Calcul!$D$36),ABS(Calcul!$P$26),ABS(Calcul!$D$37))*(0.5*tw+_r))/Iz*1000000</f>
        <v>0</v>
      </c>
      <c r="E45" s="107">
        <f>-MAX(ABS(Calcul!$D$35),ABS(Calcul!$D$36),ABS(Calcul!$P$26),ABS(Calcul!$D$37))/Wzel*1000000</f>
        <v>0</v>
      </c>
      <c r="F45" s="106">
        <f>C45+D45</f>
        <v>-19.716215179997512</v>
      </c>
      <c r="G45" s="106">
        <f>C45+E45</f>
        <v>-19.716215179997512</v>
      </c>
      <c r="H45" s="39">
        <f>IF(AND(F45&lt;0,G45&lt;0),1,IF(G45&lt;0,ABS(G45)/(F45-G45),"-"))</f>
        <v>1</v>
      </c>
      <c r="I45" s="16" t="s">
        <v>199</v>
      </c>
      <c r="J45" s="31" t="s">
        <v>199</v>
      </c>
      <c r="K45" s="4"/>
      <c r="L45" s="4"/>
      <c r="N45" s="60" t="str">
        <f>IF(Calcul!$AB$2=1,IPE!B43,IF(Calcul!$AB$2=2,IPN!B43,IF(Calcul!$AB$2=3,HE!B43,IF(Calcul!$AB$2=4,HD!B43,IF(Calcul!$AB$2=5,CHS!B43,IF(Calcul!$AB$2=6,RHS!B43,IF(Calcul!$AB$2=7,Custom!B43,0)))))))</f>
        <v>IPEO550</v>
      </c>
    </row>
    <row r="46" spans="1:14" ht="13">
      <c r="A46" s="133"/>
      <c r="B46" s="28">
        <v>3</v>
      </c>
      <c r="C46" s="16">
        <f>Calcul!$P$22/A*1000-1000000*(MAX(ABS(Calcul!$D$31),ABS(Calcul!$D$32),ABS(Calcul!$P$25),ABS(Calcul!$D$33)))*(h/2)/Iy</f>
        <v>-19.716215179997512</v>
      </c>
      <c r="D46" s="106">
        <f>-(MAX(ABS(Calcul!$D$35),ABS(Calcul!$D$36),ABS(Calcul!$P$26),ABS(Calcul!$D$37))*(0.5*tw+_r))/Iz*1000000</f>
        <v>0</v>
      </c>
      <c r="E46" s="107">
        <f>-MAX(ABS(Calcul!$D$35),ABS(Calcul!$D$36),ABS(Calcul!$P$26),ABS(Calcul!$D$37))/Wzel*1000000</f>
        <v>0</v>
      </c>
      <c r="F46" s="106">
        <f>C46+D46</f>
        <v>-19.716215179997512</v>
      </c>
      <c r="G46" s="106">
        <f>C46+E46</f>
        <v>-19.716215179997512</v>
      </c>
      <c r="H46" s="39">
        <f>IF(AND(F46&lt;0,G46&lt;0),1,IF(G46&lt;0,ABS(G46)/(F46-G46),"-"))</f>
        <v>1</v>
      </c>
      <c r="I46" s="16">
        <f>F46/G46</f>
        <v>1</v>
      </c>
      <c r="J46" s="39">
        <f>IF(AND(F46&gt;0,G46&lt;0,ABS(I46)&gt;1),1.7-5*I46+17.1*(I46)^2,IF((I46)=1,0.43,IF(I46=0,0.57,IF(I46=-1,0.85,IF(AND(-1&lt;=I46,I46&lt;=1),0.57-0.21*I46+0.07*(I46)^2,"-")))))</f>
        <v>0.43</v>
      </c>
      <c r="K46" s="4"/>
      <c r="L46" s="4"/>
      <c r="N46" s="60" t="str">
        <f>IF(Calcul!$AB$2=1,IPE!B44,IF(Calcul!$AB$2=2,IPN!B44,IF(Calcul!$AB$2=3,HE!B44,IF(Calcul!$AB$2=4,HD!B44,IF(Calcul!$AB$2=5,CHS!B44,IF(Calcul!$AB$2=6,RHS!B44,IF(Calcul!$AB$2=7,Custom!B44,0)))))))</f>
        <v>IPE 750 x 137</v>
      </c>
    </row>
    <row r="47" spans="1:14" ht="13">
      <c r="A47" s="133"/>
      <c r="C47" s="9"/>
      <c r="D47" s="4"/>
      <c r="E47" s="4"/>
      <c r="K47" s="4"/>
      <c r="L47" s="4"/>
      <c r="N47" s="60" t="str">
        <f>IF(Calcul!$AB$2=1,IPE!B45,IF(Calcul!$AB$2=2,IPN!B45,IF(Calcul!$AB$2=3,HE!B45,IF(Calcul!$AB$2=4,HD!B45,IF(Calcul!$AB$2=5,CHS!B45,IF(Calcul!$AB$2=6,RHS!B45,IF(Calcul!$AB$2=7,Custom!B45,0)))))))</f>
        <v>T60120R</v>
      </c>
    </row>
    <row r="48" spans="1:14" ht="13">
      <c r="A48" s="133"/>
      <c r="B48" s="21"/>
      <c r="I48" s="4"/>
      <c r="J48" s="4"/>
      <c r="K48" s="4"/>
      <c r="L48" s="4"/>
      <c r="N48" s="60" t="str">
        <f>IF(Calcul!$AB$2=1,IPE!B46,IF(Calcul!$AB$2=2,IPN!B46,IF(Calcul!$AB$2=3,HE!B46,IF(Calcul!$AB$2=4,HD!B46,IF(Calcul!$AB$2=5,CHS!B46,IF(Calcul!$AB$2=6,RHS!B46,IF(Calcul!$AB$2=7,Custom!B46,0)))))))</f>
        <v>IPE 750 x 196</v>
      </c>
    </row>
    <row r="49" spans="1:14" ht="13">
      <c r="A49" s="133"/>
      <c r="B49" s="119"/>
      <c r="C49" s="9" t="s">
        <v>273</v>
      </c>
      <c r="D49" s="119"/>
      <c r="E49" t="s">
        <v>281</v>
      </c>
      <c r="F49" s="119" t="s">
        <v>282</v>
      </c>
      <c r="G49" t="s">
        <v>283</v>
      </c>
      <c r="H49" s="4"/>
      <c r="I49" s="4"/>
      <c r="J49" s="4"/>
      <c r="K49" s="4"/>
      <c r="L49" s="4"/>
      <c r="N49" s="60" t="str">
        <f>IF(Calcul!$AB$2=1,IPE!B47,IF(Calcul!$AB$2=2,IPN!B47,IF(Calcul!$AB$2=3,HE!B47,IF(Calcul!$AB$2=4,HD!B47,IF(Calcul!$AB$2=5,CHS!B47,IF(Calcul!$AB$2=6,RHS!B47,IF(Calcul!$AB$2=7,Custom!B47,0)))))))</f>
        <v>-</v>
      </c>
    </row>
    <row r="50" spans="1:14" ht="13.5" thickBot="1">
      <c r="A50" s="133"/>
      <c r="B50" s="117" t="s">
        <v>271</v>
      </c>
      <c r="C50" s="116" t="s">
        <v>288</v>
      </c>
      <c r="D50" s="120" t="s">
        <v>289</v>
      </c>
      <c r="E50" s="116" t="s">
        <v>288</v>
      </c>
      <c r="F50" s="120" t="s">
        <v>289</v>
      </c>
      <c r="G50" s="130" t="s">
        <v>293</v>
      </c>
      <c r="H50" s="126"/>
      <c r="I50" s="4"/>
      <c r="J50" s="4"/>
      <c r="K50" s="4"/>
      <c r="L50" s="4"/>
      <c r="N50" s="60" t="str">
        <f>IF(Calcul!$AB$2=1,IPE!B48,IF(Calcul!$AB$2=2,IPN!B48,IF(Calcul!$AB$2=3,HE!B48,IF(Calcul!$AB$2=4,HD!B48,IF(Calcul!$AB$2=5,CHS!B48,IF(Calcul!$AB$2=6,RHS!B48,IF(Calcul!$AB$2=7,Custom!B48,0)))))))</f>
        <v>-</v>
      </c>
    </row>
    <row r="51" spans="1:14" ht="13">
      <c r="A51" s="133"/>
      <c r="B51" s="118">
        <v>1</v>
      </c>
      <c r="C51" s="15">
        <f>9*D6</f>
        <v>9</v>
      </c>
      <c r="D51" s="121">
        <f>IF(F44&gt;0,"-",IF(D41&lt;=C51,1,"-"))</f>
        <v>1</v>
      </c>
      <c r="E51" s="15">
        <f>IF(H44="-",C51,9*D6/H44)</f>
        <v>9</v>
      </c>
      <c r="F51" s="121" t="str">
        <f>IF(H44="-","-",IF(AND(F44&lt;0,G44&lt;0),"-",IF(D41&lt;=E51,1,"-")))</f>
        <v>-</v>
      </c>
      <c r="H51" s="4"/>
      <c r="I51" s="4"/>
      <c r="J51" s="4"/>
      <c r="K51" s="4"/>
      <c r="L51" s="4"/>
      <c r="N51" s="60" t="str">
        <f>IF(Calcul!$AB$2=1,IPE!B49,IF(Calcul!$AB$2=2,IPN!B49,IF(Calcul!$AB$2=3,HE!B49,IF(Calcul!$AB$2=4,HD!B49,IF(Calcul!$AB$2=5,CHS!B49,IF(Calcul!$AB$2=6,RHS!B49,IF(Calcul!$AB$2=7,Custom!B49,0)))))))</f>
        <v>-</v>
      </c>
    </row>
    <row r="52" spans="1:14" ht="13">
      <c r="A52" s="133"/>
      <c r="B52" s="118">
        <v>2</v>
      </c>
      <c r="C52" s="15">
        <f>10*D6</f>
        <v>10</v>
      </c>
      <c r="D52" s="121" t="str">
        <f>IF(F45&gt;0,"-",IF(AND(C51&lt;D41,D41&lt;=C52),2,"-"))</f>
        <v>-</v>
      </c>
      <c r="E52" s="15">
        <f>IF(H45="-",C52,10*D6/H45)</f>
        <v>10</v>
      </c>
      <c r="F52" s="121" t="str">
        <f>IF(OR(H45="-",AND(F45&lt;0,G45&lt;0)),"-",IF(AND(E51&lt;D41,D41&lt;=E52),2,"-"))</f>
        <v>-</v>
      </c>
      <c r="G52" s="9"/>
      <c r="H52" s="4"/>
      <c r="I52" s="4"/>
      <c r="J52" s="4"/>
      <c r="K52" s="4"/>
      <c r="L52" s="4"/>
      <c r="N52" s="60" t="str">
        <f>IF(Calcul!$AB$2=1,IPE!B50,IF(Calcul!$AB$2=2,IPN!B50,IF(Calcul!$AB$2=3,HE!B50,IF(Calcul!$AB$2=4,HD!B50,IF(Calcul!$AB$2=5,CHS!B50,IF(Calcul!$AB$2=6,RHS!B50,IF(Calcul!$AB$2=7,Custom!B50,0)))))))</f>
        <v>-</v>
      </c>
    </row>
    <row r="53" spans="1:14" ht="13">
      <c r="A53" s="133"/>
      <c r="B53" s="118">
        <v>3</v>
      </c>
      <c r="C53" s="15">
        <f>14*D6</f>
        <v>14</v>
      </c>
      <c r="D53" s="121" t="str">
        <f>IF(F46&gt;0,"-",IF(AND(C52&lt;D41,D41&lt;=C53),3,"-"))</f>
        <v>-</v>
      </c>
      <c r="E53" s="15">
        <f>IF(H46="-","-",21*D6*SQRT(J46))</f>
        <v>13.770620901034201</v>
      </c>
      <c r="F53" s="121" t="str">
        <f>IF(H46="-","-",IF(AND(F46&lt;0,G46&lt;0),"-",IF(AND(E52&lt;D41,D41&lt;=E53),3,"-")))</f>
        <v>-</v>
      </c>
      <c r="G53" s="9"/>
      <c r="H53" s="4"/>
      <c r="I53" s="4"/>
      <c r="J53" s="4"/>
      <c r="K53" s="4"/>
      <c r="L53" s="4"/>
      <c r="N53" s="60" t="str">
        <f>IF(Calcul!$AB$2=1,IPE!B51,IF(Calcul!$AB$2=2,IPN!B51,IF(Calcul!$AB$2=3,HE!B51,IF(Calcul!$AB$2=4,HD!B51,IF(Calcul!$AB$2=5,CHS!B51,IF(Calcul!$AB$2=6,RHS!B51,IF(Calcul!$AB$2=7,Custom!B51,0)))))))</f>
        <v>-</v>
      </c>
    </row>
    <row r="54" spans="1:14" ht="13">
      <c r="A54" s="133"/>
      <c r="B54" s="118">
        <v>4</v>
      </c>
      <c r="C54" s="108">
        <f>C53</f>
        <v>14</v>
      </c>
      <c r="D54" s="121" t="str">
        <f>IF(F46&gt;0,"-",IF(SUM(D51:D53)=0,4,"-"))</f>
        <v>-</v>
      </c>
      <c r="E54" s="108">
        <f>E53</f>
        <v>13.770620901034201</v>
      </c>
      <c r="F54" s="121" t="str">
        <f>IF(OR(H46="-",AND(F46&lt;0,G46&lt;0)),"-",IF(SUM(F51:F53)=0,4,"-"))</f>
        <v>-</v>
      </c>
      <c r="G54" s="9"/>
      <c r="H54" s="4"/>
      <c r="I54" s="4"/>
      <c r="J54" s="4"/>
      <c r="K54" s="4"/>
      <c r="L54" s="4"/>
      <c r="N54" s="60" t="str">
        <f>IF(Calcul!$AB$2=1,IPE!B52,IF(Calcul!$AB$2=2,IPN!B52,IF(Calcul!$AB$2=3,HE!B52,IF(Calcul!$AB$2=4,HD!B52,IF(Calcul!$AB$2=5,CHS!B52,IF(Calcul!$AB$2=6,RHS!B52,IF(Calcul!$AB$2=7,Custom!B52,0)))))))</f>
        <v>-</v>
      </c>
    </row>
    <row r="55" spans="1:14" ht="13">
      <c r="A55" s="133"/>
      <c r="B55" s="118" t="s">
        <v>279</v>
      </c>
      <c r="C55" s="15">
        <f>C53*C59</f>
        <v>48.333716693292246</v>
      </c>
      <c r="D55" s="121" t="str">
        <f>IF(D54=4,IF(D41&lt;=C55,3,4),"-")</f>
        <v>-</v>
      </c>
      <c r="E55" s="15">
        <f>E53*C59</f>
        <v>47.541806380093995</v>
      </c>
      <c r="F55" s="121" t="str">
        <f>IF(F54=4,IF(D41&lt;=E55,3,4),"-")</f>
        <v>-</v>
      </c>
      <c r="G55" s="28"/>
      <c r="H55" s="39"/>
      <c r="I55" s="4"/>
      <c r="J55" s="4"/>
      <c r="K55" s="4"/>
      <c r="L55" s="4"/>
      <c r="N55" s="60" t="str">
        <f>IF(Calcul!$AB$2=1,IPE!B53,IF(Calcul!$AB$2=2,IPN!B53,IF(Calcul!$AB$2=3,HE!B53,IF(Calcul!$AB$2=4,HD!B53,IF(Calcul!$AB$2=5,CHS!B53,IF(Calcul!$AB$2=6,RHS!B53,IF(Calcul!$AB$2=7,Custom!B53,0)))))))</f>
        <v>-</v>
      </c>
    </row>
    <row r="56" spans="1:14" ht="13">
      <c r="A56" s="133"/>
      <c r="E56" s="4"/>
      <c r="F56" s="4"/>
      <c r="G56" s="4"/>
      <c r="H56" s="4"/>
      <c r="I56" s="4"/>
      <c r="J56" s="4"/>
      <c r="K56" s="4"/>
      <c r="L56" s="4"/>
      <c r="N56" s="60" t="str">
        <f>IF(Calcul!$AB$2=1,IPE!B54,IF(Calcul!$AB$2=2,IPN!B54,IF(Calcul!$AB$2=3,HE!B54,IF(Calcul!$AB$2=4,HD!B54,IF(Calcul!$AB$2=5,CHS!B54,IF(Calcul!$AB$2=6,RHS!B54,IF(Calcul!$AB$2=7,Custom!B54,0)))))))</f>
        <v>-</v>
      </c>
    </row>
    <row r="57" spans="1:14" ht="13">
      <c r="A57" s="133"/>
      <c r="B57" s="34" t="s">
        <v>299</v>
      </c>
      <c r="C57" s="101">
        <f>G46</f>
        <v>-19.716215179997512</v>
      </c>
      <c r="D57" t="s">
        <v>318</v>
      </c>
      <c r="E57" s="4"/>
      <c r="F57" s="4"/>
      <c r="G57" s="4"/>
      <c r="H57" s="4"/>
      <c r="I57" s="4"/>
      <c r="J57" s="4"/>
      <c r="K57" s="4"/>
      <c r="L57" s="4"/>
      <c r="N57" s="60" t="str">
        <f>IF(Calcul!$AB$2=1,IPE!B55,IF(Calcul!$AB$2=2,IPN!B55,IF(Calcul!$AB$2=3,HE!B55,IF(Calcul!$AB$2=4,HD!B55,IF(Calcul!$AB$2=5,CHS!B55,IF(Calcul!$AB$2=6,RHS!B55,IF(Calcul!$AB$2=7,Custom!B55,0)))))))</f>
        <v>-</v>
      </c>
    </row>
    <row r="58" spans="1:14" ht="13">
      <c r="A58" s="133"/>
      <c r="B58" s="4"/>
      <c r="C58" s="5"/>
      <c r="D58" s="4"/>
      <c r="E58" s="113"/>
      <c r="F58" s="114"/>
      <c r="G58" s="4"/>
      <c r="H58" s="4"/>
      <c r="I58" s="4"/>
      <c r="J58" s="4"/>
      <c r="K58" s="4"/>
      <c r="L58" s="4"/>
      <c r="N58" s="60" t="str">
        <f>IF(Calcul!$AB$2=1,IPE!B56,IF(Calcul!$AB$2=2,IPN!B56,IF(Calcul!$AB$2=3,HE!B56,IF(Calcul!$AB$2=4,HD!B56,IF(Calcul!$AB$2=5,CHS!B56,IF(Calcul!$AB$2=6,RHS!B56,IF(Calcul!$AB$2=7,Custom!B56,0)))))))</f>
        <v>-</v>
      </c>
    </row>
    <row r="59" spans="1:14" ht="13">
      <c r="A59" s="133"/>
      <c r="C59" s="16">
        <f>SQRT(fy/Calcul!$W$13/(ABS(C57)))</f>
        <v>3.4524083352351607</v>
      </c>
      <c r="D59" s="25" t="s">
        <v>292</v>
      </c>
      <c r="E59" s="113"/>
      <c r="F59" s="113"/>
      <c r="G59" s="4"/>
      <c r="H59" s="4"/>
      <c r="I59" s="4"/>
      <c r="J59" s="4"/>
      <c r="K59" s="4"/>
      <c r="L59" s="4"/>
      <c r="N59" s="60" t="str">
        <f>IF(Calcul!$AB$2=1,IPE!B57,IF(Calcul!$AB$2=2,IPN!B57,IF(Calcul!$AB$2=3,HE!B57,IF(Calcul!$AB$2=4,HD!B57,IF(Calcul!$AB$2=5,CHS!B57,IF(Calcul!$AB$2=6,RHS!B57,IF(Calcul!$AB$2=7,Custom!B57,0)))))))</f>
        <v>-</v>
      </c>
    </row>
    <row r="60" spans="1:14" ht="13">
      <c r="A60" s="133"/>
      <c r="E60" s="112"/>
      <c r="F60" s="112"/>
      <c r="G60" s="4"/>
      <c r="H60" s="4"/>
      <c r="I60" s="4"/>
      <c r="J60" s="4"/>
      <c r="K60" s="4"/>
      <c r="L60" s="4"/>
      <c r="N60" s="60" t="str">
        <f>IF(Calcul!$AB$2=1,IPE!B58,IF(Calcul!$AB$2=2,IPN!B58,IF(Calcul!$AB$2=3,HE!B58,IF(Calcul!$AB$2=4,HD!B58,IF(Calcul!$AB$2=5,CHS!B58,IF(Calcul!$AB$2=6,RHS!B58,IF(Calcul!$AB$2=7,Custom!B58,0)))))))</f>
        <v>-</v>
      </c>
    </row>
    <row r="61" spans="1:14" ht="13">
      <c r="A61" s="133"/>
      <c r="E61" s="112"/>
      <c r="F61" s="112"/>
      <c r="G61" s="4"/>
      <c r="H61" s="4"/>
      <c r="I61" s="4"/>
      <c r="J61" s="4"/>
      <c r="K61" s="4"/>
      <c r="L61" s="4"/>
      <c r="N61" s="60" t="str">
        <f>IF(Calcul!$AB$2=1,IPE!B59,IF(Calcul!$AB$2=2,IPN!B59,IF(Calcul!$AB$2=3,HE!B59,IF(Calcul!$AB$2=4,HD!B59,IF(Calcul!$AB$2=5,CHS!B59,IF(Calcul!$AB$2=6,RHS!B59,IF(Calcul!$AB$2=7,Custom!B59,0)))))))</f>
        <v>-</v>
      </c>
    </row>
    <row r="62" spans="1:14" ht="13">
      <c r="A62" s="133"/>
      <c r="C62" s="16">
        <f>D6*C59</f>
        <v>3.4524083352351607</v>
      </c>
      <c r="D62" s="6"/>
      <c r="E62" s="112"/>
      <c r="F62" s="112"/>
      <c r="G62" s="4"/>
      <c r="H62" s="4"/>
      <c r="I62" s="4"/>
      <c r="J62" s="4"/>
      <c r="K62" s="4"/>
      <c r="L62" s="4"/>
      <c r="N62" s="60" t="str">
        <f>IF(Calcul!$AB$2=1,IPE!B60,IF(Calcul!$AB$2=2,IPN!B60,IF(Calcul!$AB$2=3,HE!B60,IF(Calcul!$AB$2=4,HD!B60,IF(Calcul!$AB$2=5,CHS!B60,IF(Calcul!$AB$2=6,RHS!B60,IF(Calcul!$AB$2=7,Custom!B60,0)))))))</f>
        <v>-</v>
      </c>
    </row>
    <row r="63" spans="1:14" ht="13">
      <c r="A63" s="133"/>
      <c r="B63" s="4"/>
      <c r="C63" s="5"/>
      <c r="D63" s="4"/>
      <c r="E63" s="4"/>
      <c r="F63" s="4"/>
      <c r="G63" s="4"/>
      <c r="H63" s="4"/>
      <c r="I63" s="4"/>
      <c r="J63" s="4"/>
      <c r="K63" s="4"/>
      <c r="L63" s="4"/>
      <c r="N63" s="60" t="str">
        <f>IF(Calcul!$AB$2=1,IPE!B61,IF(Calcul!$AB$2=2,IPN!B61,IF(Calcul!$AB$2=3,HE!B61,IF(Calcul!$AB$2=4,HD!B61,IF(Calcul!$AB$2=5,CHS!B61,IF(Calcul!$AB$2=6,RHS!B61,IF(Calcul!$AB$2=7,Custom!B61,0)))))))</f>
        <v>-</v>
      </c>
    </row>
    <row r="64" spans="1:14" ht="13">
      <c r="A64" s="133"/>
      <c r="B64" s="4"/>
      <c r="C64" s="5"/>
      <c r="D64" s="4"/>
      <c r="E64" s="4"/>
      <c r="F64" s="4"/>
      <c r="G64" s="4"/>
      <c r="H64" s="4"/>
      <c r="I64" s="4"/>
      <c r="J64" s="4"/>
      <c r="K64" s="4"/>
      <c r="L64" s="4"/>
      <c r="N64" s="60" t="str">
        <f>IF(Calcul!$AB$2=1,IPE!B62,IF(Calcul!$AB$2=2,IPN!B62,IF(Calcul!$AB$2=3,HE!B62,IF(Calcul!$AB$2=4,HD!B62,IF(Calcul!$AB$2=5,CHS!B62,IF(Calcul!$AB$2=6,RHS!B62,IF(Calcul!$AB$2=7,Custom!B62,0)))))))</f>
        <v>-</v>
      </c>
    </row>
    <row r="65" spans="1:14" ht="13">
      <c r="A65" s="133"/>
      <c r="B65" s="4"/>
      <c r="C65" s="5"/>
      <c r="D65" s="4"/>
      <c r="E65" s="4"/>
      <c r="F65" s="4"/>
      <c r="G65" s="4"/>
      <c r="H65" s="4"/>
      <c r="I65" s="4"/>
      <c r="J65" s="4"/>
      <c r="K65" s="4"/>
      <c r="L65" s="4"/>
      <c r="N65" s="60" t="str">
        <f>IF(Calcul!$AB$2=1,IPE!B63,IF(Calcul!$AB$2=2,IPN!B63,IF(Calcul!$AB$2=3,HE!B63,IF(Calcul!$AB$2=4,HD!B63,IF(Calcul!$AB$2=5,CHS!B63,IF(Calcul!$AB$2=6,RHS!B63,IF(Calcul!$AB$2=7,Custom!B63,0)))))))</f>
        <v>-</v>
      </c>
    </row>
    <row r="66" spans="1:14" ht="15.5">
      <c r="A66" s="138"/>
      <c r="B66" s="139" t="s">
        <v>303</v>
      </c>
      <c r="C66" s="140"/>
      <c r="D66" s="140"/>
      <c r="E66" s="140"/>
      <c r="F66" s="140"/>
      <c r="G66" s="140"/>
      <c r="H66" s="140"/>
      <c r="I66" s="140"/>
      <c r="J66" s="141"/>
      <c r="K66" s="141"/>
      <c r="L66" s="4"/>
      <c r="N66" s="60" t="str">
        <f>IF(Calcul!$AB$2=1,IPE!B64,IF(Calcul!$AB$2=2,IPN!B64,IF(Calcul!$AB$2=3,HE!B64,IF(Calcul!$AB$2=4,HD!B64,IF(Calcul!$AB$2=5,CHS!B64,IF(Calcul!$AB$2=6,RHS!B64,IF(Calcul!$AB$2=7,Custom!B64,0)))))))</f>
        <v>-</v>
      </c>
    </row>
    <row r="67" spans="1:14" ht="13">
      <c r="A67" s="138"/>
      <c r="C67" s="9" t="s">
        <v>399</v>
      </c>
      <c r="D67" s="9" t="str">
        <f>IF(Calcul!$AB$2=6,Calcul!$AC$11,"-")</f>
        <v>-</v>
      </c>
      <c r="I67" s="105"/>
      <c r="J67" s="4"/>
      <c r="K67" s="4"/>
      <c r="L67" s="4"/>
      <c r="N67" s="60" t="str">
        <f>IF(Calcul!$AB$2=1,IPE!B65,IF(Calcul!$AB$2=2,IPN!B65,IF(Calcul!$AB$2=3,HE!B65,IF(Calcul!$AB$2=4,HD!B65,IF(Calcul!$AB$2=5,CHS!B65,IF(Calcul!$AB$2=6,RHS!B65,IF(Calcul!$AB$2=7,Custom!B65,0)))))))</f>
        <v>-</v>
      </c>
    </row>
    <row r="68" spans="1:14">
      <c r="A68" s="138"/>
      <c r="C68" s="34" t="s">
        <v>277</v>
      </c>
      <c r="D68" s="16">
        <f>SQRT(235/(VLOOKUP(Calcul!$AG$1,Calcul!$AF$4:$AH$9,2)))</f>
        <v>1</v>
      </c>
      <c r="I68" s="111"/>
      <c r="N68" s="60" t="str">
        <f>IF(Calcul!$AB$2=1,IPE!B66,IF(Calcul!$AB$2=2,IPN!B66,IF(Calcul!$AB$2=3,HE!B66,IF(Calcul!$AB$2=4,HD!B66,IF(Calcul!$AB$2=5,CHS!B66,IF(Calcul!$AB$2=6,RHS!B66,IF(Calcul!$AB$2=7,Custom!B66,0)))))))</f>
        <v>-</v>
      </c>
    </row>
    <row r="69" spans="1:14">
      <c r="A69" s="138"/>
      <c r="C69" t="s">
        <v>295</v>
      </c>
      <c r="D69" s="9">
        <f>IF(G82&lt;=0,MAX(F86:F89),MAX(D86:D89,H86:H89))</f>
        <v>1</v>
      </c>
      <c r="E69" s="125"/>
      <c r="I69" s="111"/>
      <c r="N69" s="60" t="str">
        <f>IF(Calcul!$AB$2=1,IPE!B67,IF(Calcul!$AB$2=2,IPN!B67,IF(Calcul!$AB$2=3,HE!B67,IF(Calcul!$AB$2=4,HD!B67,IF(Calcul!$AB$2=5,CHS!B67,IF(Calcul!$AB$2=6,RHS!B67,IF(Calcul!$AB$2=7,Custom!B67,0)))))))</f>
        <v>-</v>
      </c>
    </row>
    <row r="70" spans="1:14">
      <c r="A70" s="138"/>
      <c r="C70" t="s">
        <v>297</v>
      </c>
      <c r="D70" s="9">
        <f>IF(G108&lt;=0,MAX(F112:F115),MAX(D112:D115,H112:H115))</f>
        <v>1</v>
      </c>
      <c r="E70" s="125" t="str">
        <f>IF(AND(D70=3,OR(D116=3,F116=3,H116=3)),C123,"-")</f>
        <v>-</v>
      </c>
      <c r="N70" s="60" t="str">
        <f>IF(Calcul!$AB$2=1,IPE!B68,IF(Calcul!$AB$2=2,IPN!B68,IF(Calcul!$AB$2=3,HE!B68,IF(Calcul!$AB$2=4,HD!B68,IF(Calcul!$AB$2=5,CHS!B68,IF(Calcul!$AB$2=6,RHS!B68,IF(Calcul!$AB$2=7,Custom!B68,0)))))))</f>
        <v>-</v>
      </c>
    </row>
    <row r="71" spans="1:14" ht="13">
      <c r="A71" s="138"/>
      <c r="C71" s="148" t="s">
        <v>298</v>
      </c>
      <c r="D71" s="149">
        <f>MAX(D69:D70)</f>
        <v>1</v>
      </c>
      <c r="N71" s="60" t="str">
        <f>IF(Calcul!$AB$2=1,IPE!B69,IF(Calcul!$AB$2=2,IPN!B69,IF(Calcul!$AB$2=3,HE!B69,IF(Calcul!$AB$2=4,HD!B69,IF(Calcul!$AB$2=5,CHS!B69,IF(Calcul!$AB$2=6,RHS!B69,IF(Calcul!$AB$2=7,Custom!B69,0)))))))</f>
        <v>-</v>
      </c>
    </row>
    <row r="72" spans="1:14">
      <c r="A72" s="138"/>
      <c r="N72" s="60" t="str">
        <f>IF(Calcul!$AB$2=1,IPE!B70,IF(Calcul!$AB$2=2,IPN!B70,IF(Calcul!$AB$2=3,HE!B70,IF(Calcul!$AB$2=4,HD!B70,IF(Calcul!$AB$2=5,CHS!B70,IF(Calcul!$AB$2=6,RHS!B70,IF(Calcul!$AB$2=7,Custom!B70,0)))))))</f>
        <v>-</v>
      </c>
    </row>
    <row r="73" spans="1:14">
      <c r="A73" s="138"/>
      <c r="N73" s="60" t="str">
        <f>IF(Calcul!$AB$2=1,IPE!B71,IF(Calcul!$AB$2=2,IPN!B71,IF(Calcul!$AB$2=3,HE!B71,IF(Calcul!$AB$2=4,HD!B71,IF(Calcul!$AB$2=5,CHS!B71,IF(Calcul!$AB$2=6,RHS!B71,IF(Calcul!$AB$2=7,Custom!B71,0)))))))</f>
        <v>-</v>
      </c>
    </row>
    <row r="74" spans="1:14" ht="14">
      <c r="A74" s="138"/>
      <c r="B74" s="115" t="s">
        <v>314</v>
      </c>
      <c r="N74" s="60" t="str">
        <f>IF(Calcul!$AB$2=1,IPE!B72,IF(Calcul!$AB$2=2,IPN!B72,IF(Calcul!$AB$2=3,HE!B72,IF(Calcul!$AB$2=4,HD!B72,IF(Calcul!$AB$2=5,CHS!B72,IF(Calcul!$AB$2=6,RHS!B72,IF(Calcul!$AB$2=7,Custom!B72,0)))))))</f>
        <v>-</v>
      </c>
    </row>
    <row r="75" spans="1:14">
      <c r="A75" s="138"/>
      <c r="B75" s="17" t="s">
        <v>330</v>
      </c>
      <c r="D75" s="9">
        <f>h-3*tf</f>
        <v>64.400000000000006</v>
      </c>
      <c r="E75" t="s">
        <v>0</v>
      </c>
      <c r="N75" s="60" t="str">
        <f>IF(Calcul!$AB$2=1,IPE!B73,IF(Calcul!$AB$2=2,IPN!B73,IF(Calcul!$AB$2=3,HE!B73,IF(Calcul!$AB$2=4,HD!B73,IF(Calcul!$AB$2=5,CHS!B73,IF(Calcul!$AB$2=6,RHS!B73,IF(Calcul!$AB$2=7,Custom!B73,0)))))))</f>
        <v>-</v>
      </c>
    </row>
    <row r="76" spans="1:14" ht="14">
      <c r="A76" s="138"/>
      <c r="C76" s="109" t="s">
        <v>280</v>
      </c>
      <c r="D76" s="110">
        <f>D75/tw</f>
        <v>16.947368421052634</v>
      </c>
      <c r="I76" s="111"/>
      <c r="N76" s="60" t="str">
        <f>IF(Calcul!$AB$2=1,IPE!B74,IF(Calcul!$AB$2=2,IPN!B74,IF(Calcul!$AB$2=3,HE!B74,IF(Calcul!$AB$2=4,HD!B74,IF(Calcul!$AB$2=5,CHS!B74,IF(Calcul!$AB$2=6,RHS!B74,IF(Calcul!$AB$2=7,Custom!B74,0)))))))</f>
        <v>-</v>
      </c>
    </row>
    <row r="77" spans="1:14">
      <c r="A77" s="138"/>
      <c r="N77" s="60" t="str">
        <f>IF(Calcul!$AB$2=1,IPE!B75,IF(Calcul!$AB$2=2,IPN!B75,IF(Calcul!$AB$2=3,HE!B75,IF(Calcul!$AB$2=4,HD!B75,IF(Calcul!$AB$2=5,CHS!B75,IF(Calcul!$AB$2=6,RHS!B75,IF(Calcul!$AB$2=7,Custom!B75,0)))))))</f>
        <v>-</v>
      </c>
    </row>
    <row r="78" spans="1:14" ht="13">
      <c r="A78" s="138"/>
      <c r="B78" s="25" t="s">
        <v>301</v>
      </c>
      <c r="F78" s="34" t="s">
        <v>305</v>
      </c>
      <c r="G78" s="34" t="s">
        <v>306</v>
      </c>
      <c r="N78" s="60" t="str">
        <f>IF(Calcul!$AB$2=1,IPE!B76,IF(Calcul!$AB$2=2,IPN!B76,IF(Calcul!$AB$2=3,HE!B76,IF(Calcul!$AB$2=4,HD!B76,IF(Calcul!$AB$2=5,CHS!B76,IF(Calcul!$AB$2=6,RHS!B76,IF(Calcul!$AB$2=7,Custom!B76,0)))))))</f>
        <v>-</v>
      </c>
    </row>
    <row r="79" spans="1:14">
      <c r="A79" s="138"/>
      <c r="B79" s="34" t="s">
        <v>271</v>
      </c>
      <c r="C79" s="34" t="s">
        <v>320</v>
      </c>
      <c r="D79" s="34" t="s">
        <v>321</v>
      </c>
      <c r="E79" s="34" t="s">
        <v>304</v>
      </c>
      <c r="F79" s="34" t="s">
        <v>327</v>
      </c>
      <c r="G79" s="34" t="s">
        <v>326</v>
      </c>
      <c r="H79" s="34" t="s">
        <v>275</v>
      </c>
      <c r="I79" s="34" t="s">
        <v>276</v>
      </c>
      <c r="N79" s="60" t="str">
        <f>IF(Calcul!$AB$2=1,IPE!B77,IF(Calcul!$AB$2=2,IPN!B77,IF(Calcul!$AB$2=3,HE!B77,IF(Calcul!$AB$2=4,HD!B77,IF(Calcul!$AB$2=5,CHS!B77,IF(Calcul!$AB$2=6,RHS!B77,IF(Calcul!$AB$2=7,Custom!B77,0)))))))</f>
        <v>-</v>
      </c>
    </row>
    <row r="80" spans="1:14">
      <c r="A80" s="138"/>
      <c r="B80" s="28">
        <v>1</v>
      </c>
      <c r="C80" s="16">
        <f>Calcul!$P$22/Calcul!$AC$16*1000</f>
        <v>0</v>
      </c>
      <c r="D80" s="104">
        <f>1000000*(MAX(ABS(Calcul!$D$31),ABS(Calcul!$D$32),ABS(Calcul!$P$25),ABS(Calcul!$D$33)))*(Calcul!$AC$12/2-1.5*Calcul!$AC$15)/Calcul!$AC$17</f>
        <v>15.871553219897997</v>
      </c>
      <c r="E80" s="104">
        <f>1000000*(MAX(ABS(Calcul!$D$35),ABS(Calcul!$D$36),ABS(Calcul!$P$26),ABS(Calcul!$D$37)))*(Calcul!$AC$13/2)/Calcul!$AC$22</f>
        <v>0</v>
      </c>
      <c r="F80" s="16">
        <f>C80-D80-E80</f>
        <v>-15.871553219897997</v>
      </c>
      <c r="G80" s="16">
        <f>C80+D80-E80</f>
        <v>15.871553219897997</v>
      </c>
      <c r="H80" s="44">
        <f>IF(OR(G80&lt;=0,F80&gt;0),1,(F80)/(F80-G80))</f>
        <v>0.5</v>
      </c>
      <c r="I80" s="16" t="s">
        <v>199</v>
      </c>
      <c r="N80" s="60" t="str">
        <f>IF(Calcul!$AB$2=1,IPE!B78,IF(Calcul!$AB$2=2,IPN!B78,IF(Calcul!$AB$2=3,HE!B78,IF(Calcul!$AB$2=4,HD!B78,IF(Calcul!$AB$2=5,CHS!B78,IF(Calcul!$AB$2=6,RHS!B78,IF(Calcul!$AB$2=7,Custom!B78,0)))))))</f>
        <v>-</v>
      </c>
    </row>
    <row r="81" spans="1:14">
      <c r="A81" s="138"/>
      <c r="B81" s="28">
        <v>2</v>
      </c>
      <c r="C81" s="16">
        <f>Calcul!$P$22/Calcul!$AC$16*1000</f>
        <v>0</v>
      </c>
      <c r="D81" s="104">
        <f>1000000*(MAX(ABS(Calcul!$D$31),ABS(Calcul!$D$32),ABS(Calcul!$P$25),ABS(Calcul!$D$33)))*(Calcul!$AC$12/2-1.5*Calcul!$AC$15)/Calcul!$AC$17</f>
        <v>15.871553219897997</v>
      </c>
      <c r="E81" s="104">
        <f>1000000*(MAX(ABS(Calcul!$D$35),ABS(Calcul!$D$36),ABS(Calcul!$P$26),ABS(Calcul!$D$37)))*(Calcul!$AC$13/2)/Calcul!$AC$22</f>
        <v>0</v>
      </c>
      <c r="F81" s="16">
        <f>C81-D81-E81</f>
        <v>-15.871553219897997</v>
      </c>
      <c r="G81" s="16">
        <f>C81+D81-E81</f>
        <v>15.871553219897997</v>
      </c>
      <c r="H81" s="44">
        <f>IF(OR(D80=0,G80&lt;=0,F80&gt;0),1,(F80)/(F80-G80))</f>
        <v>0.5</v>
      </c>
      <c r="I81" s="16" t="s">
        <v>199</v>
      </c>
      <c r="N81" s="60" t="str">
        <f>IF(Calcul!$AB$2=1,IPE!B79,IF(Calcul!$AB$2=2,IPN!B79,IF(Calcul!$AB$2=3,HE!B79,IF(Calcul!$AB$2=4,HD!B79,IF(Calcul!$AB$2=5,CHS!B79,IF(Calcul!$AB$2=6,RHS!B79,IF(Calcul!$AB$2=7,Custom!B79,0)))))))</f>
        <v>-</v>
      </c>
    </row>
    <row r="82" spans="1:14">
      <c r="A82" s="138"/>
      <c r="B82" s="28">
        <v>3</v>
      </c>
      <c r="C82" s="16">
        <f>Calcul!$P$22/Calcul!$AC$16*1000</f>
        <v>0</v>
      </c>
      <c r="D82" s="104">
        <f>1000000*(MAX(ABS(Calcul!$D$31),ABS(Calcul!$D$32),ABS(Calcul!$P$25),ABS(Calcul!$D$33)))*(Calcul!$AC$12/2-1.5*Calcul!$AC$15)/Calcul!$AC$17</f>
        <v>15.871553219897997</v>
      </c>
      <c r="E82" s="104">
        <f>1000000*(MAX(ABS(Calcul!$D$35),ABS(Calcul!$D$36),ABS(Calcul!$P$26),ABS(Calcul!$D$37)))*(Calcul!$AC$13/2)/Calcul!$AC$22</f>
        <v>0</v>
      </c>
      <c r="F82" s="16">
        <f>C82-D82-E82</f>
        <v>-15.871553219897997</v>
      </c>
      <c r="G82" s="16">
        <f>C82+D82-E82</f>
        <v>15.871553219897997</v>
      </c>
      <c r="H82" s="44" t="s">
        <v>199</v>
      </c>
      <c r="I82" s="16">
        <f>G82/F82</f>
        <v>-1</v>
      </c>
      <c r="N82" s="60" t="str">
        <f>IF(Calcul!$AB$2=1,IPE!B80,IF(Calcul!$AB$2=2,IPN!B80,IF(Calcul!$AB$2=3,HE!B80,IF(Calcul!$AB$2=4,HD!B80,IF(Calcul!$AB$2=5,CHS!B80,IF(Calcul!$AB$2=6,RHS!B80,IF(Calcul!$AB$2=7,Custom!B80,0)))))))</f>
        <v>-</v>
      </c>
    </row>
    <row r="83" spans="1:14">
      <c r="A83" s="138"/>
      <c r="B83" s="28"/>
      <c r="C83" s="104"/>
      <c r="G83" s="28"/>
      <c r="N83" s="60" t="str">
        <f>IF(Calcul!$AB$2=1,IPE!B81,IF(Calcul!$AB$2=2,IPN!B81,IF(Calcul!$AB$2=3,HE!B81,IF(Calcul!$AB$2=4,HD!B81,IF(Calcul!$AB$2=5,CHS!B81,IF(Calcul!$AB$2=6,RHS!B81,IF(Calcul!$AB$2=7,Custom!B81,0)))))))</f>
        <v>-</v>
      </c>
    </row>
    <row r="84" spans="1:14">
      <c r="A84" s="138"/>
      <c r="B84" s="124" t="s">
        <v>278</v>
      </c>
      <c r="C84" s="9" t="s">
        <v>272</v>
      </c>
      <c r="D84" s="119"/>
      <c r="E84" s="9" t="s">
        <v>290</v>
      </c>
      <c r="F84" s="122"/>
      <c r="G84" t="s">
        <v>291</v>
      </c>
      <c r="H84" s="119"/>
      <c r="N84" s="60" t="str">
        <f>IF(Calcul!$AB$2=1,IPE!B82,IF(Calcul!$AB$2=2,IPN!B82,IF(Calcul!$AB$2=3,HE!B82,IF(Calcul!$AB$2=4,HD!B82,IF(Calcul!$AB$2=5,CHS!B82,IF(Calcul!$AB$2=6,RHS!B82,IF(Calcul!$AB$2=7,Custom!B82,0)))))))</f>
        <v>-</v>
      </c>
    </row>
    <row r="85" spans="1:14" ht="13" thickBot="1">
      <c r="A85" s="138"/>
      <c r="B85" s="117" t="s">
        <v>271</v>
      </c>
      <c r="C85" s="116" t="s">
        <v>288</v>
      </c>
      <c r="D85" s="120" t="s">
        <v>289</v>
      </c>
      <c r="E85" s="116" t="s">
        <v>288</v>
      </c>
      <c r="F85" s="117" t="s">
        <v>289</v>
      </c>
      <c r="G85" s="116" t="s">
        <v>288</v>
      </c>
      <c r="H85" s="123" t="s">
        <v>289</v>
      </c>
      <c r="N85" s="60" t="str">
        <f>IF(Calcul!$AB$2=1,IPE!B83,IF(Calcul!$AB$2=2,IPN!B83,IF(Calcul!$AB$2=3,HE!B83,IF(Calcul!$AB$2=4,HD!B83,IF(Calcul!$AB$2=5,CHS!B83,IF(Calcul!$AB$2=6,RHS!B83,IF(Calcul!$AB$2=7,Custom!B83,0)))))))</f>
        <v>-</v>
      </c>
    </row>
    <row r="86" spans="1:14">
      <c r="A86" s="138"/>
      <c r="B86" s="118">
        <v>1</v>
      </c>
      <c r="C86" s="107">
        <f>72*D68</f>
        <v>72</v>
      </c>
      <c r="D86" s="121">
        <f>IF(D76&lt;=C86,1,"-")</f>
        <v>1</v>
      </c>
      <c r="E86" s="15">
        <f>33*D68</f>
        <v>33</v>
      </c>
      <c r="F86" s="121" t="str">
        <f>IF(G80&gt;=0,"-",IF(D76&lt;=E86,1,"-"))</f>
        <v>-</v>
      </c>
      <c r="G86" s="15">
        <f>IF(H80&gt;0.5,396*$D$6/(13*H80-1),36*$D$6/H80)</f>
        <v>72</v>
      </c>
      <c r="H86" s="121">
        <f>IF(F80&gt;=0,"-",IF(D76&lt;=G86,1,"-"))</f>
        <v>1</v>
      </c>
      <c r="N86" s="60" t="str">
        <f>IF(Calcul!$AB$2=1,IPE!B84,IF(Calcul!$AB$2=2,IPN!B84,IF(Calcul!$AB$2=3,HE!B84,IF(Calcul!$AB$2=4,HD!B84,IF(Calcul!$AB$2=5,CHS!B84,IF(Calcul!$AB$2=6,RHS!B84,IF(Calcul!$AB$2=7,Custom!B84,0)))))))</f>
        <v>-</v>
      </c>
    </row>
    <row r="87" spans="1:14">
      <c r="A87" s="138"/>
      <c r="B87" s="118">
        <v>2</v>
      </c>
      <c r="C87" s="107">
        <f>83*D68</f>
        <v>83</v>
      </c>
      <c r="D87" s="121" t="str">
        <f>IF(AND(C86&lt;D76,D76&lt;=C87),2,"-")</f>
        <v>-</v>
      </c>
      <c r="E87" s="15">
        <f>38*D68</f>
        <v>38</v>
      </c>
      <c r="F87" s="121" t="str">
        <f>IF(G81&gt;=0,"-",IF(AND(E86&lt;D76,D76&lt;=E87),2,"-"))</f>
        <v>-</v>
      </c>
      <c r="G87" s="15">
        <f>IF(H81&gt;0.5,456*$D$6/(13*H81-1),41.5*$D$6/H81)</f>
        <v>83</v>
      </c>
      <c r="H87" s="121" t="str">
        <f>IF(F81&gt;=0,"-",IF(AND(G86&lt;D76,D76&lt;=G87),2,"-"))</f>
        <v>-</v>
      </c>
      <c r="N87" s="60" t="str">
        <f>IF(Calcul!$AB$2=1,IPE!B85,IF(Calcul!$AB$2=2,IPN!B85,IF(Calcul!$AB$2=3,HE!B85,IF(Calcul!$AB$2=4,HD!B85,IF(Calcul!$AB$2=5,CHS!B85,IF(Calcul!$AB$2=6,RHS!B85,IF(Calcul!$AB$2=7,Custom!B85,0)))))))</f>
        <v>-</v>
      </c>
    </row>
    <row r="88" spans="1:14">
      <c r="A88" s="138"/>
      <c r="B88" s="118">
        <v>3</v>
      </c>
      <c r="C88" s="107">
        <f>124*D68</f>
        <v>124</v>
      </c>
      <c r="D88" s="121" t="str">
        <f>IF(AND(C87&lt;D76,D76&lt;=C88),3,"-")</f>
        <v>-</v>
      </c>
      <c r="E88" s="15">
        <f>42*D68</f>
        <v>42</v>
      </c>
      <c r="F88" s="121" t="str">
        <f>IF(G82&gt;=0,"-",IF(AND(E87&lt;D76,D76&lt;=E88),3,"-"))</f>
        <v>-</v>
      </c>
      <c r="G88" s="15">
        <f>IF($I$82&gt;-1,42*D68/(0.67+0.33*$I$82),62*D68*(1-$I$82)*SQRT(-$I$82))</f>
        <v>124</v>
      </c>
      <c r="H88" s="121" t="str">
        <f>IF(F82&gt;=0,"-",IF(AND(G87&lt;D76,D76&lt;=G88),3,"-"))</f>
        <v>-</v>
      </c>
      <c r="N88" s="60" t="str">
        <f>IF(Calcul!$AB$2=1,IPE!B86,IF(Calcul!$AB$2=2,IPN!B86,IF(Calcul!$AB$2=3,HE!B86,IF(Calcul!$AB$2=4,HD!B86,IF(Calcul!$AB$2=5,CHS!B86,IF(Calcul!$AB$2=6,RHS!B86,IF(Calcul!$AB$2=7,Custom!B86,0)))))))</f>
        <v>-</v>
      </c>
    </row>
    <row r="89" spans="1:14">
      <c r="A89" s="138"/>
      <c r="B89" s="118">
        <v>4</v>
      </c>
      <c r="C89" s="108">
        <f>C88</f>
        <v>124</v>
      </c>
      <c r="D89" s="121" t="str">
        <f>IF(SUM(D86:D88)=0,4,"-")</f>
        <v>-</v>
      </c>
      <c r="E89" s="108">
        <f>E88</f>
        <v>42</v>
      </c>
      <c r="F89" s="121" t="str">
        <f>IF(G82&gt;=0,"-",IF(D76&gt;E89,4,"-"))</f>
        <v>-</v>
      </c>
      <c r="G89" s="108">
        <f>G88</f>
        <v>124</v>
      </c>
      <c r="H89" s="121" t="str">
        <f>IF(OR(D82=0,F82&gt;=0),"-",IF(D76&gt;G89,4,"-"))</f>
        <v>-</v>
      </c>
      <c r="N89" s="60" t="str">
        <f>IF(Calcul!$AB$2=1,IPE!B87,IF(Calcul!$AB$2=2,IPN!B87,IF(Calcul!$AB$2=3,HE!B87,IF(Calcul!$AB$2=4,HD!B87,IF(Calcul!$AB$2=5,CHS!B87,IF(Calcul!$AB$2=6,RHS!B87,IF(Calcul!$AB$2=7,Custom!B87,0)))))))</f>
        <v>-</v>
      </c>
    </row>
    <row r="90" spans="1:14">
      <c r="A90" s="138"/>
      <c r="B90" s="118" t="s">
        <v>296</v>
      </c>
      <c r="C90" s="15">
        <f>C88*C94</f>
        <v>477.14008264274474</v>
      </c>
      <c r="D90" s="121" t="str">
        <f>IF(D89=4,IF(D76&lt;=C90,3,4),"-")</f>
        <v>-</v>
      </c>
      <c r="E90" s="15">
        <f>E88*C94</f>
        <v>161.61196347576839</v>
      </c>
      <c r="F90" s="121" t="str">
        <f>IF(F89=4,IF(D76&lt;=E90,3,4),"-")</f>
        <v>-</v>
      </c>
      <c r="G90" s="15">
        <f>G88*C94</f>
        <v>477.14008264274474</v>
      </c>
      <c r="H90" s="121" t="str">
        <f>IF(H89=4,IF(D76&lt;=G90,3,4),"-")</f>
        <v>-</v>
      </c>
      <c r="N90" s="60" t="str">
        <f>IF(Calcul!$AB$2=1,IPE!B88,IF(Calcul!$AB$2=2,IPN!B88,IF(Calcul!$AB$2=3,HE!B88,IF(Calcul!$AB$2=4,HD!B88,IF(Calcul!$AB$2=5,CHS!B88,IF(Calcul!$AB$2=6,RHS!B88,IF(Calcul!$AB$2=7,Custom!B88,0)))))))</f>
        <v>-</v>
      </c>
    </row>
    <row r="91" spans="1:14" ht="13">
      <c r="A91" s="138"/>
      <c r="G91" s="6"/>
      <c r="H91" s="6"/>
      <c r="N91" s="60" t="str">
        <f>IF(Calcul!$AB$2=1,IPE!B89,IF(Calcul!$AB$2=2,IPN!B89,IF(Calcul!$AB$2=3,HE!B89,IF(Calcul!$AB$2=4,HD!B89,IF(Calcul!$AB$2=5,CHS!B89,IF(Calcul!$AB$2=6,RHS!B89,IF(Calcul!$AB$2=7,Custom!B89,0)))))))</f>
        <v>-</v>
      </c>
    </row>
    <row r="92" spans="1:14">
      <c r="A92" s="138"/>
      <c r="B92" s="34" t="s">
        <v>299</v>
      </c>
      <c r="C92" s="16">
        <f>F82</f>
        <v>-15.871553219897997</v>
      </c>
      <c r="D92" t="s">
        <v>318</v>
      </c>
      <c r="N92" s="60" t="str">
        <f>IF(Calcul!$AB$2=1,IPE!B90,IF(Calcul!$AB$2=2,IPN!B90,IF(Calcul!$AB$2=3,HE!B90,IF(Calcul!$AB$2=4,HD!B90,IF(Calcul!$AB$2=5,CHS!B90,IF(Calcul!$AB$2=6,RHS!B90,IF(Calcul!$AB$2=7,Custom!B90,0)))))))</f>
        <v>-</v>
      </c>
    </row>
    <row r="93" spans="1:14">
      <c r="A93" s="138"/>
      <c r="B93" s="16"/>
      <c r="N93" s="60" t="str">
        <f>IF(Calcul!$AB$2=1,IPE!B91,IF(Calcul!$AB$2=2,IPN!B91,IF(Calcul!$AB$2=3,HE!B91,IF(Calcul!$AB$2=4,HD!B91,IF(Calcul!$AB$2=5,CHS!B91,IF(Calcul!$AB$2=6,RHS!B91,IF(Calcul!$AB$2=7,Custom!B91,0)))))))</f>
        <v>-</v>
      </c>
    </row>
    <row r="94" spans="1:14" ht="13">
      <c r="A94" s="138"/>
      <c r="C94" s="16">
        <f>SQRT(fy/Calcul!$W$13/ABS(C92))</f>
        <v>3.8479038922801996</v>
      </c>
      <c r="D94" s="25" t="s">
        <v>292</v>
      </c>
      <c r="N94" s="60" t="str">
        <f>IF(Calcul!$AB$2=1,IPE!B92,IF(Calcul!$AB$2=2,IPN!B92,IF(Calcul!$AB$2=3,HE!B92,IF(Calcul!$AB$2=4,HD!B92,IF(Calcul!$AB$2=5,CHS!B92,IF(Calcul!$AB$2=6,RHS!B92,IF(Calcul!$AB$2=7,Custom!B92,0)))))))</f>
        <v>-</v>
      </c>
    </row>
    <row r="95" spans="1:14">
      <c r="A95" s="138"/>
      <c r="N95" s="60" t="str">
        <f>IF(Calcul!$AB$2=1,IPE!B93,IF(Calcul!$AB$2=2,IPN!B93,IF(Calcul!$AB$2=3,HE!B93,IF(Calcul!$AB$2=4,HD!B93,IF(Calcul!$AB$2=5,CHS!B93,IF(Calcul!$AB$2=6,RHS!B93,IF(Calcul!$AB$2=7,Custom!B93,0)))))))</f>
        <v>-</v>
      </c>
    </row>
    <row r="96" spans="1:14">
      <c r="A96" s="138"/>
      <c r="N96" s="60" t="str">
        <f>IF(Calcul!$AB$2=1,IPE!B94,IF(Calcul!$AB$2=2,IPN!B94,IF(Calcul!$AB$2=3,HE!B94,IF(Calcul!$AB$2=4,HD!B94,IF(Calcul!$AB$2=5,CHS!B94,IF(Calcul!$AB$2=6,RHS!B94,IF(Calcul!$AB$2=7,Custom!B94,0)))))))</f>
        <v>-</v>
      </c>
    </row>
    <row r="97" spans="1:14" ht="13">
      <c r="A97" s="138"/>
      <c r="C97" s="16">
        <f>$D$6*C94</f>
        <v>3.8479038922801996</v>
      </c>
      <c r="D97" s="6"/>
      <c r="N97" s="60" t="str">
        <f>IF(Calcul!$AB$2=1,IPE!B95,IF(Calcul!$AB$2=2,IPN!B95,IF(Calcul!$AB$2=3,HE!B95,IF(Calcul!$AB$2=4,HD!B95,IF(Calcul!$AB$2=5,CHS!B95,IF(Calcul!$AB$2=6,RHS!B95,IF(Calcul!$AB$2=7,Custom!B95,0)))))))</f>
        <v>-</v>
      </c>
    </row>
    <row r="98" spans="1:14">
      <c r="A98" s="138"/>
      <c r="N98" s="60" t="str">
        <f>IF(Calcul!$AB$2=1,IPE!B96,IF(Calcul!$AB$2=2,IPN!B96,IF(Calcul!$AB$2=3,HE!B96,IF(Calcul!$AB$2=4,HD!B96,IF(Calcul!$AB$2=5,CHS!B96,IF(Calcul!$AB$2=6,RHS!B96,IF(Calcul!$AB$2=7,Custom!B96,0)))))))</f>
        <v>-</v>
      </c>
    </row>
    <row r="99" spans="1:14">
      <c r="A99" s="138"/>
      <c r="N99" s="60" t="str">
        <f>IF(Calcul!$AB$2=1,IPE!B97,IF(Calcul!$AB$2=2,IPN!B97,IF(Calcul!$AB$2=3,HE!B97,IF(Calcul!$AB$2=4,HD!B97,IF(Calcul!$AB$2=5,CHS!B97,IF(Calcul!$AB$2=6,RHS!B97,IF(Calcul!$AB$2=7,Custom!B97,0)))))))</f>
        <v>-</v>
      </c>
    </row>
    <row r="100" spans="1:14" ht="14">
      <c r="A100" s="138"/>
      <c r="B100" s="115" t="s">
        <v>315</v>
      </c>
      <c r="N100" s="60" t="str">
        <f>IF(Calcul!$AB$2=1,IPE!B98,IF(Calcul!$AB$2=2,IPN!B98,IF(Calcul!$AB$2=3,HE!B98,IF(Calcul!$AB$2=4,HD!B98,IF(Calcul!$AB$2=5,CHS!B98,IF(Calcul!$AB$2=6,RHS!B98,IF(Calcul!$AB$2=7,Custom!B98,0)))))))</f>
        <v>-</v>
      </c>
    </row>
    <row r="101" spans="1:14">
      <c r="A101" s="138"/>
      <c r="B101" s="17" t="s">
        <v>331</v>
      </c>
      <c r="D101" s="9">
        <f>b-3*tw</f>
        <v>34.6</v>
      </c>
      <c r="E101" t="s">
        <v>0</v>
      </c>
      <c r="N101" s="60" t="str">
        <f>IF(Calcul!$AB$2=1,IPE!B99,IF(Calcul!$AB$2=2,IPN!B99,IF(Calcul!$AB$2=3,HE!B99,IF(Calcul!$AB$2=4,HD!B99,IF(Calcul!$AB$2=5,CHS!B99,IF(Calcul!$AB$2=6,RHS!B99,IF(Calcul!$AB$2=7,Custom!B99,0)))))))</f>
        <v>-</v>
      </c>
    </row>
    <row r="102" spans="1:14" ht="14">
      <c r="A102" s="138"/>
      <c r="C102" s="109" t="s">
        <v>307</v>
      </c>
      <c r="D102" s="110">
        <f>D101/tf</f>
        <v>6.6538461538461542</v>
      </c>
      <c r="I102" s="111"/>
      <c r="N102" s="60" t="str">
        <f>IF(Calcul!$AB$2=1,IPE!B100,IF(Calcul!$AB$2=2,IPN!B100,IF(Calcul!$AB$2=3,HE!B100,IF(Calcul!$AB$2=4,HD!B100,IF(Calcul!$AB$2=5,CHS!B100,IF(Calcul!$AB$2=6,RHS!B100,IF(Calcul!$AB$2=7,Custom!B100,0)))))))</f>
        <v>-</v>
      </c>
    </row>
    <row r="103" spans="1:14">
      <c r="A103" s="138"/>
      <c r="N103" s="60" t="str">
        <f>IF(Calcul!$AB$2=1,IPE!B101,IF(Calcul!$AB$2=2,IPN!B101,IF(Calcul!$AB$2=3,HE!B101,IF(Calcul!$AB$2=4,HD!B101,IF(Calcul!$AB$2=5,CHS!B101,IF(Calcul!$AB$2=6,RHS!B101,IF(Calcul!$AB$2=7,Custom!B101,0)))))))</f>
        <v>-</v>
      </c>
    </row>
    <row r="104" spans="1:14" ht="13">
      <c r="A104" s="138"/>
      <c r="B104" s="25" t="s">
        <v>301</v>
      </c>
      <c r="F104" s="34" t="s">
        <v>305</v>
      </c>
      <c r="G104" s="34" t="s">
        <v>308</v>
      </c>
      <c r="N104" s="60" t="str">
        <f>IF(Calcul!$AB$2=1,IPE!B102,IF(Calcul!$AB$2=2,IPN!B102,IF(Calcul!$AB$2=3,HE!B102,IF(Calcul!$AB$2=4,HD!B102,IF(Calcul!$AB$2=5,CHS!B102,IF(Calcul!$AB$2=6,RHS!B102,IF(Calcul!$AB$2=7,Custom!B102,0)))))))</f>
        <v>-</v>
      </c>
    </row>
    <row r="105" spans="1:14">
      <c r="A105" s="138"/>
      <c r="B105" s="34" t="s">
        <v>271</v>
      </c>
      <c r="C105" s="34" t="s">
        <v>320</v>
      </c>
      <c r="D105" s="34" t="s">
        <v>321</v>
      </c>
      <c r="E105" s="34" t="s">
        <v>304</v>
      </c>
      <c r="F105" s="34" t="s">
        <v>327</v>
      </c>
      <c r="G105" s="34" t="s">
        <v>326</v>
      </c>
      <c r="H105" s="34" t="s">
        <v>275</v>
      </c>
      <c r="I105" s="34" t="s">
        <v>276</v>
      </c>
      <c r="N105" s="60" t="str">
        <f>IF(Calcul!$AB$2=1,IPE!B103,IF(Calcul!$AB$2=2,IPN!B103,IF(Calcul!$AB$2=3,HE!B103,IF(Calcul!$AB$2=4,HD!B103,IF(Calcul!$AB$2=5,CHS!B103,IF(Calcul!$AB$2=6,RHS!B103,IF(Calcul!$AB$2=7,Custom!B103,0)))))))</f>
        <v>-</v>
      </c>
    </row>
    <row r="106" spans="1:14">
      <c r="A106" s="138"/>
      <c r="B106" s="28">
        <v>1</v>
      </c>
      <c r="C106" s="16">
        <f>Calcul!$P$22/A*1000</f>
        <v>0</v>
      </c>
      <c r="D106" s="104">
        <f>1000000*(MAX(ABS(Calcul!$D$31),ABS(Calcul!$D$32),ABS(Calcul!$P$25),ABS(Calcul!$D$33)))*(h/2)/Iy</f>
        <v>19.716215179997512</v>
      </c>
      <c r="E106" s="104">
        <f>1000000*(MAX(ABS(Calcul!$D$35),ABS(Calcul!$D$36),ABS(Calcul!$P$26),ABS(Calcul!$D$37)))*(b/2-1.5*tw)/Iz</f>
        <v>0</v>
      </c>
      <c r="F106" s="16">
        <f>C106-D106-E106</f>
        <v>-19.716215179997512</v>
      </c>
      <c r="G106" s="16">
        <f>C106-D106+E106</f>
        <v>-19.716215179997512</v>
      </c>
      <c r="H106" s="44">
        <f>IF(OR(G106&lt;=0,F106&gt;0),1,(F106)/(F106-G106))</f>
        <v>1</v>
      </c>
      <c r="I106" s="16" t="s">
        <v>199</v>
      </c>
      <c r="N106" s="60" t="str">
        <f>IF(Calcul!$AB$2=1,IPE!B104,IF(Calcul!$AB$2=2,IPN!B104,IF(Calcul!$AB$2=3,HE!B104,IF(Calcul!$AB$2=4,HD!B104,IF(Calcul!$AB$2=5,CHS!B104,IF(Calcul!$AB$2=6,RHS!B104,IF(Calcul!$AB$2=7,Custom!B104,0)))))))</f>
        <v>-</v>
      </c>
    </row>
    <row r="107" spans="1:14">
      <c r="A107" s="138"/>
      <c r="B107" s="28">
        <v>2</v>
      </c>
      <c r="C107" s="16">
        <f>Calcul!$P$22/A*1000</f>
        <v>0</v>
      </c>
      <c r="D107" s="104">
        <f>1000000*(MAX(ABS(Calcul!$D$31),ABS(Calcul!$D$32),ABS(Calcul!$P$25),ABS(Calcul!$D$33)))*(h/2)/Iy</f>
        <v>19.716215179997512</v>
      </c>
      <c r="E107" s="104">
        <f>1000000*(MAX(ABS(Calcul!$D$35),ABS(Calcul!$D$36),ABS(Calcul!$P$26),ABS(Calcul!$D$37)))*(b/2-1.5*tw)/Iz</f>
        <v>0</v>
      </c>
      <c r="F107" s="16">
        <f>C107-D107-E107</f>
        <v>-19.716215179997512</v>
      </c>
      <c r="G107" s="16">
        <f>C107-D107+E107</f>
        <v>-19.716215179997512</v>
      </c>
      <c r="H107" s="44">
        <f>IF(OR(D106=0,G106&lt;=0,F106&gt;0),1,(F106)/(F106-G106))</f>
        <v>1</v>
      </c>
      <c r="I107" s="16" t="s">
        <v>199</v>
      </c>
      <c r="N107" s="60" t="str">
        <f>IF(Calcul!$AB$2=1,IPE!B105,IF(Calcul!$AB$2=2,IPN!B105,IF(Calcul!$AB$2=3,HE!B105,IF(Calcul!$AB$2=4,HD!B105,IF(Calcul!$AB$2=5,CHS!B105,IF(Calcul!$AB$2=6,RHS!B105,IF(Calcul!$AB$2=7,Custom!B105,0)))))))</f>
        <v>-</v>
      </c>
    </row>
    <row r="108" spans="1:14">
      <c r="A108" s="138"/>
      <c r="B108" s="28">
        <v>3</v>
      </c>
      <c r="C108" s="16">
        <f>Calcul!$P$22/A*1000</f>
        <v>0</v>
      </c>
      <c r="D108" s="104">
        <f>1000000*(MAX(ABS(Calcul!$D$31),ABS(Calcul!$D$32),ABS(Calcul!$P$25),ABS(Calcul!$D$33)))*(h/2)/Iy</f>
        <v>19.716215179997512</v>
      </c>
      <c r="E108" s="104">
        <f>1000000*(MAX(ABS(Calcul!$D$35),ABS(Calcul!$D$36),ABS(Calcul!$P$26),ABS(Calcul!$D$37)))*(b/2-1.5*tw)/Iz</f>
        <v>0</v>
      </c>
      <c r="F108" s="16">
        <f>C108-D108-E108</f>
        <v>-19.716215179997512</v>
      </c>
      <c r="G108" s="16">
        <f>C108-D108+E108</f>
        <v>-19.716215179997512</v>
      </c>
      <c r="H108" s="44" t="s">
        <v>199</v>
      </c>
      <c r="I108" s="16">
        <f>G108/F108</f>
        <v>1</v>
      </c>
      <c r="N108" s="60" t="str">
        <f>IF(Calcul!$AB$2=1,IPE!B106,IF(Calcul!$AB$2=2,IPN!B106,IF(Calcul!$AB$2=3,HE!B106,IF(Calcul!$AB$2=4,HD!B106,IF(Calcul!$AB$2=5,CHS!B106,IF(Calcul!$AB$2=6,RHS!B106,IF(Calcul!$AB$2=7,Custom!B106,0)))))))</f>
        <v>-</v>
      </c>
    </row>
    <row r="109" spans="1:14">
      <c r="A109" s="138"/>
      <c r="B109" s="28"/>
      <c r="C109" s="104"/>
      <c r="G109" s="28"/>
      <c r="N109" s="60" t="str">
        <f>IF(Calcul!$AB$2=1,IPE!B107,IF(Calcul!$AB$2=2,IPN!B107,IF(Calcul!$AB$2=3,HE!B107,IF(Calcul!$AB$2=4,HD!B107,IF(Calcul!$AB$2=5,CHS!B107,IF(Calcul!$AB$2=6,RHS!B107,IF(Calcul!$AB$2=7,Custom!B107,0)))))))</f>
        <v>-</v>
      </c>
    </row>
    <row r="110" spans="1:14">
      <c r="A110" s="138"/>
      <c r="B110" s="124" t="s">
        <v>278</v>
      </c>
      <c r="C110" s="9" t="s">
        <v>272</v>
      </c>
      <c r="D110" s="119"/>
      <c r="E110" s="9" t="s">
        <v>290</v>
      </c>
      <c r="F110" s="122"/>
      <c r="G110" t="s">
        <v>291</v>
      </c>
      <c r="H110" s="119"/>
      <c r="N110" s="60" t="str">
        <f>IF(Calcul!$AB$2=1,IPE!B108,IF(Calcul!$AB$2=2,IPN!B108,IF(Calcul!$AB$2=3,HE!B108,IF(Calcul!$AB$2=4,HD!B108,IF(Calcul!$AB$2=5,CHS!B108,IF(Calcul!$AB$2=6,RHS!B108,IF(Calcul!$AB$2=7,Custom!B108,0)))))))</f>
        <v>-</v>
      </c>
    </row>
    <row r="111" spans="1:14" ht="13" thickBot="1">
      <c r="A111" s="138"/>
      <c r="B111" s="117" t="s">
        <v>271</v>
      </c>
      <c r="C111" s="116" t="s">
        <v>288</v>
      </c>
      <c r="D111" s="120" t="s">
        <v>289</v>
      </c>
      <c r="E111" s="116" t="s">
        <v>288</v>
      </c>
      <c r="F111" s="117" t="s">
        <v>289</v>
      </c>
      <c r="G111" s="116" t="s">
        <v>288</v>
      </c>
      <c r="H111" s="123" t="s">
        <v>289</v>
      </c>
      <c r="N111" s="60" t="str">
        <f>IF(Calcul!$AB$2=1,IPE!B109,IF(Calcul!$AB$2=2,IPN!B109,IF(Calcul!$AB$2=3,HE!B109,IF(Calcul!$AB$2=4,HD!B109,IF(Calcul!$AB$2=5,CHS!B109,IF(Calcul!$AB$2=6,RHS!B109,IF(Calcul!$AB$2=7,Custom!B109,0)))))))</f>
        <v>-</v>
      </c>
    </row>
    <row r="112" spans="1:14">
      <c r="A112" s="138"/>
      <c r="B112" s="118">
        <v>1</v>
      </c>
      <c r="C112" s="107">
        <f>72*D68</f>
        <v>72</v>
      </c>
      <c r="D112" s="121">
        <f>IF(D102&lt;=C112,1,"-")</f>
        <v>1</v>
      </c>
      <c r="E112" s="15">
        <f>33*D68</f>
        <v>33</v>
      </c>
      <c r="F112" s="121">
        <f>IF(G106&gt;=0,"-",IF(D102&lt;=E112,1,"-"))</f>
        <v>1</v>
      </c>
      <c r="G112" s="15">
        <f>IF(H106&gt;0.5,396*$D$6/(13*H106-1),36*$D$6/H106)</f>
        <v>33</v>
      </c>
      <c r="H112" s="121">
        <f>IF(F106&gt;=0,"-",IF(D102&lt;=G112,1,"-"))</f>
        <v>1</v>
      </c>
      <c r="N112" s="60" t="str">
        <f>IF(Calcul!$AB$2=1,IPE!B110,IF(Calcul!$AB$2=2,IPN!B110,IF(Calcul!$AB$2=3,HE!B110,IF(Calcul!$AB$2=4,HD!B110,IF(Calcul!$AB$2=5,CHS!B110,IF(Calcul!$AB$2=6,RHS!B110,IF(Calcul!$AB$2=7,Custom!B110,0)))))))</f>
        <v>-</v>
      </c>
    </row>
    <row r="113" spans="1:14">
      <c r="A113" s="138"/>
      <c r="B113" s="118">
        <v>2</v>
      </c>
      <c r="C113" s="107">
        <f>83*D68</f>
        <v>83</v>
      </c>
      <c r="D113" s="121" t="str">
        <f>IF(AND(C112&lt;D102,D102&lt;=C113),2,"-")</f>
        <v>-</v>
      </c>
      <c r="E113" s="15">
        <f>38*D68</f>
        <v>38</v>
      </c>
      <c r="F113" s="121" t="str">
        <f>IF(G107&gt;=0,"-",IF(AND(E112&lt;D102,D102&lt;=E113),2,"-"))</f>
        <v>-</v>
      </c>
      <c r="G113" s="15">
        <f>IF(H107&gt;0.5,456*$D$6/(13*H107-1),41.5*$D$6/H107)</f>
        <v>38</v>
      </c>
      <c r="H113" s="121" t="str">
        <f>IF(F107&gt;=0,"-",IF(AND(G112&lt;D102,D102&lt;=G113),2,"-"))</f>
        <v>-</v>
      </c>
      <c r="N113" s="60" t="str">
        <f>IF(Calcul!$AB$2=1,IPE!B111,IF(Calcul!$AB$2=2,IPN!B111,IF(Calcul!$AB$2=3,HE!B111,IF(Calcul!$AB$2=4,HD!B111,IF(Calcul!$AB$2=5,CHS!B111,IF(Calcul!$AB$2=6,RHS!B111,IF(Calcul!$AB$2=7,Custom!B111,0)))))))</f>
        <v>-</v>
      </c>
    </row>
    <row r="114" spans="1:14">
      <c r="A114" s="138"/>
      <c r="B114" s="118">
        <v>3</v>
      </c>
      <c r="C114" s="107">
        <f>124*D68</f>
        <v>124</v>
      </c>
      <c r="D114" s="121" t="str">
        <f>IF(AND(C113&lt;D102,D102&lt;=C114),3,"-")</f>
        <v>-</v>
      </c>
      <c r="E114" s="15">
        <f>42*D68</f>
        <v>42</v>
      </c>
      <c r="F114" s="121" t="str">
        <f>IF(G108&gt;=0,"-",IF(AND(E113&lt;D102,D102&lt;=E114),3,"-"))</f>
        <v>-</v>
      </c>
      <c r="G114" s="15">
        <f>IF($I$108&gt;-1,42*D68/(0.67+0.33*$I$108),62*D68*(1-$I$108)*SQRT(-$I$108))</f>
        <v>42</v>
      </c>
      <c r="H114" s="121" t="str">
        <f>IF(F108&gt;=0,"-",IF(AND(G113&lt;D102,D102&lt;=G114),3,"-"))</f>
        <v>-</v>
      </c>
      <c r="N114" s="60" t="str">
        <f>IF(Calcul!$AB$2=1,IPE!B112,IF(Calcul!$AB$2=2,IPN!B112,IF(Calcul!$AB$2=3,HE!B112,IF(Calcul!$AB$2=4,HD!B112,IF(Calcul!$AB$2=5,CHS!B112,IF(Calcul!$AB$2=6,RHS!B112,IF(Calcul!$AB$2=7,Custom!B112,0)))))))</f>
        <v>-</v>
      </c>
    </row>
    <row r="115" spans="1:14">
      <c r="A115" s="138"/>
      <c r="B115" s="118">
        <v>4</v>
      </c>
      <c r="C115" s="108">
        <f>C114</f>
        <v>124</v>
      </c>
      <c r="D115" s="121" t="str">
        <f>IF(SUM(D112:D114)=0,4,"-")</f>
        <v>-</v>
      </c>
      <c r="E115" s="108">
        <f>E114</f>
        <v>42</v>
      </c>
      <c r="F115" s="121" t="str">
        <f>IF(G108&gt;=0,"-",IF(D102&gt;E115,4,"-"))</f>
        <v>-</v>
      </c>
      <c r="G115" s="108">
        <f>G114</f>
        <v>42</v>
      </c>
      <c r="H115" s="121" t="str">
        <f>IF(OR(D108=0,F108&gt;=0,SUM(H112:H114)&gt;0),"-",IF(D102&gt;G115,4,"-"))</f>
        <v>-</v>
      </c>
      <c r="N115" s="60" t="str">
        <f>IF(Calcul!$AB$2=1,IPE!B113,IF(Calcul!$AB$2=2,IPN!B113,IF(Calcul!$AB$2=3,HE!B113,IF(Calcul!$AB$2=4,HD!B113,IF(Calcul!$AB$2=5,CHS!B113,IF(Calcul!$AB$2=6,RHS!B113,IF(Calcul!$AB$2=7,Custom!B113,0)))))))</f>
        <v>-</v>
      </c>
    </row>
    <row r="116" spans="1:14">
      <c r="A116" s="138"/>
      <c r="B116" s="118" t="s">
        <v>296</v>
      </c>
      <c r="C116" s="15">
        <f>C114*C120</f>
        <v>428.09863356915992</v>
      </c>
      <c r="D116" s="121" t="str">
        <f>IF(D115=4,IF(D102&lt;=C116,3,4),"-")</f>
        <v>-</v>
      </c>
      <c r="E116" s="15">
        <f>E114*C120</f>
        <v>145.00115007987674</v>
      </c>
      <c r="F116" s="121" t="str">
        <f>IF(F115=4,IF(D102&lt;=E116,3,4),"-")</f>
        <v>-</v>
      </c>
      <c r="G116" s="15">
        <f>G114*C120</f>
        <v>145.00115007987674</v>
      </c>
      <c r="H116" s="121" t="str">
        <f>IF(H115=4,IF(D102&lt;=G116,3,4),"-")</f>
        <v>-</v>
      </c>
      <c r="N116" s="60" t="str">
        <f>IF(Calcul!$AB$2=1,IPE!B114,IF(Calcul!$AB$2=2,IPN!B114,IF(Calcul!$AB$2=3,HE!B114,IF(Calcul!$AB$2=4,HD!B114,IF(Calcul!$AB$2=5,CHS!B114,IF(Calcul!$AB$2=6,RHS!B114,IF(Calcul!$AB$2=7,Custom!B114,0)))))))</f>
        <v>-</v>
      </c>
    </row>
    <row r="117" spans="1:14" ht="13">
      <c r="A117" s="138"/>
      <c r="G117" s="6"/>
      <c r="H117" s="6"/>
      <c r="N117" s="60" t="str">
        <f>IF(Calcul!$AB$2=1,IPE!B115,IF(Calcul!$AB$2=2,IPN!B115,IF(Calcul!$AB$2=3,HE!B115,IF(Calcul!$AB$2=4,HD!B115,IF(Calcul!$AB$2=5,CHS!B115,IF(Calcul!$AB$2=6,RHS!B115,IF(Calcul!$AB$2=7,Custom!B115,0)))))))</f>
        <v>-</v>
      </c>
    </row>
    <row r="118" spans="1:14">
      <c r="A118" s="138"/>
      <c r="B118" s="34" t="s">
        <v>299</v>
      </c>
      <c r="C118" s="16">
        <f>F108</f>
        <v>-19.716215179997512</v>
      </c>
      <c r="D118" t="s">
        <v>318</v>
      </c>
      <c r="N118" s="60" t="str">
        <f>IF(Calcul!$AB$2=1,IPE!B116,IF(Calcul!$AB$2=2,IPN!B116,IF(Calcul!$AB$2=3,HE!B116,IF(Calcul!$AB$2=4,HD!B116,IF(Calcul!$AB$2=5,CHS!B116,IF(Calcul!$AB$2=6,RHS!B116,IF(Calcul!$AB$2=7,Custom!B116,0)))))))</f>
        <v>-</v>
      </c>
    </row>
    <row r="119" spans="1:14">
      <c r="A119" s="138"/>
      <c r="B119" s="16"/>
      <c r="N119" s="60" t="str">
        <f>IF(Calcul!$AB$2=1,IPE!B117,IF(Calcul!$AB$2=2,IPN!B117,IF(Calcul!$AB$2=3,HE!B117,IF(Calcul!$AB$2=4,HD!B117,IF(Calcul!$AB$2=5,CHS!B117,IF(Calcul!$AB$2=6,RHS!B117,IF(Calcul!$AB$2=7,Custom!B117,0)))))))</f>
        <v>-</v>
      </c>
    </row>
    <row r="120" spans="1:14" ht="13">
      <c r="A120" s="138"/>
      <c r="C120" s="16">
        <f>SQRT(fy/Calcul!$W$13/ABS(C118))</f>
        <v>3.4524083352351607</v>
      </c>
      <c r="D120" s="25" t="s">
        <v>292</v>
      </c>
      <c r="N120" s="60" t="str">
        <f>IF(Calcul!$AB$2=1,IPE!B118,IF(Calcul!$AB$2=2,IPN!B118,IF(Calcul!$AB$2=3,HE!B118,IF(Calcul!$AB$2=4,HD!B118,IF(Calcul!$AB$2=5,CHS!B118,IF(Calcul!$AB$2=6,RHS!B118,IF(Calcul!$AB$2=7,Custom!B118,0)))))))</f>
        <v>-</v>
      </c>
    </row>
    <row r="121" spans="1:14">
      <c r="A121" s="138"/>
      <c r="N121" s="60" t="str">
        <f>IF(Calcul!$AB$2=1,IPE!B119,IF(Calcul!$AB$2=2,IPN!B119,IF(Calcul!$AB$2=3,HE!B119,IF(Calcul!$AB$2=4,HD!B119,IF(Calcul!$AB$2=5,CHS!B119,IF(Calcul!$AB$2=6,RHS!B119,IF(Calcul!$AB$2=7,Custom!B119,0)))))))</f>
        <v>-</v>
      </c>
    </row>
    <row r="122" spans="1:14">
      <c r="A122" s="138"/>
      <c r="N122" s="60" t="str">
        <f>IF(Calcul!$AB$2=1,IPE!B120,IF(Calcul!$AB$2=2,IPN!B120,IF(Calcul!$AB$2=3,HE!B120,IF(Calcul!$AB$2=4,HD!B120,IF(Calcul!$AB$2=5,CHS!B120,IF(Calcul!$AB$2=6,RHS!B120,IF(Calcul!$AB$2=7,Custom!B120,0)))))))</f>
        <v>-</v>
      </c>
    </row>
    <row r="123" spans="1:14" ht="13">
      <c r="A123" s="138"/>
      <c r="C123" s="16">
        <f>$D$6*C120</f>
        <v>3.4524083352351607</v>
      </c>
      <c r="D123" s="6"/>
      <c r="N123" s="60" t="str">
        <f>IF(Calcul!$AB$2=1,IPE!B121,IF(Calcul!$AB$2=2,IPN!B121,IF(Calcul!$AB$2=3,HE!B121,IF(Calcul!$AB$2=4,HD!B121,IF(Calcul!$AB$2=5,CHS!B121,IF(Calcul!$AB$2=6,RHS!B121,IF(Calcul!$AB$2=7,Custom!B121,0)))))))</f>
        <v>-</v>
      </c>
    </row>
    <row r="124" spans="1:14">
      <c r="A124" s="138"/>
      <c r="N124" s="60" t="str">
        <f>IF(Calcul!$AB$2=1,IPE!B122,IF(Calcul!$AB$2=2,IPN!B122,IF(Calcul!$AB$2=3,HE!B122,IF(Calcul!$AB$2=4,HD!B122,IF(Calcul!$AB$2=5,CHS!B122,IF(Calcul!$AB$2=6,RHS!B122,IF(Calcul!$AB$2=7,Custom!B122,0)))))))</f>
        <v>-</v>
      </c>
    </row>
    <row r="125" spans="1:14">
      <c r="A125" s="138"/>
      <c r="N125" s="60" t="str">
        <f>IF(Calcul!$AB$2=1,IPE!B123,IF(Calcul!$AB$2=2,IPN!B123,IF(Calcul!$AB$2=3,HE!B123,IF(Calcul!$AB$2=4,HD!B123,IF(Calcul!$AB$2=5,CHS!B123,IF(Calcul!$AB$2=6,RHS!B123,IF(Calcul!$AB$2=7,Custom!B123,0)))))))</f>
        <v>-</v>
      </c>
    </row>
    <row r="126" spans="1:14">
      <c r="A126" s="138"/>
      <c r="N126" s="60" t="str">
        <f>IF(Calcul!$AB$2=1,IPE!B124,IF(Calcul!$AB$2=2,IPN!B124,IF(Calcul!$AB$2=3,HE!B124,IF(Calcul!$AB$2=4,HD!B124,IF(Calcul!$AB$2=5,CHS!B124,IF(Calcul!$AB$2=6,RHS!B124,IF(Calcul!$AB$2=7,Custom!B124,0)))))))</f>
        <v>-</v>
      </c>
    </row>
    <row r="127" spans="1:14" ht="15.5">
      <c r="A127" s="142"/>
      <c r="B127" s="143" t="s">
        <v>311</v>
      </c>
      <c r="C127" s="144"/>
      <c r="D127" s="144"/>
      <c r="E127" s="144"/>
      <c r="F127" s="144"/>
      <c r="G127" s="144"/>
      <c r="H127" s="144"/>
      <c r="I127" s="144"/>
      <c r="J127" s="145"/>
      <c r="K127" s="145"/>
      <c r="N127" s="60" t="str">
        <f>IF(Calcul!$AB$2=1,IPE!B125,IF(Calcul!$AB$2=2,IPN!B125,IF(Calcul!$AB$2=3,HE!B125,IF(Calcul!$AB$2=4,HD!B125,IF(Calcul!$AB$2=5,CHS!B125,IF(Calcul!$AB$2=6,RHS!B125,IF(Calcul!$AB$2=7,Custom!B125,0)))))))</f>
        <v>-</v>
      </c>
    </row>
    <row r="128" spans="1:14" ht="13">
      <c r="A128" s="142"/>
      <c r="C128" s="9" t="s">
        <v>399</v>
      </c>
      <c r="D128" s="9" t="str">
        <f>IF(Calcul!$AB$2=5,Calcul!$AC$11,"")</f>
        <v/>
      </c>
      <c r="I128" s="105"/>
      <c r="J128" s="4"/>
      <c r="K128" s="4"/>
      <c r="N128" s="60" t="str">
        <f>IF(Calcul!$AB$2=1,IPE!B126,IF(Calcul!$AB$2=2,IPN!B126,IF(Calcul!$AB$2=3,HE!B126,IF(Calcul!$AB$2=4,HD!B126,IF(Calcul!$AB$2=5,CHS!B126,IF(Calcul!$AB$2=6,RHS!B126,IF(Calcul!$AB$2=7,Custom!B126,0)))))))</f>
        <v>-</v>
      </c>
    </row>
    <row r="129" spans="1:14">
      <c r="A129" s="142"/>
      <c r="C129" s="34" t="s">
        <v>277</v>
      </c>
      <c r="D129" s="16">
        <f>SQRT(235/(VLOOKUP(Calcul!$AG$1,Calcul!$AF$4:$AH$9,2)))</f>
        <v>1</v>
      </c>
      <c r="I129" s="111"/>
      <c r="N129" s="60" t="str">
        <f>IF(Calcul!$AB$2=1,IPE!B127,IF(Calcul!$AB$2=2,IPN!B127,IF(Calcul!$AB$2=3,HE!B127,IF(Calcul!$AB$2=4,HD!B127,IF(Calcul!$AB$2=5,CHS!B127,IF(Calcul!$AB$2=6,RHS!B127,IF(Calcul!$AB$2=7,Custom!B127,0)))))))</f>
        <v>-</v>
      </c>
    </row>
    <row r="130" spans="1:14">
      <c r="A130" s="142"/>
      <c r="C130" s="9" t="s">
        <v>312</v>
      </c>
      <c r="D130" s="16">
        <f>h/tw</f>
        <v>21.05263157894737</v>
      </c>
      <c r="E130" s="125"/>
      <c r="I130" s="111"/>
      <c r="N130" s="60" t="str">
        <f>IF(Calcul!$AB$2=1,IPE!B128,IF(Calcul!$AB$2=2,IPN!B128,IF(Calcul!$AB$2=3,HE!B128,IF(Calcul!$AB$2=4,HD!B128,IF(Calcul!$AB$2=5,CHS!B128,IF(Calcul!$AB$2=6,RHS!B128,IF(Calcul!$AB$2=7,Custom!B128,0)))))))</f>
        <v>-</v>
      </c>
    </row>
    <row r="131" spans="1:14">
      <c r="A131" s="142"/>
      <c r="D131" s="9"/>
      <c r="E131" s="125"/>
      <c r="N131" s="60" t="str">
        <f>IF(Calcul!$AB$2=1,IPE!B129,IF(Calcul!$AB$2=2,IPN!B129,IF(Calcul!$AB$2=3,HE!B129,IF(Calcul!$AB$2=4,HD!B129,IF(Calcul!$AB$2=5,CHS!B129,IF(Calcul!$AB$2=6,RHS!B129,IF(Calcul!$AB$2=7,Custom!B129,0)))))))</f>
        <v>-</v>
      </c>
    </row>
    <row r="132" spans="1:14" ht="13">
      <c r="A132" s="142"/>
      <c r="C132" s="146" t="s">
        <v>298</v>
      </c>
      <c r="D132" s="147">
        <f>MAX(D135:D138)</f>
        <v>1</v>
      </c>
      <c r="N132" s="60" t="str">
        <f>IF(Calcul!$AB$2=1,IPE!B130,IF(Calcul!$AB$2=2,IPN!B130,IF(Calcul!$AB$2=3,HE!B130,IF(Calcul!$AB$2=4,HD!B130,IF(Calcul!$AB$2=5,CHS!B130,IF(Calcul!$AB$2=6,RHS!B130,IF(Calcul!$AB$2=7,Custom!B130,0)))))))</f>
        <v>-</v>
      </c>
    </row>
    <row r="133" spans="1:14" ht="14">
      <c r="A133" s="142"/>
      <c r="B133" s="4"/>
      <c r="C133" s="109"/>
      <c r="D133" s="110"/>
      <c r="G133" s="4"/>
      <c r="H133" s="4"/>
      <c r="I133" s="4"/>
      <c r="N133" s="60" t="str">
        <f>IF(Calcul!$AB$2=1,IPE!B131,IF(Calcul!$AB$2=2,IPN!B131,IF(Calcul!$AB$2=3,HE!B131,IF(Calcul!$AB$2=4,HD!B131,IF(Calcul!$AB$2=5,CHS!B131,IF(Calcul!$AB$2=6,RHS!B131,IF(Calcul!$AB$2=7,Custom!B131,0)))))))</f>
        <v>-</v>
      </c>
    </row>
    <row r="134" spans="1:14" ht="13.5" thickBot="1">
      <c r="A134" s="142"/>
      <c r="B134" s="126"/>
      <c r="C134" s="116" t="s">
        <v>313</v>
      </c>
      <c r="D134" s="127" t="s">
        <v>289</v>
      </c>
      <c r="E134" s="4"/>
      <c r="H134" s="4"/>
      <c r="I134" s="4"/>
      <c r="N134" s="60" t="str">
        <f>IF(Calcul!$AB$2=1,IPE!B132,IF(Calcul!$AB$2=2,IPN!B132,IF(Calcul!$AB$2=3,HE!B132,IF(Calcul!$AB$2=4,HD!B132,IF(Calcul!$AB$2=5,CHS!B132,IF(Calcul!$AB$2=6,RHS!B132,IF(Calcul!$AB$2=7,Custom!B132,0)))))))</f>
        <v>-</v>
      </c>
    </row>
    <row r="135" spans="1:14" ht="13">
      <c r="A135" s="142"/>
      <c r="B135" s="34">
        <v>1</v>
      </c>
      <c r="C135" s="107">
        <f>50*D129^2</f>
        <v>50</v>
      </c>
      <c r="D135" s="34">
        <f>IF(D130&lt;=C135,1,"-")</f>
        <v>1</v>
      </c>
      <c r="H135" s="34"/>
      <c r="I135" s="31"/>
      <c r="N135" s="60" t="str">
        <f>IF(Calcul!$AB$2=1,IPE!B133,IF(Calcul!$AB$2=2,IPN!B133,IF(Calcul!$AB$2=3,HE!B133,IF(Calcul!$AB$2=4,HD!B133,IF(Calcul!$AB$2=5,CHS!B133,IF(Calcul!$AB$2=6,RHS!B133,IF(Calcul!$AB$2=7,Custom!B133,0)))))))</f>
        <v>-</v>
      </c>
    </row>
    <row r="136" spans="1:14" ht="13">
      <c r="A136" s="142"/>
      <c r="B136" s="28">
        <v>2</v>
      </c>
      <c r="C136" s="15">
        <f>70*D129^2</f>
        <v>70</v>
      </c>
      <c r="D136" s="128" t="str">
        <f>IF(AND($D$130&gt;C135,$D$130&lt;=C136),2,"-")</f>
        <v>-</v>
      </c>
      <c r="E136" s="107"/>
      <c r="F136" s="106"/>
      <c r="G136" s="106"/>
      <c r="H136" s="39"/>
      <c r="I136" s="31"/>
      <c r="N136" s="60" t="str">
        <f>IF(Calcul!$AB$2=1,IPE!B134,IF(Calcul!$AB$2=2,IPN!B134,IF(Calcul!$AB$2=3,HE!B134,IF(Calcul!$AB$2=4,HD!B134,IF(Calcul!$AB$2=5,CHS!B134,IF(Calcul!$AB$2=6,RHS!B134,IF(Calcul!$AB$2=7,Custom!B134,0)))))))</f>
        <v>-</v>
      </c>
    </row>
    <row r="137" spans="1:14" ht="13">
      <c r="A137" s="142"/>
      <c r="B137" s="28">
        <v>3</v>
      </c>
      <c r="C137" s="15">
        <f>90*D129^2</f>
        <v>90</v>
      </c>
      <c r="D137" s="128" t="str">
        <f>IF(AND($D$130&gt;C136,$D$130&lt;=C137),3,"-")</f>
        <v>-</v>
      </c>
      <c r="E137" s="107"/>
      <c r="F137" s="106"/>
      <c r="G137" s="106"/>
      <c r="H137" s="39"/>
      <c r="I137" s="31"/>
      <c r="N137" s="60" t="str">
        <f>IF(Calcul!$AB$2=1,IPE!B135,IF(Calcul!$AB$2=2,IPN!B135,IF(Calcul!$AB$2=3,HE!B135,IF(Calcul!$AB$2=4,HD!B135,IF(Calcul!$AB$2=5,CHS!B135,IF(Calcul!$AB$2=6,RHS!B135,IF(Calcul!$AB$2=7,Custom!B135,0)))))))</f>
        <v>-</v>
      </c>
    </row>
    <row r="138" spans="1:14" ht="13">
      <c r="A138" s="142"/>
      <c r="B138" s="28">
        <v>4</v>
      </c>
      <c r="C138" s="108">
        <f>C137</f>
        <v>90</v>
      </c>
      <c r="D138" s="128" t="str">
        <f>IF(SUM(D135:D137)=0,4,"-")</f>
        <v>-</v>
      </c>
      <c r="E138" s="107"/>
      <c r="F138" s="106"/>
      <c r="G138" s="106"/>
      <c r="H138" s="39"/>
      <c r="I138" s="39"/>
      <c r="N138" s="60" t="str">
        <f>IF(Calcul!$AB$2=1,IPE!B136,IF(Calcul!$AB$2=2,IPN!B136,IF(Calcul!$AB$2=3,HE!B136,IF(Calcul!$AB$2=4,HD!B136,IF(Calcul!$AB$2=5,CHS!B136,IF(Calcul!$AB$2=6,RHS!B136,IF(Calcul!$AB$2=7,Custom!B136,0)))))))</f>
        <v>-</v>
      </c>
    </row>
    <row r="139" spans="1:14" ht="13">
      <c r="C139" s="9"/>
      <c r="D139" s="4"/>
      <c r="E139" s="4"/>
      <c r="N139" s="60" t="str">
        <f>IF(Calcul!$AB$2=1,IPE!B137,IF(Calcul!$AB$2=2,IPN!B137,IF(Calcul!$AB$2=3,HE!B137,IF(Calcul!$AB$2=4,HD!B137,IF(Calcul!$AB$2=5,CHS!B137,IF(Calcul!$AB$2=6,RHS!B137,IF(Calcul!$AB$2=7,Custom!B137,0)))))))</f>
        <v>-</v>
      </c>
    </row>
    <row r="140" spans="1:14" ht="13">
      <c r="B140" s="21"/>
      <c r="I140" s="4"/>
      <c r="N140" s="60" t="str">
        <f>IF(Calcul!$AB$2=1,IPE!B138,IF(Calcul!$AB$2=2,IPN!B138,IF(Calcul!$AB$2=3,HE!B138,IF(Calcul!$AB$2=4,HD!B138,IF(Calcul!$AB$2=5,CHS!B138,IF(Calcul!$AB$2=6,RHS!B138,IF(Calcul!$AB$2=7,Custom!B138,0)))))))</f>
        <v>-</v>
      </c>
    </row>
    <row r="141" spans="1:14" ht="13">
      <c r="C141" s="34"/>
      <c r="H141" s="4"/>
      <c r="I141" s="4"/>
      <c r="N141" s="60" t="str">
        <f>IF(Calcul!$AB$2=1,IPE!B139,IF(Calcul!$AB$2=2,IPN!B139,IF(Calcul!$AB$2=3,HE!B139,IF(Calcul!$AB$2=4,HD!B139,IF(Calcul!$AB$2=5,CHS!B139,IF(Calcul!$AB$2=6,RHS!B139,IF(Calcul!$AB$2=7,Custom!B139,0)))))))</f>
        <v>-</v>
      </c>
    </row>
    <row r="142" spans="1:14">
      <c r="N142" s="60" t="str">
        <f>IF(Calcul!$AB$2=1,IPE!B140,IF(Calcul!$AB$2=2,IPN!B140,IF(Calcul!$AB$2=3,HE!B140,IF(Calcul!$AB$2=4,HD!B140,IF(Calcul!$AB$2=5,CHS!B140,IF(Calcul!$AB$2=6,RHS!B140,IF(Calcul!$AB$2=7,Custom!B140,0)))))))</f>
        <v>-</v>
      </c>
    </row>
    <row r="143" spans="1:14">
      <c r="N143" s="60" t="str">
        <f>IF(Calcul!$AB$2=1,IPE!B141,IF(Calcul!$AB$2=2,IPN!B141,IF(Calcul!$AB$2=3,HE!B141,IF(Calcul!$AB$2=4,HD!B141,IF(Calcul!$AB$2=5,CHS!B141,IF(Calcul!$AB$2=6,RHS!B141,IF(Calcul!$AB$2=7,Custom!B141,0)))))))</f>
        <v>-</v>
      </c>
    </row>
    <row r="144" spans="1:14">
      <c r="N144" s="60" t="str">
        <f>IF(Calcul!$AB$2=1,IPE!B142,IF(Calcul!$AB$2=2,IPN!B142,IF(Calcul!$AB$2=3,HE!B142,IF(Calcul!$AB$2=4,HD!B142,IF(Calcul!$AB$2=5,CHS!B142,IF(Calcul!$AB$2=6,RHS!B142,IF(Calcul!$AB$2=7,Custom!B142,0)))))))</f>
        <v>-</v>
      </c>
    </row>
    <row r="145" spans="14:14">
      <c r="N145" s="60" t="str">
        <f>IF(Calcul!$AB$2=1,IPE!B143,IF(Calcul!$AB$2=2,IPN!B143,IF(Calcul!$AB$2=3,HE!B143,IF(Calcul!$AB$2=4,HD!B143,IF(Calcul!$AB$2=5,CHS!B143,IF(Calcul!$AB$2=6,RHS!B143,IF(Calcul!$AB$2=7,Custom!B143,0)))))))</f>
        <v>-</v>
      </c>
    </row>
    <row r="146" spans="14:14">
      <c r="N146" s="60" t="str">
        <f>IF(Calcul!$AB$2=1,IPE!B144,IF(Calcul!$AB$2=2,IPN!B144,IF(Calcul!$AB$2=3,HE!B144,IF(Calcul!$AB$2=4,HD!B144,IF(Calcul!$AB$2=5,CHS!B144,IF(Calcul!$AB$2=6,RHS!B144,IF(Calcul!$AB$2=7,Custom!B144,0)))))))</f>
        <v>-</v>
      </c>
    </row>
    <row r="147" spans="14:14">
      <c r="N147" s="60" t="str">
        <f>IF(Calcul!$AB$2=1,IPE!B145,IF(Calcul!$AB$2=2,IPN!B145,IF(Calcul!$AB$2=3,HE!B145,IF(Calcul!$AB$2=4,HD!B145,IF(Calcul!$AB$2=5,CHS!B145,IF(Calcul!$AB$2=6,RHS!B145,IF(Calcul!$AB$2=7,Custom!B145,0)))))))</f>
        <v>-</v>
      </c>
    </row>
    <row r="148" spans="14:14">
      <c r="N148" s="60" t="str">
        <f>IF(Calcul!$AB$2=1,IPE!B146,IF(Calcul!$AB$2=2,IPN!B146,IF(Calcul!$AB$2=3,HE!B146,IF(Calcul!$AB$2=4,HD!B146,IF(Calcul!$AB$2=5,CHS!B146,IF(Calcul!$AB$2=6,RHS!B146,IF(Calcul!$AB$2=7,Custom!B146,0)))))))</f>
        <v>-</v>
      </c>
    </row>
    <row r="149" spans="14:14">
      <c r="N149" s="60" t="str">
        <f>IF(Calcul!$AB$2=1,IPE!B147,IF(Calcul!$AB$2=2,IPN!B147,IF(Calcul!$AB$2=3,HE!B147,IF(Calcul!$AB$2=4,HD!B147,IF(Calcul!$AB$2=5,CHS!B147,IF(Calcul!$AB$2=6,RHS!B147,IF(Calcul!$AB$2=7,Custom!B147,0)))))))</f>
        <v>-</v>
      </c>
    </row>
    <row r="150" spans="14:14">
      <c r="N150" s="60" t="str">
        <f>IF(Calcul!$AB$2=1,IPE!B148,IF(Calcul!$AB$2=2,IPN!B148,IF(Calcul!$AB$2=3,HE!B148,IF(Calcul!$AB$2=4,HD!B148,IF(Calcul!$AB$2=5,CHS!B148,IF(Calcul!$AB$2=6,RHS!B148,IF(Calcul!$AB$2=7,Custom!B148,0)))))))</f>
        <v>-</v>
      </c>
    </row>
    <row r="151" spans="14:14">
      <c r="N151" s="60" t="str">
        <f>IF(Calcul!$AB$2=1,IPE!B149,IF(Calcul!$AB$2=2,IPN!B149,IF(Calcul!$AB$2=3,HE!B149,IF(Calcul!$AB$2=4,HD!B149,IF(Calcul!$AB$2=5,CHS!B149,IF(Calcul!$AB$2=6,RHS!B149,IF(Calcul!$AB$2=7,Custom!B149,0)))))))</f>
        <v>-</v>
      </c>
    </row>
    <row r="152" spans="14:14">
      <c r="N152" s="60" t="str">
        <f>IF(Calcul!$AB$2=1,IPE!B150,IF(Calcul!$AB$2=2,IPN!B150,IF(Calcul!$AB$2=3,HE!B150,IF(Calcul!$AB$2=4,HD!B150,IF(Calcul!$AB$2=5,CHS!B150,IF(Calcul!$AB$2=6,RHS!B150,IF(Calcul!$AB$2=7,Custom!B150,0)))))))</f>
        <v>-</v>
      </c>
    </row>
    <row r="153" spans="14:14">
      <c r="N153" s="60" t="str">
        <f>IF(Calcul!$AB$2=1,IPE!B151,IF(Calcul!$AB$2=2,IPN!B151,IF(Calcul!$AB$2=3,HE!B151,IF(Calcul!$AB$2=4,HD!B151,IF(Calcul!$AB$2=5,CHS!B151,IF(Calcul!$AB$2=6,RHS!B151,IF(Calcul!$AB$2=7,Custom!B151,0)))))))</f>
        <v>-</v>
      </c>
    </row>
    <row r="154" spans="14:14">
      <c r="N154" s="60" t="str">
        <f>IF(Calcul!$AB$2=1,IPE!B152,IF(Calcul!$AB$2=2,IPN!B152,IF(Calcul!$AB$2=3,HE!B152,IF(Calcul!$AB$2=4,HD!B152,IF(Calcul!$AB$2=5,CHS!B152,IF(Calcul!$AB$2=6,RHS!B152,IF(Calcul!$AB$2=7,Custom!B152,0)))))))</f>
        <v>-</v>
      </c>
    </row>
    <row r="155" spans="14:14">
      <c r="N155" s="60" t="str">
        <f>IF(Calcul!$AB$2=1,IPE!B153,IF(Calcul!$AB$2=2,IPN!B153,IF(Calcul!$AB$2=3,HE!B153,IF(Calcul!$AB$2=4,HD!B153,IF(Calcul!$AB$2=5,CHS!B153,IF(Calcul!$AB$2=6,RHS!B153,IF(Calcul!$AB$2=7,Custom!B153,0)))))))</f>
        <v>-</v>
      </c>
    </row>
    <row r="156" spans="14:14">
      <c r="N156" s="60" t="str">
        <f>IF(Calcul!$AB$2=1,IPE!B154,IF(Calcul!$AB$2=2,IPN!B154,IF(Calcul!$AB$2=3,HE!B154,IF(Calcul!$AB$2=4,HD!B154,IF(Calcul!$AB$2=5,CHS!B154,IF(Calcul!$AB$2=6,RHS!B154,IF(Calcul!$AB$2=7,Custom!B154,0)))))))</f>
        <v>-</v>
      </c>
    </row>
    <row r="157" spans="14:14">
      <c r="N157" s="60" t="str">
        <f>IF(Calcul!$AB$2=1,IPE!B155,IF(Calcul!$AB$2=2,IPN!B155,IF(Calcul!$AB$2=3,HE!B155,IF(Calcul!$AB$2=4,HD!B155,IF(Calcul!$AB$2=5,CHS!B155,IF(Calcul!$AB$2=6,RHS!B155,IF(Calcul!$AB$2=7,Custom!B155,0)))))))</f>
        <v>-</v>
      </c>
    </row>
    <row r="158" spans="14:14">
      <c r="N158" s="60" t="str">
        <f>IF(Calcul!$AB$2=1,IPE!B156,IF(Calcul!$AB$2=2,IPN!B156,IF(Calcul!$AB$2=3,HE!B156,IF(Calcul!$AB$2=4,HD!B156,IF(Calcul!$AB$2=5,CHS!B156,IF(Calcul!$AB$2=6,RHS!B156,IF(Calcul!$AB$2=7,Custom!B156,0)))))))</f>
        <v>-</v>
      </c>
    </row>
    <row r="159" spans="14:14">
      <c r="N159" s="60" t="str">
        <f>IF(Calcul!$AB$2=1,IPE!B157,IF(Calcul!$AB$2=2,IPN!B157,IF(Calcul!$AB$2=3,HE!B157,IF(Calcul!$AB$2=4,HD!B157,IF(Calcul!$AB$2=5,CHS!B157,IF(Calcul!$AB$2=6,RHS!B157,IF(Calcul!$AB$2=7,Custom!B157,0)))))))</f>
        <v>-</v>
      </c>
    </row>
    <row r="160" spans="14:14">
      <c r="N160" s="60" t="str">
        <f>IF(Calcul!$AB$2=1,IPE!B158,IF(Calcul!$AB$2=2,IPN!B158,IF(Calcul!$AB$2=3,HE!B158,IF(Calcul!$AB$2=4,HD!B158,IF(Calcul!$AB$2=5,CHS!B158,IF(Calcul!$AB$2=6,RHS!B158,IF(Calcul!$AB$2=7,Custom!B158,0)))))))</f>
        <v>-</v>
      </c>
    </row>
    <row r="161" spans="14:14">
      <c r="N161" s="60" t="str">
        <f>IF(Calcul!$AB$2=1,IPE!B159,IF(Calcul!$AB$2=2,IPN!B159,IF(Calcul!$AB$2=3,HE!B159,IF(Calcul!$AB$2=4,HD!B159,IF(Calcul!$AB$2=5,CHS!B159,IF(Calcul!$AB$2=6,RHS!B159,IF(Calcul!$AB$2=7,Custom!B159,0)))))))</f>
        <v>-</v>
      </c>
    </row>
    <row r="162" spans="14:14">
      <c r="N162" s="60" t="str">
        <f>IF(Calcul!$AB$2=1,IPE!B160,IF(Calcul!$AB$2=2,IPN!B160,IF(Calcul!$AB$2=3,HE!B160,IF(Calcul!$AB$2=4,HD!B160,IF(Calcul!$AB$2=5,CHS!B160,IF(Calcul!$AB$2=6,RHS!B160,IF(Calcul!$AB$2=7,Custom!B160,0)))))))</f>
        <v>-</v>
      </c>
    </row>
    <row r="163" spans="14:14">
      <c r="N163" s="60" t="str">
        <f>IF(Calcul!$AB$2=1,IPE!B161,IF(Calcul!$AB$2=2,IPN!B161,IF(Calcul!$AB$2=3,HE!B161,IF(Calcul!$AB$2=4,HD!B161,IF(Calcul!$AB$2=5,CHS!B161,IF(Calcul!$AB$2=6,RHS!B161,IF(Calcul!$AB$2=7,Custom!B161,0)))))))</f>
        <v>-</v>
      </c>
    </row>
    <row r="164" spans="14:14">
      <c r="N164" s="60" t="str">
        <f>IF(Calcul!$AB$2=1,IPE!B162,IF(Calcul!$AB$2=2,IPN!B162,IF(Calcul!$AB$2=3,HE!B162,IF(Calcul!$AB$2=4,HD!B162,IF(Calcul!$AB$2=5,CHS!B162,IF(Calcul!$AB$2=6,RHS!B162,IF(Calcul!$AB$2=7,Custom!B162,0)))))))</f>
        <v>-</v>
      </c>
    </row>
    <row r="165" spans="14:14">
      <c r="N165" s="60" t="str">
        <f>IF(Calcul!$AB$2=1,IPE!B163,IF(Calcul!$AB$2=2,IPN!B163,IF(Calcul!$AB$2=3,HE!B163,IF(Calcul!$AB$2=4,HD!B163,IF(Calcul!$AB$2=5,CHS!B163,IF(Calcul!$AB$2=6,RHS!B163,IF(Calcul!$AB$2=7,Custom!B163,0)))))))</f>
        <v>-</v>
      </c>
    </row>
    <row r="166" spans="14:14">
      <c r="N166" s="60" t="str">
        <f>IF(Calcul!$AB$2=1,IPE!B164,IF(Calcul!$AB$2=2,IPN!B164,IF(Calcul!$AB$2=3,HE!B164,IF(Calcul!$AB$2=4,HD!B164,IF(Calcul!$AB$2=5,CHS!B164,IF(Calcul!$AB$2=6,RHS!B164,IF(Calcul!$AB$2=7,Custom!B164,0)))))))</f>
        <v>-</v>
      </c>
    </row>
    <row r="167" spans="14:14">
      <c r="N167" s="60" t="str">
        <f>IF(Calcul!$AB$2=1,IPE!B165,IF(Calcul!$AB$2=2,IPN!B165,IF(Calcul!$AB$2=3,HE!B165,IF(Calcul!$AB$2=4,HD!B165,IF(Calcul!$AB$2=5,CHS!B165,IF(Calcul!$AB$2=6,RHS!B165,IF(Calcul!$AB$2=7,Custom!B165,0)))))))</f>
        <v>-</v>
      </c>
    </row>
    <row r="168" spans="14:14">
      <c r="N168" s="60" t="str">
        <f>IF(Calcul!$AB$2=1,IPE!B166,IF(Calcul!$AB$2=2,IPN!B166,IF(Calcul!$AB$2=3,HE!B166,IF(Calcul!$AB$2=4,HD!B166,IF(Calcul!$AB$2=5,CHS!B166,IF(Calcul!$AB$2=6,RHS!B166,IF(Calcul!$AB$2=7,Custom!B166,0)))))))</f>
        <v>-</v>
      </c>
    </row>
    <row r="169" spans="14:14">
      <c r="N169" s="60" t="str">
        <f>IF(Calcul!$AB$2=1,IPE!B167,IF(Calcul!$AB$2=2,IPN!B167,IF(Calcul!$AB$2=3,HE!B167,IF(Calcul!$AB$2=4,HD!B167,IF(Calcul!$AB$2=5,CHS!B167,IF(Calcul!$AB$2=6,RHS!B167,IF(Calcul!$AB$2=7,Custom!B167,0)))))))</f>
        <v>-</v>
      </c>
    </row>
    <row r="170" spans="14:14">
      <c r="N170" s="60" t="str">
        <f>IF(Calcul!$AB$2=1,IPE!B168,IF(Calcul!$AB$2=2,IPN!B168,IF(Calcul!$AB$2=3,HE!B168,IF(Calcul!$AB$2=4,HD!B168,IF(Calcul!$AB$2=5,CHS!B168,IF(Calcul!$AB$2=6,RHS!B168,IF(Calcul!$AB$2=7,Custom!B168,0)))))))</f>
        <v>-</v>
      </c>
    </row>
    <row r="171" spans="14:14">
      <c r="N171" s="60" t="str">
        <f>IF(Calcul!$AB$2=1,IPE!B169,IF(Calcul!$AB$2=2,IPN!B169,IF(Calcul!$AB$2=3,HE!B169,IF(Calcul!$AB$2=4,HD!B169,IF(Calcul!$AB$2=5,CHS!B169,IF(Calcul!$AB$2=6,RHS!B169,IF(Calcul!$AB$2=7,Custom!B169,0)))))))</f>
        <v>-</v>
      </c>
    </row>
    <row r="172" spans="14:14">
      <c r="N172" s="60" t="str">
        <f>IF(Calcul!$AB$2=1,IPE!B170,IF(Calcul!$AB$2=2,IPN!B170,IF(Calcul!$AB$2=3,HE!B170,IF(Calcul!$AB$2=4,HD!B170,IF(Calcul!$AB$2=5,CHS!B170,IF(Calcul!$AB$2=6,RHS!B170,IF(Calcul!$AB$2=7,Custom!B170,0)))))))</f>
        <v>-</v>
      </c>
    </row>
    <row r="173" spans="14:14">
      <c r="N173" s="60" t="str">
        <f>IF(Calcul!$AB$2=1,IPE!B171,IF(Calcul!$AB$2=2,IPN!B171,IF(Calcul!$AB$2=3,HE!B171,IF(Calcul!$AB$2=4,HD!B171,IF(Calcul!$AB$2=5,CHS!B171,IF(Calcul!$AB$2=6,RHS!B171,IF(Calcul!$AB$2=7,Custom!B171,0)))))))</f>
        <v>-</v>
      </c>
    </row>
    <row r="174" spans="14:14">
      <c r="N174" s="60" t="str">
        <f>IF(Calcul!$AB$2=1,IPE!B172,IF(Calcul!$AB$2=2,IPN!B172,IF(Calcul!$AB$2=3,HE!B172,IF(Calcul!$AB$2=4,HD!B172,IF(Calcul!$AB$2=5,CHS!B172,IF(Calcul!$AB$2=6,RHS!B172,IF(Calcul!$AB$2=7,Custom!B172,0)))))))</f>
        <v>-</v>
      </c>
    </row>
    <row r="175" spans="14:14">
      <c r="N175" s="60" t="str">
        <f>IF(Calcul!$AB$2=1,IPE!B173,IF(Calcul!$AB$2=2,IPN!B173,IF(Calcul!$AB$2=3,HE!B173,IF(Calcul!$AB$2=4,HD!B173,IF(Calcul!$AB$2=5,CHS!B173,IF(Calcul!$AB$2=6,RHS!B173,IF(Calcul!$AB$2=7,Custom!B173,0)))))))</f>
        <v>-</v>
      </c>
    </row>
    <row r="176" spans="14:14">
      <c r="N176" s="60" t="str">
        <f>IF(Calcul!$AB$2=1,IPE!B174,IF(Calcul!$AB$2=2,IPN!B174,IF(Calcul!$AB$2=3,HE!B174,IF(Calcul!$AB$2=4,HD!B174,IF(Calcul!$AB$2=5,CHS!B174,IF(Calcul!$AB$2=6,RHS!B174,IF(Calcul!$AB$2=7,Custom!B174,0)))))))</f>
        <v>-</v>
      </c>
    </row>
    <row r="177" spans="14:14">
      <c r="N177" s="60" t="str">
        <f>IF(Calcul!$AB$2=1,IPE!B175,IF(Calcul!$AB$2=2,IPN!B175,IF(Calcul!$AB$2=3,HE!B175,IF(Calcul!$AB$2=4,HD!B175,IF(Calcul!$AB$2=5,CHS!B175,IF(Calcul!$AB$2=6,RHS!B175,IF(Calcul!$AB$2=7,Custom!B175,0)))))))</f>
        <v>-</v>
      </c>
    </row>
    <row r="178" spans="14:14">
      <c r="N178" s="60" t="str">
        <f>IF(Calcul!$AB$2=1,IPE!B176,IF(Calcul!$AB$2=2,IPN!B176,IF(Calcul!$AB$2=3,HE!B176,IF(Calcul!$AB$2=4,HD!B176,IF(Calcul!$AB$2=5,CHS!B176,IF(Calcul!$AB$2=6,RHS!B176,IF(Calcul!$AB$2=7,Custom!B176,0)))))))</f>
        <v>-</v>
      </c>
    </row>
    <row r="179" spans="14:14">
      <c r="N179" s="60" t="str">
        <f>IF(Calcul!$AB$2=1,IPE!B177,IF(Calcul!$AB$2=2,IPN!B177,IF(Calcul!$AB$2=3,HE!B177,IF(Calcul!$AB$2=4,HD!B177,IF(Calcul!$AB$2=5,CHS!B177,IF(Calcul!$AB$2=6,RHS!B177,IF(Calcul!$AB$2=7,Custom!B177,0)))))))</f>
        <v>-</v>
      </c>
    </row>
    <row r="180" spans="14:14">
      <c r="N180" s="60" t="str">
        <f>IF(Calcul!$AB$2=1,IPE!B178,IF(Calcul!$AB$2=2,IPN!B178,IF(Calcul!$AB$2=3,HE!B178,IF(Calcul!$AB$2=4,HD!B178,IF(Calcul!$AB$2=5,CHS!B178,IF(Calcul!$AB$2=6,RHS!B178,IF(Calcul!$AB$2=7,Custom!B178,0)))))))</f>
        <v>-</v>
      </c>
    </row>
    <row r="181" spans="14:14">
      <c r="N181" s="60" t="str">
        <f>IF(Calcul!$AB$2=1,IPE!B179,IF(Calcul!$AB$2=2,IPN!B179,IF(Calcul!$AB$2=3,HE!B179,IF(Calcul!$AB$2=4,HD!B179,IF(Calcul!$AB$2=5,CHS!B179,IF(Calcul!$AB$2=6,RHS!B179,IF(Calcul!$AB$2=7,Custom!B179,0)))))))</f>
        <v>-</v>
      </c>
    </row>
    <row r="182" spans="14:14">
      <c r="N182" s="60" t="str">
        <f>IF(Calcul!$AB$2=1,IPE!B180,IF(Calcul!$AB$2=2,IPN!B180,IF(Calcul!$AB$2=3,HE!B180,IF(Calcul!$AB$2=4,HD!B180,IF(Calcul!$AB$2=5,CHS!B180,IF(Calcul!$AB$2=6,RHS!B180,IF(Calcul!$AB$2=7,Custom!B180,0)))))))</f>
        <v>-</v>
      </c>
    </row>
    <row r="183" spans="14:14">
      <c r="N183" s="60" t="str">
        <f>IF(Calcul!$AB$2=1,IPE!B181,IF(Calcul!$AB$2=2,IPN!B181,IF(Calcul!$AB$2=3,HE!B181,IF(Calcul!$AB$2=4,HD!B181,IF(Calcul!$AB$2=5,CHS!B181,IF(Calcul!$AB$2=6,RHS!B181,IF(Calcul!$AB$2=7,Custom!B181,0)))))))</f>
        <v>-</v>
      </c>
    </row>
    <row r="184" spans="14:14">
      <c r="N184" s="60" t="str">
        <f>IF(Calcul!$AB$2=1,IPE!B182,IF(Calcul!$AB$2=2,IPN!B182,IF(Calcul!$AB$2=3,HE!B182,IF(Calcul!$AB$2=4,HD!B182,IF(Calcul!$AB$2=5,CHS!B182,IF(Calcul!$AB$2=6,RHS!B182,IF(Calcul!$AB$2=7,Custom!B182,0)))))))</f>
        <v>-</v>
      </c>
    </row>
    <row r="185" spans="14:14">
      <c r="N185" s="60" t="str">
        <f>IF(Calcul!$AB$2=1,IPE!B183,IF(Calcul!$AB$2=2,IPN!B183,IF(Calcul!$AB$2=3,HE!B183,IF(Calcul!$AB$2=4,HD!B183,IF(Calcul!$AB$2=5,CHS!B183,IF(Calcul!$AB$2=6,RHS!B183,IF(Calcul!$AB$2=7,Custom!B183,0)))))))</f>
        <v>-</v>
      </c>
    </row>
    <row r="186" spans="14:14">
      <c r="N186" s="60" t="str">
        <f>IF(Calcul!$AB$2=1,IPE!B184,IF(Calcul!$AB$2=2,IPN!B184,IF(Calcul!$AB$2=3,HE!B184,IF(Calcul!$AB$2=4,HD!B184,IF(Calcul!$AB$2=5,CHS!B184,IF(Calcul!$AB$2=6,RHS!B184,IF(Calcul!$AB$2=7,Custom!B184,0)))))))</f>
        <v>-</v>
      </c>
    </row>
    <row r="187" spans="14:14">
      <c r="N187" s="60" t="str">
        <f>IF(Calcul!$AB$2=1,IPE!B185,IF(Calcul!$AB$2=2,IPN!B185,IF(Calcul!$AB$2=3,HE!B185,IF(Calcul!$AB$2=4,HD!B185,IF(Calcul!$AB$2=5,CHS!B185,IF(Calcul!$AB$2=6,RHS!B185,IF(Calcul!$AB$2=7,Custom!B185,0)))))))</f>
        <v>-</v>
      </c>
    </row>
    <row r="188" spans="14:14">
      <c r="N188" s="60" t="str">
        <f>IF(Calcul!$AB$2=1,IPE!B186,IF(Calcul!$AB$2=2,IPN!B186,IF(Calcul!$AB$2=3,HE!B186,IF(Calcul!$AB$2=4,HD!B186,IF(Calcul!$AB$2=5,CHS!B186,IF(Calcul!$AB$2=6,RHS!B186,IF(Calcul!$AB$2=7,Custom!B186,0)))))))</f>
        <v>-</v>
      </c>
    </row>
    <row r="189" spans="14:14">
      <c r="N189" s="60" t="str">
        <f>IF(Calcul!$AB$2=1,IPE!B187,IF(Calcul!$AB$2=2,IPN!B187,IF(Calcul!$AB$2=3,HE!B187,IF(Calcul!$AB$2=4,HD!B187,IF(Calcul!$AB$2=5,CHS!B187,IF(Calcul!$AB$2=6,RHS!B187,IF(Calcul!$AB$2=7,Custom!B187,0)))))))</f>
        <v>-</v>
      </c>
    </row>
    <row r="190" spans="14:14">
      <c r="N190" s="60" t="str">
        <f>IF(Calcul!$AB$2=1,IPE!B188,IF(Calcul!$AB$2=2,IPN!B188,IF(Calcul!$AB$2=3,HE!B188,IF(Calcul!$AB$2=4,HD!B188,IF(Calcul!$AB$2=5,CHS!B188,IF(Calcul!$AB$2=6,RHS!B188,IF(Calcul!$AB$2=7,Custom!B188,0)))))))</f>
        <v>-</v>
      </c>
    </row>
    <row r="191" spans="14:14">
      <c r="N191" s="60" t="str">
        <f>IF(Calcul!$AB$2=1,IPE!B189,IF(Calcul!$AB$2=2,IPN!B189,IF(Calcul!$AB$2=3,HE!B189,IF(Calcul!$AB$2=4,HD!B189,IF(Calcul!$AB$2=5,CHS!B189,IF(Calcul!$AB$2=6,RHS!B189,IF(Calcul!$AB$2=7,Custom!B189,0)))))))</f>
        <v>-</v>
      </c>
    </row>
    <row r="192" spans="14:14">
      <c r="N192" s="60" t="str">
        <f>IF(Calcul!$AB$2=1,IPE!B190,IF(Calcul!$AB$2=2,IPN!B190,IF(Calcul!$AB$2=3,HE!B190,IF(Calcul!$AB$2=4,HD!B190,IF(Calcul!$AB$2=5,CHS!B190,IF(Calcul!$AB$2=6,RHS!B190,IF(Calcul!$AB$2=7,Custom!B190,0)))))))</f>
        <v>-</v>
      </c>
    </row>
    <row r="193" spans="14:14">
      <c r="N193" s="60" t="str">
        <f>IF(Calcul!$AB$2=1,IPE!B191,IF(Calcul!$AB$2=2,IPN!B191,IF(Calcul!$AB$2=3,HE!B191,IF(Calcul!$AB$2=4,HD!B191,IF(Calcul!$AB$2=5,CHS!B191,IF(Calcul!$AB$2=6,RHS!B191,IF(Calcul!$AB$2=7,Custom!B191,0)))))))</f>
        <v>-</v>
      </c>
    </row>
    <row r="194" spans="14:14">
      <c r="N194" s="60" t="str">
        <f>IF(Calcul!$AB$2=1,IPE!B192,IF(Calcul!$AB$2=2,IPN!B192,IF(Calcul!$AB$2=3,HE!B192,IF(Calcul!$AB$2=4,HD!B192,IF(Calcul!$AB$2=5,CHS!B192,IF(Calcul!$AB$2=6,RHS!B192,IF(Calcul!$AB$2=7,Custom!B192,0)))))))</f>
        <v>-</v>
      </c>
    </row>
    <row r="195" spans="14:14">
      <c r="N195" s="60" t="str">
        <f>IF(Calcul!$AB$2=1,IPE!B193,IF(Calcul!$AB$2=2,IPN!B193,IF(Calcul!$AB$2=3,HE!B193,IF(Calcul!$AB$2=4,HD!B193,IF(Calcul!$AB$2=5,CHS!B193,IF(Calcul!$AB$2=6,RHS!B193,IF(Calcul!$AB$2=7,Custom!B193,0)))))))</f>
        <v>-</v>
      </c>
    </row>
    <row r="196" spans="14:14">
      <c r="N196" s="60" t="str">
        <f>IF(Calcul!$AB$2=1,IPE!B194,IF(Calcul!$AB$2=2,IPN!B194,IF(Calcul!$AB$2=3,HE!B194,IF(Calcul!$AB$2=4,HD!B194,IF(Calcul!$AB$2=5,CHS!B194,IF(Calcul!$AB$2=6,RHS!B194,IF(Calcul!$AB$2=7,Custom!B194,0)))))))</f>
        <v>-</v>
      </c>
    </row>
    <row r="197" spans="14:14">
      <c r="N197" s="60" t="str">
        <f>IF(Calcul!$AB$2=1,IPE!B195,IF(Calcul!$AB$2=2,IPN!B195,IF(Calcul!$AB$2=3,HE!B195,IF(Calcul!$AB$2=4,HD!B195,IF(Calcul!$AB$2=5,CHS!B195,IF(Calcul!$AB$2=6,RHS!B195,IF(Calcul!$AB$2=7,Custom!B195,0)))))))</f>
        <v>-</v>
      </c>
    </row>
    <row r="198" spans="14:14">
      <c r="N198" s="60" t="str">
        <f>IF(Calcul!$AB$2=1,IPE!B196,IF(Calcul!$AB$2=2,IPN!B196,IF(Calcul!$AB$2=3,HE!B196,IF(Calcul!$AB$2=4,HD!B196,IF(Calcul!$AB$2=5,CHS!B196,IF(Calcul!$AB$2=6,RHS!B196,IF(Calcul!$AB$2=7,Custom!B196,0)))))))</f>
        <v>-</v>
      </c>
    </row>
    <row r="199" spans="14:14">
      <c r="N199" s="60" t="str">
        <f>IF(Calcul!$AB$2=1,IPE!B197,IF(Calcul!$AB$2=2,IPN!B197,IF(Calcul!$AB$2=3,HE!B197,IF(Calcul!$AB$2=4,HD!B197,IF(Calcul!$AB$2=5,CHS!B197,IF(Calcul!$AB$2=6,RHS!B197,IF(Calcul!$AB$2=7,Custom!B197,0)))))))</f>
        <v>-</v>
      </c>
    </row>
    <row r="200" spans="14:14">
      <c r="N200" s="60" t="str">
        <f>IF(Calcul!$AB$2=1,IPE!B198,IF(Calcul!$AB$2=2,IPN!B198,IF(Calcul!$AB$2=3,HE!B198,IF(Calcul!$AB$2=4,HD!B198,IF(Calcul!$AB$2=5,CHS!B198,IF(Calcul!$AB$2=6,RHS!B198,IF(Calcul!$AB$2=7,Custom!B198,0)))))))</f>
        <v>-</v>
      </c>
    </row>
    <row r="201" spans="14:14">
      <c r="N201" s="60" t="str">
        <f>IF(Calcul!$AB$2=1,IPE!B199,IF(Calcul!$AB$2=2,IPN!B199,IF(Calcul!$AB$2=3,HE!B199,IF(Calcul!$AB$2=4,HD!B199,IF(Calcul!$AB$2=5,CHS!B199,IF(Calcul!$AB$2=6,RHS!B199,IF(Calcul!$AB$2=7,Custom!B199,0)))))))</f>
        <v>-</v>
      </c>
    </row>
    <row r="202" spans="14:14">
      <c r="N202" s="60" t="str">
        <f>IF(Calcul!$AB$2=1,IPE!B200,IF(Calcul!$AB$2=2,IPN!B200,IF(Calcul!$AB$2=3,HE!B200,IF(Calcul!$AB$2=4,HD!B200,IF(Calcul!$AB$2=5,CHS!B200,IF(Calcul!$AB$2=6,RHS!B200,IF(Calcul!$AB$2=7,Custom!B200,0)))))))</f>
        <v>-</v>
      </c>
    </row>
    <row r="203" spans="14:14">
      <c r="N203" s="60" t="str">
        <f>IF(Calcul!$AB$2=1,IPE!B201,IF(Calcul!$AB$2=2,IPN!B201,IF(Calcul!$AB$2=3,HE!B201,IF(Calcul!$AB$2=4,HD!B201,IF(Calcul!$AB$2=5,CHS!B201,IF(Calcul!$AB$2=6,RHS!B201,IF(Calcul!$AB$2=7,Custom!B201,0)))))))</f>
        <v>-</v>
      </c>
    </row>
    <row r="204" spans="14:14">
      <c r="N204" s="60" t="str">
        <f>IF(Calcul!$AB$2=1,IPE!B202,IF(Calcul!$AB$2=2,IPN!B202,IF(Calcul!$AB$2=3,HE!B202,IF(Calcul!$AB$2=4,HD!B202,IF(Calcul!$AB$2=5,CHS!B202,IF(Calcul!$AB$2=6,RHS!B202,IF(Calcul!$AB$2=7,Custom!B202,0)))))))</f>
        <v>-</v>
      </c>
    </row>
    <row r="205" spans="14:14">
      <c r="N205" s="60" t="str">
        <f>IF(Calcul!$AB$2=1,IPE!B203,IF(Calcul!$AB$2=2,IPN!B203,IF(Calcul!$AB$2=3,HE!B203,IF(Calcul!$AB$2=4,HD!B203,IF(Calcul!$AB$2=5,CHS!B203,IF(Calcul!$AB$2=6,RHS!B203,IF(Calcul!$AB$2=7,Custom!B203,0)))))))</f>
        <v>-</v>
      </c>
    </row>
    <row r="206" spans="14:14">
      <c r="N206" s="60" t="str">
        <f>IF(Calcul!$AB$2=1,IPE!B204,IF(Calcul!$AB$2=2,IPN!B204,IF(Calcul!$AB$2=3,HE!B204,IF(Calcul!$AB$2=4,HD!B204,IF(Calcul!$AB$2=5,CHS!B204,IF(Calcul!$AB$2=6,RHS!B204,IF(Calcul!$AB$2=7,Custom!B204,0)))))))</f>
        <v>-</v>
      </c>
    </row>
    <row r="207" spans="14:14">
      <c r="N207" s="60" t="str">
        <f>IF(Calcul!$AB$2=1,IPE!B205,IF(Calcul!$AB$2=2,IPN!B205,IF(Calcul!$AB$2=3,HE!B205,IF(Calcul!$AB$2=4,HD!B205,IF(Calcul!$AB$2=5,CHS!B205,IF(Calcul!$AB$2=6,RHS!B205,IF(Calcul!$AB$2=7,Custom!B205,0)))))))</f>
        <v>-</v>
      </c>
    </row>
    <row r="208" spans="14:14">
      <c r="N208" s="60" t="str">
        <f>IF(Calcul!$AB$2=1,IPE!B206,IF(Calcul!$AB$2=2,IPN!B206,IF(Calcul!$AB$2=3,HE!B206,IF(Calcul!$AB$2=4,HD!B206,IF(Calcul!$AB$2=5,CHS!B206,IF(Calcul!$AB$2=6,RHS!B206,IF(Calcul!$AB$2=7,Custom!B206,0)))))))</f>
        <v>-</v>
      </c>
    </row>
    <row r="209" spans="14:14">
      <c r="N209" s="60" t="str">
        <f>IF(Calcul!$AB$2=1,IPE!B207,IF(Calcul!$AB$2=2,IPN!B207,IF(Calcul!$AB$2=3,HE!B207,IF(Calcul!$AB$2=4,HD!B207,IF(Calcul!$AB$2=5,CHS!B207,IF(Calcul!$AB$2=6,RHS!B207,IF(Calcul!$AB$2=7,Custom!B207,0)))))))</f>
        <v>-</v>
      </c>
    </row>
    <row r="210" spans="14:14">
      <c r="N210" s="60" t="str">
        <f>IF(Calcul!$AB$2=1,IPE!B208,IF(Calcul!$AB$2=2,IPN!B208,IF(Calcul!$AB$2=3,HE!B208,IF(Calcul!$AB$2=4,HD!B208,IF(Calcul!$AB$2=5,CHS!B208,IF(Calcul!$AB$2=6,RHS!B208,IF(Calcul!$AB$2=7,Custom!B208,0)))))))</f>
        <v>-</v>
      </c>
    </row>
    <row r="211" spans="14:14">
      <c r="N211" s="60" t="str">
        <f>IF(Calcul!$AB$2=1,IPE!B209,IF(Calcul!$AB$2=2,IPN!B209,IF(Calcul!$AB$2=3,HE!B209,IF(Calcul!$AB$2=4,HD!B209,IF(Calcul!$AB$2=5,CHS!B209,IF(Calcul!$AB$2=6,RHS!B209,IF(Calcul!$AB$2=7,Custom!B209,0)))))))</f>
        <v>-</v>
      </c>
    </row>
    <row r="212" spans="14:14">
      <c r="N212" s="60" t="str">
        <f>IF(Calcul!$AB$2=1,IPE!B210,IF(Calcul!$AB$2=2,IPN!B210,IF(Calcul!$AB$2=3,HE!B210,IF(Calcul!$AB$2=4,HD!B210,IF(Calcul!$AB$2=5,CHS!B210,IF(Calcul!$AB$2=6,RHS!B210,IF(Calcul!$AB$2=7,Custom!B210,0)))))))</f>
        <v>-</v>
      </c>
    </row>
    <row r="213" spans="14:14">
      <c r="N213" s="60" t="str">
        <f>IF(Calcul!$AB$2=1,IPE!B211,IF(Calcul!$AB$2=2,IPN!B211,IF(Calcul!$AB$2=3,HE!B211,IF(Calcul!$AB$2=4,HD!B211,IF(Calcul!$AB$2=5,CHS!B211,IF(Calcul!$AB$2=6,RHS!B211,IF(Calcul!$AB$2=7,Custom!B211,0)))))))</f>
        <v>-</v>
      </c>
    </row>
    <row r="214" spans="14:14">
      <c r="N214" s="60" t="str">
        <f>IF(Calcul!$AB$2=1,IPE!B212,IF(Calcul!$AB$2=2,IPN!B212,IF(Calcul!$AB$2=3,HE!B212,IF(Calcul!$AB$2=4,HD!B212,IF(Calcul!$AB$2=5,CHS!B212,IF(Calcul!$AB$2=6,RHS!B212,IF(Calcul!$AB$2=7,Custom!B212,0)))))))</f>
        <v>-</v>
      </c>
    </row>
    <row r="215" spans="14:14">
      <c r="N215" s="60" t="str">
        <f>IF(Calcul!$AB$2=1,IPE!B213,IF(Calcul!$AB$2=2,IPN!B213,IF(Calcul!$AB$2=3,HE!B213,IF(Calcul!$AB$2=4,HD!B213,IF(Calcul!$AB$2=5,CHS!B213,IF(Calcul!$AB$2=6,RHS!B213,IF(Calcul!$AB$2=7,Custom!B213,0)))))))</f>
        <v>-</v>
      </c>
    </row>
    <row r="216" spans="14:14">
      <c r="N216" s="60" t="str">
        <f>IF(Calcul!$AB$2=1,IPE!B214,IF(Calcul!$AB$2=2,IPN!B214,IF(Calcul!$AB$2=3,HE!B214,IF(Calcul!$AB$2=4,HD!B214,IF(Calcul!$AB$2=5,CHS!B214,IF(Calcul!$AB$2=6,RHS!B214,IF(Calcul!$AB$2=7,Custom!B214,0)))))))</f>
        <v>-</v>
      </c>
    </row>
    <row r="217" spans="14:14">
      <c r="N217" s="60" t="str">
        <f>IF(Calcul!$AB$2=1,IPE!B215,IF(Calcul!$AB$2=2,IPN!B215,IF(Calcul!$AB$2=3,HE!B215,IF(Calcul!$AB$2=4,HD!B215,IF(Calcul!$AB$2=5,CHS!B215,IF(Calcul!$AB$2=6,RHS!B215,IF(Calcul!$AB$2=7,Custom!B215,0)))))))</f>
        <v>-</v>
      </c>
    </row>
    <row r="218" spans="14:14">
      <c r="N218" s="60" t="str">
        <f>IF(Calcul!$AB$2=1,IPE!B216,IF(Calcul!$AB$2=2,IPN!B216,IF(Calcul!$AB$2=3,HE!B216,IF(Calcul!$AB$2=4,HD!B216,IF(Calcul!$AB$2=5,CHS!B216,IF(Calcul!$AB$2=6,RHS!B216,IF(Calcul!$AB$2=7,Custom!B216,0)))))))</f>
        <v>-</v>
      </c>
    </row>
    <row r="219" spans="14:14">
      <c r="N219" s="60" t="str">
        <f>IF(Calcul!$AB$2=1,IPE!B217,IF(Calcul!$AB$2=2,IPN!B217,IF(Calcul!$AB$2=3,HE!B217,IF(Calcul!$AB$2=4,HD!B217,IF(Calcul!$AB$2=5,CHS!B217,IF(Calcul!$AB$2=6,RHS!B217,IF(Calcul!$AB$2=7,Custom!B217,0)))))))</f>
        <v>-</v>
      </c>
    </row>
    <row r="220" spans="14:14">
      <c r="N220" s="60" t="str">
        <f>IF(Calcul!$AB$2=1,IPE!B218,IF(Calcul!$AB$2=2,IPN!B218,IF(Calcul!$AB$2=3,HE!B218,IF(Calcul!$AB$2=4,HD!B218,IF(Calcul!$AB$2=5,CHS!B218,IF(Calcul!$AB$2=6,RHS!B218,IF(Calcul!$AB$2=7,Custom!B218,0)))))))</f>
        <v>-</v>
      </c>
    </row>
    <row r="221" spans="14:14">
      <c r="N221" s="60" t="str">
        <f>IF(Calcul!$AB$2=1,IPE!B219,IF(Calcul!$AB$2=2,IPN!B219,IF(Calcul!$AB$2=3,HE!B219,IF(Calcul!$AB$2=4,HD!B219,IF(Calcul!$AB$2=5,CHS!B219,IF(Calcul!$AB$2=6,RHS!B219,IF(Calcul!$AB$2=7,Custom!B219,0)))))))</f>
        <v>-</v>
      </c>
    </row>
    <row r="222" spans="14:14">
      <c r="N222" s="60" t="str">
        <f>IF(Calcul!$AB$2=1,IPE!B220,IF(Calcul!$AB$2=2,IPN!B220,IF(Calcul!$AB$2=3,HE!B220,IF(Calcul!$AB$2=4,HD!B220,IF(Calcul!$AB$2=5,CHS!B220,IF(Calcul!$AB$2=6,RHS!B220,IF(Calcul!$AB$2=7,Custom!B220,0)))))))</f>
        <v>-</v>
      </c>
    </row>
    <row r="223" spans="14:14">
      <c r="N223" s="60" t="str">
        <f>IF(Calcul!$AB$2=1,IPE!B221,IF(Calcul!$AB$2=2,IPN!B221,IF(Calcul!$AB$2=3,HE!B221,IF(Calcul!$AB$2=4,HD!B221,IF(Calcul!$AB$2=5,CHS!B221,IF(Calcul!$AB$2=6,RHS!B221,IF(Calcul!$AB$2=7,Custom!B221,0)))))))</f>
        <v>-</v>
      </c>
    </row>
    <row r="224" spans="14:14">
      <c r="N224" s="60" t="str">
        <f>IF(Calcul!$AB$2=1,IPE!B222,IF(Calcul!$AB$2=2,IPN!B222,IF(Calcul!$AB$2=3,HE!B222,IF(Calcul!$AB$2=4,HD!B222,IF(Calcul!$AB$2=5,CHS!B222,IF(Calcul!$AB$2=6,RHS!B222,IF(Calcul!$AB$2=7,Custom!B222,0)))))))</f>
        <v>-</v>
      </c>
    </row>
    <row r="225" spans="14:14">
      <c r="N225" s="60" t="str">
        <f>IF(Calcul!$AB$2=1,IPE!B223,IF(Calcul!$AB$2=2,IPN!B223,IF(Calcul!$AB$2=3,HE!B223,IF(Calcul!$AB$2=4,HD!B223,IF(Calcul!$AB$2=5,CHS!B223,IF(Calcul!$AB$2=6,RHS!B223,IF(Calcul!$AB$2=7,Custom!B223,0)))))))</f>
        <v>-</v>
      </c>
    </row>
    <row r="226" spans="14:14">
      <c r="N226" s="60" t="str">
        <f>IF(Calcul!$AB$2=1,IPE!B224,IF(Calcul!$AB$2=2,IPN!B224,IF(Calcul!$AB$2=3,HE!B224,IF(Calcul!$AB$2=4,HD!B224,IF(Calcul!$AB$2=5,CHS!B224,IF(Calcul!$AB$2=6,RHS!B224,IF(Calcul!$AB$2=7,Custom!B224,0)))))))</f>
        <v>-</v>
      </c>
    </row>
    <row r="227" spans="14:14">
      <c r="N227" s="60" t="str">
        <f>IF(Calcul!$AB$2=1,IPE!B225,IF(Calcul!$AB$2=2,IPN!B225,IF(Calcul!$AB$2=3,HE!B225,IF(Calcul!$AB$2=4,HD!B225,IF(Calcul!$AB$2=5,CHS!B225,IF(Calcul!$AB$2=6,RHS!B225,IF(Calcul!$AB$2=7,Custom!B225,0)))))))</f>
        <v>-</v>
      </c>
    </row>
    <row r="228" spans="14:14">
      <c r="N228" s="60" t="str">
        <f>IF(Calcul!$AB$2=1,IPE!B226,IF(Calcul!$AB$2=2,IPN!B226,IF(Calcul!$AB$2=3,HE!B226,IF(Calcul!$AB$2=4,HD!B226,IF(Calcul!$AB$2=5,CHS!B226,IF(Calcul!$AB$2=6,RHS!B226,IF(Calcul!$AB$2=7,Custom!B226,0)))))))</f>
        <v>-</v>
      </c>
    </row>
    <row r="229" spans="14:14">
      <c r="N229" s="60" t="str">
        <f>IF(Calcul!$AB$2=1,IPE!B227,IF(Calcul!$AB$2=2,IPN!B227,IF(Calcul!$AB$2=3,HE!B227,IF(Calcul!$AB$2=4,HD!B227,IF(Calcul!$AB$2=5,CHS!B227,IF(Calcul!$AB$2=6,RHS!B227,IF(Calcul!$AB$2=7,Custom!B227,0)))))))</f>
        <v>-</v>
      </c>
    </row>
    <row r="230" spans="14:14">
      <c r="N230" s="60" t="str">
        <f>IF(Calcul!$AB$2=1,IPE!B228,IF(Calcul!$AB$2=2,IPN!B228,IF(Calcul!$AB$2=3,HE!B228,IF(Calcul!$AB$2=4,HD!B228,IF(Calcul!$AB$2=5,CHS!B228,IF(Calcul!$AB$2=6,RHS!B228,IF(Calcul!$AB$2=7,Custom!B228,0)))))))</f>
        <v>-</v>
      </c>
    </row>
    <row r="231" spans="14:14">
      <c r="N231" s="60" t="str">
        <f>IF(Calcul!$AB$2=1,IPE!B229,IF(Calcul!$AB$2=2,IPN!B229,IF(Calcul!$AB$2=3,HE!B229,IF(Calcul!$AB$2=4,HD!B229,IF(Calcul!$AB$2=5,CHS!B229,IF(Calcul!$AB$2=6,RHS!B229,IF(Calcul!$AB$2=7,Custom!B229,0)))))))</f>
        <v>-</v>
      </c>
    </row>
    <row r="232" spans="14:14">
      <c r="N232" s="60" t="str">
        <f>IF(Calcul!$AB$2=1,IPE!B230,IF(Calcul!$AB$2=2,IPN!B230,IF(Calcul!$AB$2=3,HE!B230,IF(Calcul!$AB$2=4,HD!B230,IF(Calcul!$AB$2=5,CHS!B230,IF(Calcul!$AB$2=6,RHS!B230,IF(Calcul!$AB$2=7,Custom!B230,0)))))))</f>
        <v>-</v>
      </c>
    </row>
    <row r="233" spans="14:14">
      <c r="N233" s="60" t="str">
        <f>IF(Calcul!$AB$2=1,IPE!B231,IF(Calcul!$AB$2=2,IPN!B231,IF(Calcul!$AB$2=3,HE!B231,IF(Calcul!$AB$2=4,HD!B231,IF(Calcul!$AB$2=5,CHS!B231,IF(Calcul!$AB$2=6,RHS!B231,IF(Calcul!$AB$2=7,Custom!B231,0)))))))</f>
        <v>-</v>
      </c>
    </row>
    <row r="234" spans="14:14">
      <c r="N234" s="60" t="str">
        <f>IF(Calcul!$AB$2=1,IPE!B232,IF(Calcul!$AB$2=2,IPN!B232,IF(Calcul!$AB$2=3,HE!B232,IF(Calcul!$AB$2=4,HD!B232,IF(Calcul!$AB$2=5,CHS!B232,IF(Calcul!$AB$2=6,RHS!B232,IF(Calcul!$AB$2=7,Custom!B232,0)))))))</f>
        <v>-</v>
      </c>
    </row>
    <row r="235" spans="14:14">
      <c r="N235" s="60" t="str">
        <f>IF(Calcul!$AB$2=1,IPE!B233,IF(Calcul!$AB$2=2,IPN!B233,IF(Calcul!$AB$2=3,HE!B233,IF(Calcul!$AB$2=4,HD!B233,IF(Calcul!$AB$2=5,CHS!B233,IF(Calcul!$AB$2=6,RHS!B233,IF(Calcul!$AB$2=7,Custom!B233,0)))))))</f>
        <v>-</v>
      </c>
    </row>
    <row r="236" spans="14:14">
      <c r="N236" s="60" t="str">
        <f>IF(Calcul!$AB$2=1,IPE!B234,IF(Calcul!$AB$2=2,IPN!B234,IF(Calcul!$AB$2=3,HE!B234,IF(Calcul!$AB$2=4,HD!B234,IF(Calcul!$AB$2=5,CHS!B234,IF(Calcul!$AB$2=6,RHS!B234,IF(Calcul!$AB$2=7,Custom!B234,0)))))))</f>
        <v>-</v>
      </c>
    </row>
    <row r="237" spans="14:14">
      <c r="N237" s="60" t="str">
        <f>IF(Calcul!$AB$2=1,IPE!B235,IF(Calcul!$AB$2=2,IPN!B235,IF(Calcul!$AB$2=3,HE!B235,IF(Calcul!$AB$2=4,HD!B235,IF(Calcul!$AB$2=5,CHS!B235,IF(Calcul!$AB$2=6,RHS!B235,IF(Calcul!$AB$2=7,Custom!B235,0)))))))</f>
        <v>-</v>
      </c>
    </row>
    <row r="238" spans="14:14">
      <c r="N238" s="60" t="str">
        <f>IF(Calcul!$AB$2=1,IPE!B236,IF(Calcul!$AB$2=2,IPN!B236,IF(Calcul!$AB$2=3,HE!B236,IF(Calcul!$AB$2=4,HD!B236,IF(Calcul!$AB$2=5,CHS!B236,IF(Calcul!$AB$2=6,RHS!B236,IF(Calcul!$AB$2=7,Custom!B236,0)))))))</f>
        <v>-</v>
      </c>
    </row>
    <row r="239" spans="14:14">
      <c r="N239" s="60" t="str">
        <f>IF(Calcul!$AB$2=1,IPE!B237,IF(Calcul!$AB$2=2,IPN!B237,IF(Calcul!$AB$2=3,HE!B237,IF(Calcul!$AB$2=4,HD!B237,IF(Calcul!$AB$2=5,CHS!B237,IF(Calcul!$AB$2=6,RHS!B237,IF(Calcul!$AB$2=7,Custom!B237,0)))))))</f>
        <v>-</v>
      </c>
    </row>
    <row r="240" spans="14:14">
      <c r="N240" s="60" t="str">
        <f>IF(Calcul!$AB$2=1,IPE!B238,IF(Calcul!$AB$2=2,IPN!B238,IF(Calcul!$AB$2=3,HE!B238,IF(Calcul!$AB$2=4,HD!B238,IF(Calcul!$AB$2=5,CHS!B238,IF(Calcul!$AB$2=6,RHS!B238,IF(Calcul!$AB$2=7,Custom!B238,0)))))))</f>
        <v>-</v>
      </c>
    </row>
    <row r="241" spans="14:14">
      <c r="N241" s="60" t="str">
        <f>IF(Calcul!$AB$2=1,IPE!B239,IF(Calcul!$AB$2=2,IPN!B239,IF(Calcul!$AB$2=3,HE!B239,IF(Calcul!$AB$2=4,HD!B239,IF(Calcul!$AB$2=5,CHS!B239,IF(Calcul!$AB$2=6,RHS!B239,IF(Calcul!$AB$2=7,Custom!B239,0)))))))</f>
        <v>-</v>
      </c>
    </row>
    <row r="242" spans="14:14">
      <c r="N242" s="60" t="str">
        <f>IF(Calcul!$AB$2=1,IPE!B240,IF(Calcul!$AB$2=2,IPN!B240,IF(Calcul!$AB$2=3,HE!B240,IF(Calcul!$AB$2=4,HD!B240,IF(Calcul!$AB$2=5,CHS!B240,IF(Calcul!$AB$2=6,RHS!B240,IF(Calcul!$AB$2=7,Custom!B240,0)))))))</f>
        <v>-</v>
      </c>
    </row>
    <row r="243" spans="14:14">
      <c r="N243" s="60" t="str">
        <f>IF(Calcul!$AB$2=1,IPE!B241,IF(Calcul!$AB$2=2,IPN!B241,IF(Calcul!$AB$2=3,HE!B241,IF(Calcul!$AB$2=4,HD!B241,IF(Calcul!$AB$2=5,CHS!B241,IF(Calcul!$AB$2=6,RHS!B241,IF(Calcul!$AB$2=7,Custom!B241,0)))))))</f>
        <v>-</v>
      </c>
    </row>
    <row r="244" spans="14:14">
      <c r="N244" s="60" t="str">
        <f>IF(Calcul!$AB$2=1,IPE!B242,IF(Calcul!$AB$2=2,IPN!B242,IF(Calcul!$AB$2=3,HE!B242,IF(Calcul!$AB$2=4,HD!B242,IF(Calcul!$AB$2=5,CHS!B242,IF(Calcul!$AB$2=6,RHS!B242,IF(Calcul!$AB$2=7,Custom!B242,0)))))))</f>
        <v>-</v>
      </c>
    </row>
    <row r="245" spans="14:14">
      <c r="N245" s="60" t="str">
        <f>IF(Calcul!$AB$2=1,IPE!B243,IF(Calcul!$AB$2=2,IPN!B243,IF(Calcul!$AB$2=3,HE!B243,IF(Calcul!$AB$2=4,HD!B243,IF(Calcul!$AB$2=5,CHS!B243,IF(Calcul!$AB$2=6,RHS!B243,IF(Calcul!$AB$2=7,Custom!B243,0)))))))</f>
        <v>-</v>
      </c>
    </row>
    <row r="246" spans="14:14">
      <c r="N246" s="60" t="str">
        <f>IF(Calcul!$AB$2=1,IPE!B244,IF(Calcul!$AB$2=2,IPN!B244,IF(Calcul!$AB$2=3,HE!B244,IF(Calcul!$AB$2=4,HD!B244,IF(Calcul!$AB$2=5,CHS!B244,IF(Calcul!$AB$2=6,RHS!B244,IF(Calcul!$AB$2=7,Custom!B244,0)))))))</f>
        <v>-</v>
      </c>
    </row>
    <row r="247" spans="14:14">
      <c r="N247" s="60" t="str">
        <f>IF(Calcul!$AB$2=1,IPE!B245,IF(Calcul!$AB$2=2,IPN!B245,IF(Calcul!$AB$2=3,HE!B245,IF(Calcul!$AB$2=4,HD!B245,IF(Calcul!$AB$2=5,CHS!B245,IF(Calcul!$AB$2=6,RHS!B245,IF(Calcul!$AB$2=7,Custom!B245,0)))))))</f>
        <v>-</v>
      </c>
    </row>
    <row r="248" spans="14:14">
      <c r="N248" s="60" t="str">
        <f>IF(Calcul!$AB$2=1,IPE!B246,IF(Calcul!$AB$2=2,IPN!B246,IF(Calcul!$AB$2=3,HE!B246,IF(Calcul!$AB$2=4,HD!B246,IF(Calcul!$AB$2=5,CHS!B246,IF(Calcul!$AB$2=6,RHS!B246,IF(Calcul!$AB$2=7,Custom!B246,0)))))))</f>
        <v>-</v>
      </c>
    </row>
    <row r="249" spans="14:14">
      <c r="N249" s="60" t="str">
        <f>IF(Calcul!$AB$2=1,IPE!B247,IF(Calcul!$AB$2=2,IPN!B247,IF(Calcul!$AB$2=3,HE!B247,IF(Calcul!$AB$2=4,HD!B247,IF(Calcul!$AB$2=5,CHS!B247,IF(Calcul!$AB$2=6,RHS!B247,IF(Calcul!$AB$2=7,Custom!B247,0)))))))</f>
        <v>-</v>
      </c>
    </row>
    <row r="250" spans="14:14">
      <c r="N250" s="60" t="str">
        <f>IF(Calcul!$AB$2=1,IPE!B248,IF(Calcul!$AB$2=2,IPN!B248,IF(Calcul!$AB$2=3,HE!B248,IF(Calcul!$AB$2=4,HD!B248,IF(Calcul!$AB$2=5,CHS!B248,IF(Calcul!$AB$2=6,RHS!B248,IF(Calcul!$AB$2=7,Custom!B248,0)))))))</f>
        <v>-</v>
      </c>
    </row>
    <row r="251" spans="14:14">
      <c r="N251" s="60" t="str">
        <f>IF(Calcul!$AB$2=1,IPE!B249,IF(Calcul!$AB$2=2,IPN!B249,IF(Calcul!$AB$2=3,HE!B249,IF(Calcul!$AB$2=4,HD!B249,IF(Calcul!$AB$2=5,CHS!B249,IF(Calcul!$AB$2=6,RHS!B249,IF(Calcul!$AB$2=7,Custom!B249,0)))))))</f>
        <v>-</v>
      </c>
    </row>
    <row r="252" spans="14:14">
      <c r="N252" s="60" t="str">
        <f>IF(Calcul!$AB$2=1,IPE!B250,IF(Calcul!$AB$2=2,IPN!B250,IF(Calcul!$AB$2=3,HE!B250,IF(Calcul!$AB$2=4,HD!B250,IF(Calcul!$AB$2=5,CHS!B250,IF(Calcul!$AB$2=6,RHS!B250,IF(Calcul!$AB$2=7,Custom!B250,0)))))))</f>
        <v>-</v>
      </c>
    </row>
    <row r="253" spans="14:14">
      <c r="N253" s="60" t="str">
        <f>IF(Calcul!$AB$2=1,IPE!B251,IF(Calcul!$AB$2=2,IPN!B251,IF(Calcul!$AB$2=3,HE!B251,IF(Calcul!$AB$2=4,HD!B251,IF(Calcul!$AB$2=5,CHS!B251,IF(Calcul!$AB$2=6,RHS!B251,IF(Calcul!$AB$2=7,Custom!B251,0)))))))</f>
        <v>-</v>
      </c>
    </row>
    <row r="254" spans="14:14">
      <c r="N254" s="60" t="str">
        <f>IF(Calcul!$AB$2=1,IPE!B252,IF(Calcul!$AB$2=2,IPN!B252,IF(Calcul!$AB$2=3,HE!B252,IF(Calcul!$AB$2=4,HD!B252,IF(Calcul!$AB$2=5,CHS!B252,IF(Calcul!$AB$2=6,RHS!B252,IF(Calcul!$AB$2=7,Custom!B252,0)))))))</f>
        <v>-</v>
      </c>
    </row>
    <row r="255" spans="14:14">
      <c r="N255" s="60" t="str">
        <f>IF(Calcul!$AB$2=1,IPE!B253,IF(Calcul!$AB$2=2,IPN!B253,IF(Calcul!$AB$2=3,HE!B253,IF(Calcul!$AB$2=4,HD!B253,IF(Calcul!$AB$2=5,CHS!B253,IF(Calcul!$AB$2=6,RHS!B253,IF(Calcul!$AB$2=7,Custom!B253,0)))))))</f>
        <v>-</v>
      </c>
    </row>
    <row r="256" spans="14:14">
      <c r="N256" s="60" t="str">
        <f>IF(Calcul!$AB$2=1,IPE!B254,IF(Calcul!$AB$2=2,IPN!B254,IF(Calcul!$AB$2=3,HE!B254,IF(Calcul!$AB$2=4,HD!B254,IF(Calcul!$AB$2=5,CHS!B254,IF(Calcul!$AB$2=6,RHS!B254,IF(Calcul!$AB$2=7,Custom!B254,0)))))))</f>
        <v>-</v>
      </c>
    </row>
    <row r="257" spans="14:14">
      <c r="N257" s="60" t="str">
        <f>IF(Calcul!$AB$2=1,IPE!B255,IF(Calcul!$AB$2=2,IPN!B255,IF(Calcul!$AB$2=3,HE!B255,IF(Calcul!$AB$2=4,HD!B255,IF(Calcul!$AB$2=5,CHS!B255,IF(Calcul!$AB$2=6,RHS!B255,IF(Calcul!$AB$2=7,Custom!B255,0)))))))</f>
        <v>-</v>
      </c>
    </row>
    <row r="258" spans="14:14">
      <c r="N258" s="60" t="str">
        <f>IF(Calcul!$AB$2=1,IPE!B256,IF(Calcul!$AB$2=2,IPN!B256,IF(Calcul!$AB$2=3,HE!B256,IF(Calcul!$AB$2=4,HD!B256,IF(Calcul!$AB$2=5,CHS!B256,IF(Calcul!$AB$2=6,RHS!B256,IF(Calcul!$AB$2=7,Custom!B256,0)))))))</f>
        <v>-</v>
      </c>
    </row>
    <row r="259" spans="14:14">
      <c r="N259" s="60" t="str">
        <f>IF(Calcul!$AB$2=1,IPE!B257,IF(Calcul!$AB$2=2,IPN!B257,IF(Calcul!$AB$2=3,HE!B257,IF(Calcul!$AB$2=4,HD!B257,IF(Calcul!$AB$2=5,CHS!B257,IF(Calcul!$AB$2=6,RHS!B257,IF(Calcul!$AB$2=7,Custom!B257,0)))))))</f>
        <v>-</v>
      </c>
    </row>
    <row r="260" spans="14:14">
      <c r="N260" s="60" t="str">
        <f>IF(Calcul!$AB$2=1,IPE!B258,IF(Calcul!$AB$2=2,IPN!B258,IF(Calcul!$AB$2=3,HE!B258,IF(Calcul!$AB$2=4,HD!B258,IF(Calcul!$AB$2=5,CHS!B258,IF(Calcul!$AB$2=6,RHS!B258,IF(Calcul!$AB$2=7,Custom!B258,0)))))))</f>
        <v>-</v>
      </c>
    </row>
    <row r="261" spans="14:14">
      <c r="N261" s="60" t="str">
        <f>IF(Calcul!$AB$2=1,IPE!B259,IF(Calcul!$AB$2=2,IPN!B259,IF(Calcul!$AB$2=3,HE!B259,IF(Calcul!$AB$2=4,HD!B259,IF(Calcul!$AB$2=5,CHS!B259,IF(Calcul!$AB$2=6,RHS!B259,IF(Calcul!$AB$2=7,Custom!B259,0)))))))</f>
        <v>-</v>
      </c>
    </row>
    <row r="262" spans="14:14">
      <c r="N262" s="60" t="str">
        <f>IF(Calcul!$AB$2=1,IPE!B260,IF(Calcul!$AB$2=2,IPN!B260,IF(Calcul!$AB$2=3,HE!B260,IF(Calcul!$AB$2=4,HD!B260,IF(Calcul!$AB$2=5,CHS!B260,IF(Calcul!$AB$2=6,RHS!B260,IF(Calcul!$AB$2=7,Custom!B260,0)))))))</f>
        <v>-</v>
      </c>
    </row>
    <row r="263" spans="14:14">
      <c r="N263" s="60" t="str">
        <f>IF(Calcul!$AB$2=1,IPE!B261,IF(Calcul!$AB$2=2,IPN!B261,IF(Calcul!$AB$2=3,HE!B261,IF(Calcul!$AB$2=4,HD!B261,IF(Calcul!$AB$2=5,CHS!B261,IF(Calcul!$AB$2=6,RHS!B261,IF(Calcul!$AB$2=7,Custom!B261,0)))))))</f>
        <v>-</v>
      </c>
    </row>
    <row r="264" spans="14:14">
      <c r="N264" s="60" t="str">
        <f>IF(Calcul!$AB$2=1,IPE!B262,IF(Calcul!$AB$2=2,IPN!B262,IF(Calcul!$AB$2=3,HE!B262,IF(Calcul!$AB$2=4,HD!B262,IF(Calcul!$AB$2=5,CHS!B262,IF(Calcul!$AB$2=6,RHS!B262,IF(Calcul!$AB$2=7,Custom!B262,0)))))))</f>
        <v>-</v>
      </c>
    </row>
    <row r="265" spans="14:14">
      <c r="N265" s="60" t="str">
        <f>IF(Calcul!$AB$2=1,IPE!B263,IF(Calcul!$AB$2=2,IPN!B263,IF(Calcul!$AB$2=3,HE!B263,IF(Calcul!$AB$2=4,HD!B263,IF(Calcul!$AB$2=5,CHS!B263,IF(Calcul!$AB$2=6,RHS!B263,IF(Calcul!$AB$2=7,Custom!B263,0)))))))</f>
        <v>-</v>
      </c>
    </row>
    <row r="266" spans="14:14">
      <c r="N266" s="60" t="str">
        <f>IF(Calcul!$AB$2=1,IPE!B264,IF(Calcul!$AB$2=2,IPN!B264,IF(Calcul!$AB$2=3,HE!B264,IF(Calcul!$AB$2=4,HD!B264,IF(Calcul!$AB$2=5,CHS!B264,IF(Calcul!$AB$2=6,RHS!B264,IF(Calcul!$AB$2=7,Custom!B264,0)))))))</f>
        <v>-</v>
      </c>
    </row>
    <row r="267" spans="14:14">
      <c r="N267" s="60" t="str">
        <f>IF(Calcul!$AB$2=1,IPE!B265,IF(Calcul!$AB$2=2,IPN!B265,IF(Calcul!$AB$2=3,HE!B265,IF(Calcul!$AB$2=4,HD!B265,IF(Calcul!$AB$2=5,CHS!B265,IF(Calcul!$AB$2=6,RHS!B265,IF(Calcul!$AB$2=7,Custom!B265,0)))))))</f>
        <v>-</v>
      </c>
    </row>
    <row r="268" spans="14:14">
      <c r="N268" s="60" t="str">
        <f>IF(Calcul!$AB$2=1,IPE!B266,IF(Calcul!$AB$2=2,IPN!B266,IF(Calcul!$AB$2=3,HE!B266,IF(Calcul!$AB$2=4,HD!B266,IF(Calcul!$AB$2=5,CHS!B266,IF(Calcul!$AB$2=6,RHS!B266,IF(Calcul!$AB$2=7,Custom!B266,0)))))))</f>
        <v>-</v>
      </c>
    </row>
    <row r="269" spans="14:14">
      <c r="N269" s="60" t="str">
        <f>IF(Calcul!$AB$2=1,IPE!B267,IF(Calcul!$AB$2=2,IPN!B267,IF(Calcul!$AB$2=3,HE!B267,IF(Calcul!$AB$2=4,HD!B267,IF(Calcul!$AB$2=5,CHS!B267,IF(Calcul!$AB$2=6,RHS!B267,IF(Calcul!$AB$2=7,Custom!B267,0)))))))</f>
        <v>-</v>
      </c>
    </row>
    <row r="270" spans="14:14">
      <c r="N270" s="60" t="str">
        <f>IF(Calcul!$AB$2=1,IPE!B268,IF(Calcul!$AB$2=2,IPN!B268,IF(Calcul!$AB$2=3,HE!B268,IF(Calcul!$AB$2=4,HD!B268,IF(Calcul!$AB$2=5,CHS!B268,IF(Calcul!$AB$2=6,RHS!B268,IF(Calcul!$AB$2=7,Custom!B268,0)))))))</f>
        <v>-</v>
      </c>
    </row>
    <row r="271" spans="14:14">
      <c r="N271" s="60" t="str">
        <f>IF(Calcul!$AB$2=1,IPE!B269,IF(Calcul!$AB$2=2,IPN!B269,IF(Calcul!$AB$2=3,HE!B269,IF(Calcul!$AB$2=4,HD!B269,IF(Calcul!$AB$2=5,CHS!B269,IF(Calcul!$AB$2=6,RHS!B269,IF(Calcul!$AB$2=7,Custom!B269,0)))))))</f>
        <v>-</v>
      </c>
    </row>
    <row r="272" spans="14:14">
      <c r="N272" s="60" t="str">
        <f>IF(Calcul!$AB$2=1,IPE!B270,IF(Calcul!$AB$2=2,IPN!B270,IF(Calcul!$AB$2=3,HE!B270,IF(Calcul!$AB$2=4,HD!B270,IF(Calcul!$AB$2=5,CHS!B270,IF(Calcul!$AB$2=6,RHS!B270,IF(Calcul!$AB$2=7,Custom!B270,0)))))))</f>
        <v>-</v>
      </c>
    </row>
    <row r="273" spans="14:14">
      <c r="N273" s="60" t="str">
        <f>IF(Calcul!$AB$2=1,IPE!B271,IF(Calcul!$AB$2=2,IPN!B271,IF(Calcul!$AB$2=3,HE!B271,IF(Calcul!$AB$2=4,HD!B271,IF(Calcul!$AB$2=5,CHS!B271,IF(Calcul!$AB$2=6,RHS!B271,IF(Calcul!$AB$2=7,Custom!B271,0)))))))</f>
        <v>-</v>
      </c>
    </row>
    <row r="274" spans="14:14">
      <c r="N274" s="60" t="str">
        <f>IF(Calcul!$AB$2=1,IPE!B272,IF(Calcul!$AB$2=2,IPN!B272,IF(Calcul!$AB$2=3,HE!B272,IF(Calcul!$AB$2=4,HD!B272,IF(Calcul!$AB$2=5,CHS!B272,IF(Calcul!$AB$2=6,RHS!B272,IF(Calcul!$AB$2=7,Custom!B272,0)))))))</f>
        <v>-</v>
      </c>
    </row>
    <row r="275" spans="14:14">
      <c r="N275" s="60" t="str">
        <f>IF(Calcul!$AB$2=1,IPE!B273,IF(Calcul!$AB$2=2,IPN!B273,IF(Calcul!$AB$2=3,HE!B273,IF(Calcul!$AB$2=4,HD!B273,IF(Calcul!$AB$2=5,CHS!B273,IF(Calcul!$AB$2=6,RHS!B273,IF(Calcul!$AB$2=7,Custom!B273,0)))))))</f>
        <v>-</v>
      </c>
    </row>
    <row r="276" spans="14:14">
      <c r="N276" s="60" t="str">
        <f>IF(Calcul!$AB$2=1,IPE!B274,IF(Calcul!$AB$2=2,IPN!B274,IF(Calcul!$AB$2=3,HE!B274,IF(Calcul!$AB$2=4,HD!B274,IF(Calcul!$AB$2=5,CHS!B274,IF(Calcul!$AB$2=6,RHS!B274,IF(Calcul!$AB$2=7,Custom!B274,0)))))))</f>
        <v>-</v>
      </c>
    </row>
    <row r="277" spans="14:14">
      <c r="N277" s="60" t="str">
        <f>IF(Calcul!$AB$2=1,IPE!B275,IF(Calcul!$AB$2=2,IPN!B275,IF(Calcul!$AB$2=3,HE!B275,IF(Calcul!$AB$2=4,HD!B275,IF(Calcul!$AB$2=5,CHS!B275,IF(Calcul!$AB$2=6,RHS!B275,IF(Calcul!$AB$2=7,Custom!B275,0)))))))</f>
        <v>-</v>
      </c>
    </row>
    <row r="278" spans="14:14">
      <c r="N278" s="60" t="str">
        <f>IF(Calcul!$AB$2=1,IPE!B276,IF(Calcul!$AB$2=2,IPN!B276,IF(Calcul!$AB$2=3,HE!B276,IF(Calcul!$AB$2=4,HD!B276,IF(Calcul!$AB$2=5,CHS!B276,IF(Calcul!$AB$2=6,RHS!B276,IF(Calcul!$AB$2=7,Custom!B276,0)))))))</f>
        <v>-</v>
      </c>
    </row>
    <row r="279" spans="14:14">
      <c r="N279" s="60" t="str">
        <f>IF(Calcul!$AB$2=1,IPE!B277,IF(Calcul!$AB$2=2,IPN!B277,IF(Calcul!$AB$2=3,HE!B277,IF(Calcul!$AB$2=4,HD!B277,IF(Calcul!$AB$2=5,CHS!B277,IF(Calcul!$AB$2=6,RHS!B277,IF(Calcul!$AB$2=7,Custom!B277,0)))))))</f>
        <v>-</v>
      </c>
    </row>
    <row r="280" spans="14:14">
      <c r="N280" s="60" t="str">
        <f>IF(Calcul!$AB$2=1,IPE!B278,IF(Calcul!$AB$2=2,IPN!B278,IF(Calcul!$AB$2=3,HE!B278,IF(Calcul!$AB$2=4,HD!B278,IF(Calcul!$AB$2=5,CHS!B278,IF(Calcul!$AB$2=6,RHS!B278,IF(Calcul!$AB$2=7,Custom!B278,0)))))))</f>
        <v>-</v>
      </c>
    </row>
    <row r="281" spans="14:14">
      <c r="N281" s="60" t="str">
        <f>IF(Calcul!$AB$2=1,IPE!B279,IF(Calcul!$AB$2=2,IPN!B279,IF(Calcul!$AB$2=3,HE!B279,IF(Calcul!$AB$2=4,HD!B279,IF(Calcul!$AB$2=5,CHS!B279,IF(Calcul!$AB$2=6,RHS!B313,IF(Calcul!$AB$2=7,Custom!B279,0)))))))</f>
        <v>-</v>
      </c>
    </row>
    <row r="282" spans="14:14">
      <c r="N282" s="60" t="str">
        <f>IF(Calcul!$AB$2=1,IPE!B280,IF(Calcul!$AB$2=2,IPN!B280,IF(Calcul!$AB$2=3,HE!B280,IF(Calcul!$AB$2=4,HD!B280,IF(Calcul!$AB$2=5,CHS!B280,IF(Calcul!$AB$2=6,RHS!B314,IF(Calcul!$AB$2=7,Custom!B280,0)))))))</f>
        <v>-</v>
      </c>
    </row>
    <row r="283" spans="14:14">
      <c r="N283" s="60" t="str">
        <f>IF(Calcul!$AB$2=1,IPE!B281,IF(Calcul!$AB$2=2,IPN!B281,IF(Calcul!$AB$2=3,HE!B281,IF(Calcul!$AB$2=4,HD!B281,IF(Calcul!$AB$2=5,CHS!B281,IF(Calcul!$AB$2=6,RHS!B315,IF(Calcul!$AB$2=7,Custom!B281,0)))))))</f>
        <v>-</v>
      </c>
    </row>
    <row r="284" spans="14:14">
      <c r="N284" s="60" t="str">
        <f>IF(Calcul!$AB$2=1,IPE!B282,IF(Calcul!$AB$2=2,IPN!B282,IF(Calcul!$AB$2=3,HE!B282,IF(Calcul!$AB$2=4,HD!B282,IF(Calcul!$AB$2=5,CHS!B282,IF(Calcul!$AB$2=6,RHS!B316,IF(Calcul!$AB$2=7,Custom!B282,0)))))))</f>
        <v>-</v>
      </c>
    </row>
    <row r="285" spans="14:14">
      <c r="N285" s="60" t="str">
        <f>IF(Calcul!$AB$2=1,IPE!B283,IF(Calcul!$AB$2=2,IPN!B283,IF(Calcul!$AB$2=3,HE!B283,IF(Calcul!$AB$2=4,HD!B283,IF(Calcul!$AB$2=5,CHS!B283,IF(Calcul!$AB$2=6,RHS!B317,IF(Calcul!$AB$2=7,Custom!B283,0)))))))</f>
        <v>-</v>
      </c>
    </row>
    <row r="286" spans="14:14">
      <c r="N286" s="60" t="str">
        <f>IF(Calcul!$AB$2=1,IPE!B284,IF(Calcul!$AB$2=2,IPN!B284,IF(Calcul!$AB$2=3,HE!B284,IF(Calcul!$AB$2=4,HD!B284,IF(Calcul!$AB$2=5,CHS!B284,IF(Calcul!$AB$2=6,RHS!B318,IF(Calcul!$AB$2=7,Custom!B284,0)))))))</f>
        <v>-</v>
      </c>
    </row>
    <row r="287" spans="14:14">
      <c r="N287" s="60" t="str">
        <f>IF(Calcul!$AB$2=1,IPE!B285,IF(Calcul!$AB$2=2,IPN!B285,IF(Calcul!$AB$2=3,HE!B285,IF(Calcul!$AB$2=4,HD!B285,IF(Calcul!$AB$2=5,CHS!B285,IF(Calcul!$AB$2=6,RHS!B319,IF(Calcul!$AB$2=7,Custom!B285,0)))))))</f>
        <v>-</v>
      </c>
    </row>
    <row r="288" spans="14:14">
      <c r="N288" s="60" t="str">
        <f>IF(Calcul!$AB$2=1,IPE!B286,IF(Calcul!$AB$2=2,IPN!B286,IF(Calcul!$AB$2=3,HE!B286,IF(Calcul!$AB$2=4,HD!B286,IF(Calcul!$AB$2=5,CHS!B286,IF(Calcul!$AB$2=6,RHS!B320,IF(Calcul!$AB$2=7,Custom!B286,0)))))))</f>
        <v>-</v>
      </c>
    </row>
    <row r="289" spans="14:14">
      <c r="N289" s="60" t="str">
        <f>IF(Calcul!$AB$2=1,IPE!B287,IF(Calcul!$AB$2=2,IPN!B287,IF(Calcul!$AB$2=3,HE!B287,IF(Calcul!$AB$2=4,HD!B287,IF(Calcul!$AB$2=5,CHS!B287,IF(Calcul!$AB$2=6,RHS!B321,IF(Calcul!$AB$2=7,Custom!B287,0)))))))</f>
        <v>-</v>
      </c>
    </row>
    <row r="290" spans="14:14">
      <c r="N290" s="60" t="str">
        <f>IF(Calcul!$AB$2=1,IPE!B288,IF(Calcul!$AB$2=2,IPN!B288,IF(Calcul!$AB$2=3,HE!B288,IF(Calcul!$AB$2=4,HD!B288,IF(Calcul!$AB$2=5,CHS!B288,IF(Calcul!$AB$2=6,RHS!B322,IF(Calcul!$AB$2=7,Custom!B288,0)))))))</f>
        <v>-</v>
      </c>
    </row>
    <row r="291" spans="14:14">
      <c r="N291" s="60" t="str">
        <f>IF(Calcul!$AB$2=1,IPE!B289,IF(Calcul!$AB$2=2,IPN!B289,IF(Calcul!$AB$2=3,HE!B289,IF(Calcul!$AB$2=4,HD!B289,IF(Calcul!$AB$2=5,CHS!B289,IF(Calcul!$AB$2=6,RHS!B323,IF(Calcul!$AB$2=7,Custom!B289,0)))))))</f>
        <v>-</v>
      </c>
    </row>
    <row r="292" spans="14:14">
      <c r="N292" s="60" t="str">
        <f>IF(Calcul!$AB$2=1,IPE!B290,IF(Calcul!$AB$2=2,IPN!B290,IF(Calcul!$AB$2=3,HE!B290,IF(Calcul!$AB$2=4,HD!B290,IF(Calcul!$AB$2=5,CHS!B290,IF(Calcul!$AB$2=6,RHS!B324,IF(Calcul!$AB$2=7,Custom!B290,0)))))))</f>
        <v>-</v>
      </c>
    </row>
    <row r="293" spans="14:14">
      <c r="N293" s="60" t="str">
        <f>IF(Calcul!$AB$2=1,IPE!B291,IF(Calcul!$AB$2=2,IPN!B291,IF(Calcul!$AB$2=3,HE!B291,IF(Calcul!$AB$2=4,HD!B291,IF(Calcul!$AB$2=5,CHS!B291,IF(Calcul!$AB$2=6,RHS!B99,IF(Calcul!$AB$2=7,Custom!B291,0)))))))</f>
        <v>-</v>
      </c>
    </row>
    <row r="294" spans="14:14">
      <c r="N294" s="60" t="str">
        <f>IF(Calcul!$AB$2=1,IPE!B292,IF(Calcul!$AB$2=2,IPN!B292,IF(Calcul!$AB$2=3,HE!B292,IF(Calcul!$AB$2=4,HD!B292,IF(Calcul!$AB$2=5,CHS!B292,IF(Calcul!$AB$2=6,RHS!B100,IF(Calcul!$AB$2=7,Custom!B292,0)))))))</f>
        <v>-</v>
      </c>
    </row>
    <row r="295" spans="14:14">
      <c r="N295" s="60" t="str">
        <f>IF(Calcul!$AB$2=1,IPE!B293,IF(Calcul!$AB$2=2,IPN!B293,IF(Calcul!$AB$2=3,HE!B293,IF(Calcul!$AB$2=4,HD!B293,IF(Calcul!$AB$2=5,CHS!B293,IF(Calcul!$AB$2=6,RHS!B101,IF(Calcul!$AB$2=7,Custom!B293,0)))))))</f>
        <v>-</v>
      </c>
    </row>
    <row r="296" spans="14:14">
      <c r="N296" s="60" t="str">
        <f>IF(Calcul!$AB$2=1,IPE!B294,IF(Calcul!$AB$2=2,IPN!B294,IF(Calcul!$AB$2=3,HE!B294,IF(Calcul!$AB$2=4,HD!B294,IF(Calcul!$AB$2=5,CHS!B294,IF(Calcul!$AB$2=6,RHS!B102,IF(Calcul!$AB$2=7,Custom!B294,0)))))))</f>
        <v>-</v>
      </c>
    </row>
    <row r="297" spans="14:14">
      <c r="N297" s="60" t="str">
        <f>IF(Calcul!$AB$2=1,IPE!B295,IF(Calcul!$AB$2=2,IPN!B295,IF(Calcul!$AB$2=3,HE!B295,IF(Calcul!$AB$2=4,HD!B295,IF(Calcul!$AB$2=5,CHS!B295,IF(Calcul!$AB$2=6,RHS!B103,IF(Calcul!$AB$2=7,Custom!B295,0)))))))</f>
        <v>-</v>
      </c>
    </row>
    <row r="298" spans="14:14">
      <c r="N298" s="60" t="str">
        <f>IF(Calcul!$AB$2=1,IPE!B296,IF(Calcul!$AB$2=2,IPN!B296,IF(Calcul!$AB$2=3,HE!B296,IF(Calcul!$AB$2=4,HD!B296,IF(Calcul!$AB$2=5,CHS!B296,IF(Calcul!$AB$2=6,RHS!B104,IF(Calcul!$AB$2=7,Custom!B296,0)))))))</f>
        <v>-</v>
      </c>
    </row>
    <row r="299" spans="14:14">
      <c r="N299" s="60" t="str">
        <f>IF(Calcul!$AB$2=1,IPE!B297,IF(Calcul!$AB$2=2,IPN!B297,IF(Calcul!$AB$2=3,HE!B297,IF(Calcul!$AB$2=4,HD!B297,IF(Calcul!$AB$2=5,CHS!B297,IF(Calcul!$AB$2=6,RHS!B105,IF(Calcul!$AB$2=7,Custom!B297,0)))))))</f>
        <v>-</v>
      </c>
    </row>
    <row r="300" spans="14:14">
      <c r="N300" s="60" t="str">
        <f>IF(Calcul!$AB$2=1,IPE!B298,IF(Calcul!$AB$2=2,IPN!B298,IF(Calcul!$AB$2=3,HE!B298,IF(Calcul!$AB$2=4,HD!B298,IF(Calcul!$AB$2=5,CHS!B298,IF(Calcul!$AB$2=6,RHS!B106,IF(Calcul!$AB$2=7,Custom!B298,0)))))))</f>
        <v>-</v>
      </c>
    </row>
    <row r="301" spans="14:14">
      <c r="N301" s="60" t="str">
        <f>IF(Calcul!$AB$2=1,IPE!B299,IF(Calcul!$AB$2=2,IPN!B299,IF(Calcul!$AB$2=3,HE!B299,IF(Calcul!$AB$2=4,HD!B299,IF(Calcul!$AB$2=5,CHS!B299,IF(Calcul!$AB$2=6,RHS!B107,IF(Calcul!$AB$2=7,Custom!B299,0)))))))</f>
        <v>-</v>
      </c>
    </row>
    <row r="302" spans="14:14">
      <c r="N302" s="60" t="str">
        <f>IF(Calcul!$AB$2=1,IPE!B300,IF(Calcul!$AB$2=2,IPN!B300,IF(Calcul!$AB$2=3,HE!B300,IF(Calcul!$AB$2=4,HD!B300,IF(Calcul!$AB$2=5,CHS!B300,IF(Calcul!$AB$2=6,RHS!B108,IF(Calcul!$AB$2=7,Custom!B300,0)))))))</f>
        <v>-</v>
      </c>
    </row>
    <row r="303" spans="14:14">
      <c r="N303" s="60" t="str">
        <f>IF(Calcul!$AB$2=1,IPE!B301,IF(Calcul!$AB$2=2,IPN!B301,IF(Calcul!$AB$2=3,HE!B301,IF(Calcul!$AB$2=4,HD!B301,IF(Calcul!$AB$2=5,CHS!B301,IF(Calcul!$AB$2=6,RHS!B109,IF(Calcul!$AB$2=7,Custom!B301,0)))))))</f>
        <v>-</v>
      </c>
    </row>
    <row r="304" spans="14:14">
      <c r="N304" s="60" t="str">
        <f>IF(Calcul!$AB$2=1,IPE!B302,IF(Calcul!$AB$2=2,IPN!B302,IF(Calcul!$AB$2=3,HE!B302,IF(Calcul!$AB$2=4,HD!B302,IF(Calcul!$AB$2=5,CHS!B302,IF(Calcul!$AB$2=6,RHS!B110,IF(Calcul!$AB$2=7,Custom!B302,0)))))))</f>
        <v>-</v>
      </c>
    </row>
    <row r="305" spans="14:14">
      <c r="N305" s="60" t="str">
        <f>IF(Calcul!$AB$2=1,IPE!B303,IF(Calcul!$AB$2=2,IPN!B303,IF(Calcul!$AB$2=3,HE!B303,IF(Calcul!$AB$2=4,HD!B303,IF(Calcul!$AB$2=5,CHS!B303,IF(Calcul!$AB$2=6,RHS!B111,IF(Calcul!$AB$2=7,Custom!B303,0)))))))</f>
        <v>-</v>
      </c>
    </row>
    <row r="306" spans="14:14">
      <c r="N306" s="60" t="str">
        <f>IF(Calcul!$AB$2=1,IPE!B304,IF(Calcul!$AB$2=2,IPN!B304,IF(Calcul!$AB$2=3,HE!B304,IF(Calcul!$AB$2=4,HD!B304,IF(Calcul!$AB$2=5,CHS!B304,IF(Calcul!$AB$2=6,RHS!B112,IF(Calcul!$AB$2=7,Custom!B304,0)))))))</f>
        <v>-</v>
      </c>
    </row>
    <row r="307" spans="14:14">
      <c r="N307" s="60" t="str">
        <f>IF(Calcul!$AB$2=1,IPE!B305,IF(Calcul!$AB$2=2,IPN!B305,IF(Calcul!$AB$2=3,HE!B305,IF(Calcul!$AB$2=4,HD!B305,IF(Calcul!$AB$2=5,CHS!B305,IF(Calcul!$AB$2=6,RHS!B113,IF(Calcul!$AB$2=7,Custom!B305,0)))))))</f>
        <v>-</v>
      </c>
    </row>
    <row r="308" spans="14:14">
      <c r="N308" s="60" t="str">
        <f>IF(Calcul!$AB$2=1,IPE!B306,IF(Calcul!$AB$2=2,IPN!B306,IF(Calcul!$AB$2=3,HE!B306,IF(Calcul!$AB$2=4,HD!B306,IF(Calcul!$AB$2=5,CHS!B306,IF(Calcul!$AB$2=6,RHS!B114,IF(Calcul!$AB$2=7,Custom!B306,0)))))))</f>
        <v>-</v>
      </c>
    </row>
    <row r="309" spans="14:14">
      <c r="N309" s="60" t="str">
        <f>IF(Calcul!$AB$2=1,IPE!B307,IF(Calcul!$AB$2=2,IPN!B307,IF(Calcul!$AB$2=3,HE!B307,IF(Calcul!$AB$2=4,HD!B307,IF(Calcul!$AB$2=5,CHS!B307,IF(Calcul!$AB$2=6,RHS!B115,IF(Calcul!$AB$2=7,Custom!B307,0)))))))</f>
        <v>-</v>
      </c>
    </row>
    <row r="310" spans="14:14">
      <c r="N310" s="60" t="str">
        <f>IF(Calcul!$AB$2=1,IPE!B308,IF(Calcul!$AB$2=2,IPN!B308,IF(Calcul!$AB$2=3,HE!B308,IF(Calcul!$AB$2=4,HD!B308,IF(Calcul!$AB$2=5,CHS!B308,IF(Calcul!$AB$2=6,RHS!B116,IF(Calcul!$AB$2=7,Custom!B308,0)))))))</f>
        <v>-</v>
      </c>
    </row>
    <row r="311" spans="14:14">
      <c r="N311" s="60" t="str">
        <f>IF(Calcul!$AB$2=1,IPE!B309,IF(Calcul!$AB$2=2,IPN!B309,IF(Calcul!$AB$2=3,HE!B309,IF(Calcul!$AB$2=4,HD!B309,IF(Calcul!$AB$2=5,CHS!B309,IF(Calcul!$AB$2=6,RHS!B117,IF(Calcul!$AB$2=7,Custom!B309,0)))))))</f>
        <v>-</v>
      </c>
    </row>
    <row r="312" spans="14:14">
      <c r="N312" s="60" t="str">
        <f>IF(Calcul!$AB$2=1,IPE!B310,IF(Calcul!$AB$2=2,IPN!B310,IF(Calcul!$AB$2=3,HE!B310,IF(Calcul!$AB$2=4,HD!B310,IF(Calcul!$AB$2=5,CHS!B310,IF(Calcul!$AB$2=6,RHS!B118,IF(Calcul!$AB$2=7,Custom!B310,0)))))))</f>
        <v>-</v>
      </c>
    </row>
    <row r="313" spans="14:14">
      <c r="N313" s="60" t="str">
        <f>IF(Calcul!$AB$2=1,IPE!B311,IF(Calcul!$AB$2=2,IPN!B311,IF(Calcul!$AB$2=3,HE!B311,IF(Calcul!$AB$2=4,HD!B311,IF(Calcul!$AB$2=5,CHS!B311,IF(Calcul!$AB$2=6,RHS!B119,IF(Calcul!$AB$2=7,Custom!B311,0)))))))</f>
        <v>-</v>
      </c>
    </row>
    <row r="314" spans="14:14">
      <c r="N314" s="60" t="str">
        <f>IF(Calcul!$AB$2=1,IPE!B312,IF(Calcul!$AB$2=2,IPN!B312,IF(Calcul!$AB$2=3,HE!B312,IF(Calcul!$AB$2=4,HD!B312,IF(Calcul!$AB$2=5,CHS!B312,IF(Calcul!$AB$2=6,RHS!B120,IF(Calcul!$AB$2=7,Custom!B312,0)))))))</f>
        <v>-</v>
      </c>
    </row>
    <row r="315" spans="14:14">
      <c r="N315" s="60" t="str">
        <f>IF(Calcul!$AB$2=1,IPE!B313,IF(Calcul!$AB$2=2,IPN!B313,IF(Calcul!$AB$2=3,HE!B313,IF(Calcul!$AB$2=4,HD!B313,IF(Calcul!$AB$2=5,CHS!B313,IF(Calcul!$AB$2=6,RHS!B121,IF(Calcul!$AB$2=7,Custom!B313,0)))))))</f>
        <v>-</v>
      </c>
    </row>
    <row r="316" spans="14:14">
      <c r="N316" s="60" t="str">
        <f>IF(Calcul!$AB$2=1,IPE!B314,IF(Calcul!$AB$2=2,IPN!B314,IF(Calcul!$AB$2=3,HE!B314,IF(Calcul!$AB$2=4,HD!B314,IF(Calcul!$AB$2=5,CHS!B314,IF(Calcul!$AB$2=6,RHS!B122,IF(Calcul!$AB$2=7,Custom!B314,0)))))))</f>
        <v>-</v>
      </c>
    </row>
    <row r="317" spans="14:14">
      <c r="N317" s="60" t="str">
        <f>IF(Calcul!$AB$2=1,IPE!B315,IF(Calcul!$AB$2=2,IPN!B315,IF(Calcul!$AB$2=3,HE!B315,IF(Calcul!$AB$2=4,HD!B315,IF(Calcul!$AB$2=5,CHS!B315,IF(Calcul!$AB$2=6,RHS!B123,IF(Calcul!$AB$2=7,Custom!B315,0)))))))</f>
        <v>-</v>
      </c>
    </row>
    <row r="318" spans="14:14">
      <c r="N318" s="60" t="str">
        <f>IF(Calcul!$AB$2=1,IPE!B316,IF(Calcul!$AB$2=2,IPN!B316,IF(Calcul!$AB$2=3,HE!B316,IF(Calcul!$AB$2=4,HD!B316,IF(Calcul!$AB$2=5,CHS!B316,IF(Calcul!$AB$2=6,RHS!B124,IF(Calcul!$AB$2=7,Custom!B316,0)))))))</f>
        <v>-</v>
      </c>
    </row>
    <row r="319" spans="14:14">
      <c r="N319" s="60" t="str">
        <f>IF(Calcul!$AB$2=1,IPE!B317,IF(Calcul!$AB$2=2,IPN!B317,IF(Calcul!$AB$2=3,HE!B317,IF(Calcul!$AB$2=4,HD!B317,IF(Calcul!$AB$2=5,CHS!B317,IF(Calcul!$AB$2=6,RHS!B125,IF(Calcul!$AB$2=7,Custom!B317,0)))))))</f>
        <v>-</v>
      </c>
    </row>
    <row r="320" spans="14:14">
      <c r="N320" s="60" t="str">
        <f>IF(Calcul!$AB$2=1,IPE!B318,IF(Calcul!$AB$2=2,IPN!B318,IF(Calcul!$AB$2=3,HE!B318,IF(Calcul!$AB$2=4,HD!B318,IF(Calcul!$AB$2=5,CHS!B318,IF(Calcul!$AB$2=6,RHS!B126,IF(Calcul!$AB$2=7,Custom!B318,0)))))))</f>
        <v>-</v>
      </c>
    </row>
    <row r="321" spans="14:14">
      <c r="N321" s="60" t="str">
        <f>IF(Calcul!$AB$2=1,IPE!B319,IF(Calcul!$AB$2=2,IPN!B319,IF(Calcul!$AB$2=3,HE!B319,IF(Calcul!$AB$2=4,HD!B319,IF(Calcul!$AB$2=5,CHS!B319,IF(Calcul!$AB$2=6,RHS!B127,IF(Calcul!$AB$2=7,Custom!B319,0)))))))</f>
        <v>-</v>
      </c>
    </row>
    <row r="322" spans="14:14">
      <c r="N322" s="60" t="str">
        <f>IF(Calcul!$AB$2=1,IPE!B320,IF(Calcul!$AB$2=2,IPN!B320,IF(Calcul!$AB$2=3,HE!B320,IF(Calcul!$AB$2=4,HD!B320,IF(Calcul!$AB$2=5,CHS!B320,IF(Calcul!$AB$2=6,RHS!B128,IF(Calcul!$AB$2=7,Custom!B320,0)))))))</f>
        <v>-</v>
      </c>
    </row>
    <row r="323" spans="14:14">
      <c r="N323" s="60" t="str">
        <f>IF(Calcul!$AB$2=1,IPE!B321,IF(Calcul!$AB$2=2,IPN!B321,IF(Calcul!$AB$2=3,HE!B321,IF(Calcul!$AB$2=4,HD!B321,IF(Calcul!$AB$2=5,CHS!B321,IF(Calcul!$AB$2=6,RHS!B129,IF(Calcul!$AB$2=7,Custom!B321,0)))))))</f>
        <v>-</v>
      </c>
    </row>
    <row r="324" spans="14:14">
      <c r="N324" s="60" t="str">
        <f>IF(Calcul!$AB$2=1,IPE!B322,IF(Calcul!$AB$2=2,IPN!B322,IF(Calcul!$AB$2=3,HE!B322,IF(Calcul!$AB$2=4,HD!B322,IF(Calcul!$AB$2=5,CHS!B322,IF(Calcul!$AB$2=6,RHS!B130,IF(Calcul!$AB$2=7,Custom!B322,0)))))))</f>
        <v>-</v>
      </c>
    </row>
    <row r="325" spans="14:14">
      <c r="N325" s="60" t="str">
        <f>IF(Calcul!$AB$2=1,IPE!B323,IF(Calcul!$AB$2=2,IPN!B323,IF(Calcul!$AB$2=3,HE!B323,IF(Calcul!$AB$2=4,HD!B323,IF(Calcul!$AB$2=5,CHS!B323,IF(Calcul!$AB$2=6,RHS!B131,IF(Calcul!$AB$2=7,Custom!B323,0)))))))</f>
        <v>-</v>
      </c>
    </row>
    <row r="326" spans="14:14">
      <c r="N326" s="60" t="str">
        <f>IF(Calcul!$AB$2=1,IPE!B324,IF(Calcul!$AB$2=2,IPN!B324,IF(Calcul!$AB$2=3,HE!B324,IF(Calcul!$AB$2=4,HD!B324,IF(Calcul!$AB$2=5,CHS!B324,IF(Calcul!$AB$2=6,RHS!B132,IF(Calcul!$AB$2=7,Custom!B324,0)))))))</f>
        <v>-</v>
      </c>
    </row>
    <row r="327" spans="14:14">
      <c r="N327" s="60" t="str">
        <f>IF(Calcul!$AB$2=1,IPE!B325,IF(Calcul!$AB$2=2,IPN!B325,IF(Calcul!$AB$2=3,HE!B325,IF(Calcul!$AB$2=4,HD!B325,IF(Calcul!$AB$2=5,CHS!B325,IF(Calcul!$AB$2=6,RHS!B133,IF(Calcul!$AB$2=7,Custom!B325,0)))))))</f>
        <v>-</v>
      </c>
    </row>
    <row r="328" spans="14:14">
      <c r="N328" s="60" t="str">
        <f>IF(Calcul!$AB$2=1,IPE!B326,IF(Calcul!$AB$2=2,IPN!B326,IF(Calcul!$AB$2=3,HE!B326,IF(Calcul!$AB$2=4,HD!B326,IF(Calcul!$AB$2=5,CHS!B326,IF(Calcul!$AB$2=6,RHS!B134,IF(Calcul!$AB$2=7,Custom!B326,0)))))))</f>
        <v>-</v>
      </c>
    </row>
    <row r="329" spans="14:14">
      <c r="N329" s="60" t="str">
        <f>IF(Calcul!$AB$2=1,IPE!B327,IF(Calcul!$AB$2=2,IPN!B327,IF(Calcul!$AB$2=3,HE!B327,IF(Calcul!$AB$2=4,HD!B327,IF(Calcul!$AB$2=5,CHS!B327,IF(Calcul!$AB$2=6,RHS!B135,IF(Calcul!$AB$2=7,Custom!B327,0)))))))</f>
        <v>-</v>
      </c>
    </row>
    <row r="330" spans="14:14">
      <c r="N330" s="60" t="str">
        <f>IF(Calcul!$AB$2=1,IPE!B328,IF(Calcul!$AB$2=2,IPN!B328,IF(Calcul!$AB$2=3,HE!B328,IF(Calcul!$AB$2=4,HD!B328,IF(Calcul!$AB$2=5,CHS!B328,IF(Calcul!$AB$2=6,RHS!B136,IF(Calcul!$AB$2=7,Custom!B328,0)))))))</f>
        <v>-</v>
      </c>
    </row>
    <row r="331" spans="14:14">
      <c r="N331" s="60" t="str">
        <f>IF(Calcul!$AB$2=1,IPE!B329,IF(Calcul!$AB$2=2,IPN!B329,IF(Calcul!$AB$2=3,HE!B329,IF(Calcul!$AB$2=4,HD!B329,IF(Calcul!$AB$2=5,CHS!B329,IF(Calcul!$AB$2=6,RHS!B137,IF(Calcul!$AB$2=7,Custom!B329,0)))))))</f>
        <v>-</v>
      </c>
    </row>
    <row r="332" spans="14:14">
      <c r="N332" s="60" t="str">
        <f>IF(Calcul!$AB$2=1,IPE!B330,IF(Calcul!$AB$2=2,IPN!B330,IF(Calcul!$AB$2=3,HE!B330,IF(Calcul!$AB$2=4,HD!B330,IF(Calcul!$AB$2=5,CHS!B330,IF(Calcul!$AB$2=6,RHS!B138,IF(Calcul!$AB$2=7,Custom!B330,0)))))))</f>
        <v>-</v>
      </c>
    </row>
    <row r="333" spans="14:14">
      <c r="N333" s="60" t="str">
        <f>IF(Calcul!$AB$2=1,IPE!B331,IF(Calcul!$AB$2=2,IPN!B331,IF(Calcul!$AB$2=3,HE!B331,IF(Calcul!$AB$2=4,HD!B331,IF(Calcul!$AB$2=5,CHS!B331,IF(Calcul!$AB$2=6,RHS!B139,IF(Calcul!$AB$2=7,Custom!B331,0)))))))</f>
        <v>-</v>
      </c>
    </row>
    <row r="334" spans="14:14">
      <c r="N334" s="60" t="str">
        <f>IF(Calcul!$AB$2=1,IPE!B332,IF(Calcul!$AB$2=2,IPN!B332,IF(Calcul!$AB$2=3,HE!B332,IF(Calcul!$AB$2=4,HD!B332,IF(Calcul!$AB$2=5,CHS!B332,IF(Calcul!$AB$2=6,RHS!B140,IF(Calcul!$AB$2=7,Custom!B332,0)))))))</f>
        <v>-</v>
      </c>
    </row>
    <row r="335" spans="14:14">
      <c r="N335" s="60" t="str">
        <f>IF(Calcul!$AB$2=1,IPE!B333,IF(Calcul!$AB$2=2,IPN!B333,IF(Calcul!$AB$2=3,HE!B333,IF(Calcul!$AB$2=4,HD!B333,IF(Calcul!$AB$2=5,CHS!B333,IF(Calcul!$AB$2=6,RHS!B141,IF(Calcul!$AB$2=7,Custom!B333,0)))))))</f>
        <v>-</v>
      </c>
    </row>
    <row r="336" spans="14:14">
      <c r="N336" s="60" t="str">
        <f>IF(Calcul!$AB$2=1,IPE!B334,IF(Calcul!$AB$2=2,IPN!B334,IF(Calcul!$AB$2=3,HE!B334,IF(Calcul!$AB$2=4,HD!B334,IF(Calcul!$AB$2=5,CHS!B334,IF(Calcul!$AB$2=6,RHS!B142,IF(Calcul!$AB$2=7,Custom!B334,0)))))))</f>
        <v>-</v>
      </c>
    </row>
    <row r="337" spans="14:14">
      <c r="N337" s="60" t="str">
        <f>IF(Calcul!$AB$2=1,IPE!B335,IF(Calcul!$AB$2=2,IPN!B335,IF(Calcul!$AB$2=3,HE!B335,IF(Calcul!$AB$2=4,HD!B335,IF(Calcul!$AB$2=5,CHS!B335,IF(Calcul!$AB$2=6,RHS!B143,IF(Calcul!$AB$2=7,Custom!B335,0)))))))</f>
        <v>-</v>
      </c>
    </row>
    <row r="338" spans="14:14">
      <c r="N338" s="60" t="str">
        <f>IF(Calcul!$AB$2=1,IPE!B336,IF(Calcul!$AB$2=2,IPN!B336,IF(Calcul!$AB$2=3,HE!B336,IF(Calcul!$AB$2=4,HD!B336,IF(Calcul!$AB$2=5,CHS!B336,IF(Calcul!$AB$2=6,RHS!B144,IF(Calcul!$AB$2=7,Custom!B336,0)))))))</f>
        <v>-</v>
      </c>
    </row>
    <row r="339" spans="14:14">
      <c r="N339" s="60" t="str">
        <f>IF(Calcul!$AB$2=1,IPE!B337,IF(Calcul!$AB$2=2,IPN!B337,IF(Calcul!$AB$2=3,HE!B337,IF(Calcul!$AB$2=4,HD!B337,IF(Calcul!$AB$2=5,CHS!B337,IF(Calcul!$AB$2=6,RHS!B145,IF(Calcul!$AB$2=7,Custom!B337,0)))))))</f>
        <v>-</v>
      </c>
    </row>
    <row r="340" spans="14:14">
      <c r="N340" s="60" t="str">
        <f>IF(Calcul!$AB$2=1,IPE!B338,IF(Calcul!$AB$2=2,IPN!B338,IF(Calcul!$AB$2=3,HE!B338,IF(Calcul!$AB$2=4,HD!B338,IF(Calcul!$AB$2=5,CHS!B338,IF(Calcul!$AB$2=6,RHS!B325,IF(Calcul!$AB$2=7,Custom!B338,0)))))))</f>
        <v>-</v>
      </c>
    </row>
    <row r="341" spans="14:14">
      <c r="N341" s="60" t="str">
        <f>IF(Calcul!$AB$2=1,IPE!B339,IF(Calcul!$AB$2=2,IPN!B339,IF(Calcul!$AB$2=3,HE!B339,IF(Calcul!$AB$2=4,HD!B339,IF(Calcul!$AB$2=5,CHS!B339,IF(Calcul!$AB$2=6,RHS!B326,IF(Calcul!$AB$2=7,Custom!B339,0)))))))</f>
        <v>-</v>
      </c>
    </row>
    <row r="342" spans="14:14">
      <c r="N342" s="60" t="str">
        <f>IF(Calcul!$AB$2=1,IPE!B340,IF(Calcul!$AB$2=2,IPN!B340,IF(Calcul!$AB$2=3,HE!B340,IF(Calcul!$AB$2=4,HD!B340,IF(Calcul!$AB$2=5,CHS!B340,IF(Calcul!$AB$2=6,RHS!B327,IF(Calcul!$AB$2=7,Custom!B340,0)))))))</f>
        <v>-</v>
      </c>
    </row>
    <row r="343" spans="14:14">
      <c r="N343" s="60" t="str">
        <f>IF(Calcul!$AB$2=1,IPE!B341,IF(Calcul!$AB$2=2,IPN!B341,IF(Calcul!$AB$2=3,HE!B341,IF(Calcul!$AB$2=4,HD!B341,IF(Calcul!$AB$2=5,CHS!B341,IF(Calcul!$AB$2=6,RHS!B328,IF(Calcul!$AB$2=7,Custom!B341,0)))))))</f>
        <v>-</v>
      </c>
    </row>
    <row r="344" spans="14:14">
      <c r="N344" s="60" t="str">
        <f>IF(Calcul!$AB$2=1,IPE!B342,IF(Calcul!$AB$2=2,IPN!B342,IF(Calcul!$AB$2=3,HE!B342,IF(Calcul!$AB$2=4,HD!B342,IF(Calcul!$AB$2=5,CHS!B342,IF(Calcul!$AB$2=6,RHS!B329,IF(Calcul!$AB$2=7,Custom!B342,0)))))))</f>
        <v>-</v>
      </c>
    </row>
    <row r="345" spans="14:14">
      <c r="N345" s="60" t="str">
        <f>IF(Calcul!$AB$2=1,IPE!B343,IF(Calcul!$AB$2=2,IPN!B343,IF(Calcul!$AB$2=3,HE!B343,IF(Calcul!$AB$2=4,HD!B343,IF(Calcul!$AB$2=5,CHS!B343,IF(Calcul!$AB$2=6,RHS!B330,IF(Calcul!$AB$2=7,Custom!B343,0)))))))</f>
        <v>-</v>
      </c>
    </row>
    <row r="346" spans="14:14">
      <c r="N346" s="60" t="str">
        <f>IF(Calcul!$AB$2=1,IPE!B344,IF(Calcul!$AB$2=2,IPN!B344,IF(Calcul!$AB$2=3,HE!B344,IF(Calcul!$AB$2=4,HD!B344,IF(Calcul!$AB$2=5,CHS!B344,IF(Calcul!$AB$2=6,RHS!B331,IF(Calcul!$AB$2=7,Custom!B344,0)))))))</f>
        <v>-</v>
      </c>
    </row>
    <row r="347" spans="14:14">
      <c r="N347" s="60" t="str">
        <f>IF(Calcul!$AB$2=1,IPE!B345,IF(Calcul!$AB$2=2,IPN!B345,IF(Calcul!$AB$2=3,HE!B345,IF(Calcul!$AB$2=4,HD!B345,IF(Calcul!$AB$2=5,CHS!B345,IF(Calcul!$AB$2=6,RHS!B332,IF(Calcul!$AB$2=7,Custom!B345,0)))))))</f>
        <v>-</v>
      </c>
    </row>
    <row r="348" spans="14:14">
      <c r="N348" s="60" t="str">
        <f>IF(Calcul!$AB$2=1,IPE!B346,IF(Calcul!$AB$2=2,IPN!B346,IF(Calcul!$AB$2=3,HE!B346,IF(Calcul!$AB$2=4,HD!B346,IF(Calcul!$AB$2=5,CHS!B346,IF(Calcul!$AB$2=6,RHS!B333,IF(Calcul!$AB$2=7,Custom!B346,0)))))))</f>
        <v>-</v>
      </c>
    </row>
    <row r="349" spans="14:14">
      <c r="N349" s="60" t="str">
        <f>IF(Calcul!$AB$2=1,IPE!B347,IF(Calcul!$AB$2=2,IPN!B347,IF(Calcul!$AB$2=3,HE!B347,IF(Calcul!$AB$2=4,HD!B347,IF(Calcul!$AB$2=5,CHS!B347,IF(Calcul!$AB$2=6,RHS!B334,IF(Calcul!$AB$2=7,Custom!B347,0)))))))</f>
        <v>-</v>
      </c>
    </row>
    <row r="350" spans="14:14">
      <c r="N350" s="60" t="str">
        <f>IF(Calcul!$AB$2=1,IPE!B348,IF(Calcul!$AB$2=2,IPN!B348,IF(Calcul!$AB$2=3,HE!B348,IF(Calcul!$AB$2=4,HD!B348,IF(Calcul!$AB$2=5,CHS!B348,IF(Calcul!$AB$2=6,RHS!B335,IF(Calcul!$AB$2=7,Custom!B348,0)))))))</f>
        <v>-</v>
      </c>
    </row>
    <row r="351" spans="14:14">
      <c r="N351" s="60" t="str">
        <f>IF(Calcul!$AB$2=1,IPE!B349,IF(Calcul!$AB$2=2,IPN!B349,IF(Calcul!$AB$2=3,HE!B349,IF(Calcul!$AB$2=4,HD!B349,IF(Calcul!$AB$2=5,CHS!B349,IF(Calcul!$AB$2=6,RHS!B336,IF(Calcul!$AB$2=7,Custom!B349,0)))))))</f>
        <v>-</v>
      </c>
    </row>
    <row r="352" spans="14:14">
      <c r="N352" s="60" t="str">
        <f>IF(Calcul!$AB$2=1,IPE!B350,IF(Calcul!$AB$2=2,IPN!B350,IF(Calcul!$AB$2=3,HE!B350,IF(Calcul!$AB$2=4,HD!B350,IF(Calcul!$AB$2=5,CHS!B350,IF(Calcul!$AB$2=6,RHS!B337,IF(Calcul!$AB$2=7,Custom!B350,0)))))))</f>
        <v>-</v>
      </c>
    </row>
    <row r="353" spans="14:14">
      <c r="N353" s="60" t="str">
        <f>IF(Calcul!$AB$2=1,IPE!B351,IF(Calcul!$AB$2=2,IPN!B351,IF(Calcul!$AB$2=3,HE!B351,IF(Calcul!$AB$2=4,HD!B351,IF(Calcul!$AB$2=5,CHS!B351,IF(Calcul!$AB$2=6,RHS!B338,IF(Calcul!$AB$2=7,Custom!B351,0)))))))</f>
        <v>-</v>
      </c>
    </row>
    <row r="354" spans="14:14">
      <c r="N354" s="60" t="str">
        <f>IF(Calcul!$AB$2=1,IPE!B352,IF(Calcul!$AB$2=2,IPN!B352,IF(Calcul!$AB$2=3,HE!B352,IF(Calcul!$AB$2=4,HD!B352,IF(Calcul!$AB$2=5,CHS!B352,IF(Calcul!$AB$2=6,RHS!B339,IF(Calcul!$AB$2=7,Custom!B352,0)))))))</f>
        <v>-</v>
      </c>
    </row>
    <row r="355" spans="14:14">
      <c r="N355" s="60" t="str">
        <f>IF(Calcul!$AB$2=1,IPE!B353,IF(Calcul!$AB$2=2,IPN!B353,IF(Calcul!$AB$2=3,HE!B353,IF(Calcul!$AB$2=4,HD!B353,IF(Calcul!$AB$2=5,CHS!B353,IF(Calcul!$AB$2=6,RHS!B340,IF(Calcul!$AB$2=7,Custom!B353,0)))))))</f>
        <v>-</v>
      </c>
    </row>
    <row r="356" spans="14:14">
      <c r="N356" s="60" t="str">
        <f>IF(Calcul!$AB$2=1,IPE!B354,IF(Calcul!$AB$2=2,IPN!B354,IF(Calcul!$AB$2=3,HE!B354,IF(Calcul!$AB$2=4,HD!B354,IF(Calcul!$AB$2=5,CHS!B354,IF(Calcul!$AB$2=6,RHS!B341,IF(Calcul!$AB$2=7,Custom!B354,0)))))))</f>
        <v>-</v>
      </c>
    </row>
    <row r="357" spans="14:14">
      <c r="N357" s="60" t="str">
        <f>IF(Calcul!$AB$2=1,IPE!B355,IF(Calcul!$AB$2=2,IPN!B355,IF(Calcul!$AB$2=3,HE!B355,IF(Calcul!$AB$2=4,HD!B355,IF(Calcul!$AB$2=5,CHS!B355,IF(Calcul!$AB$2=6,RHS!B342,IF(Calcul!$AB$2=7,Custom!B355,0)))))))</f>
        <v>-</v>
      </c>
    </row>
    <row r="358" spans="14:14">
      <c r="N358" s="60" t="str">
        <f>IF(Calcul!$AB$2=1,IPE!B356,IF(Calcul!$AB$2=2,IPN!B356,IF(Calcul!$AB$2=3,HE!B356,IF(Calcul!$AB$2=4,HD!B356,IF(Calcul!$AB$2=5,CHS!B356,IF(Calcul!$AB$2=6,RHS!B343,IF(Calcul!$AB$2=7,Custom!B356,0)))))))</f>
        <v>-</v>
      </c>
    </row>
    <row r="359" spans="14:14">
      <c r="N359" s="60" t="str">
        <f>IF(Calcul!$AB$2=1,IPE!B357,IF(Calcul!$AB$2=2,IPN!B357,IF(Calcul!$AB$2=3,HE!B357,IF(Calcul!$AB$2=4,HD!B357,IF(Calcul!$AB$2=5,CHS!B357,IF(Calcul!$AB$2=6,RHS!B344,IF(Calcul!$AB$2=7,Custom!B357,0)))))))</f>
        <v>-</v>
      </c>
    </row>
    <row r="360" spans="14:14">
      <c r="N360" s="60" t="str">
        <f>IF(Calcul!$AB$2=1,IPE!B358,IF(Calcul!$AB$2=2,IPN!B358,IF(Calcul!$AB$2=3,HE!B358,IF(Calcul!$AB$2=4,HD!B358,IF(Calcul!$AB$2=5,CHS!B358,IF(Calcul!$AB$2=6,RHS!B345,IF(Calcul!$AB$2=7,Custom!B358,0)))))))</f>
        <v>-</v>
      </c>
    </row>
    <row r="361" spans="14:14">
      <c r="N361" s="60" t="str">
        <f>IF(Calcul!$AB$2=1,IPE!B359,IF(Calcul!$AB$2=2,IPN!B359,IF(Calcul!$AB$2=3,HE!B359,IF(Calcul!$AB$2=4,HD!B359,IF(Calcul!$AB$2=5,CHS!B359,IF(Calcul!$AB$2=6,RHS!B346,IF(Calcul!$AB$2=7,Custom!B359,0)))))))</f>
        <v>-</v>
      </c>
    </row>
    <row r="362" spans="14:14">
      <c r="N362" s="60" t="str">
        <f>IF(Calcul!$AB$2=1,IPE!B360,IF(Calcul!$AB$2=2,IPN!B360,IF(Calcul!$AB$2=3,HE!B360,IF(Calcul!$AB$2=4,HD!B360,IF(Calcul!$AB$2=5,CHS!B360,IF(Calcul!$AB$2=6,RHS!B347,IF(Calcul!$AB$2=7,Custom!B360,0)))))))</f>
        <v>-</v>
      </c>
    </row>
    <row r="363" spans="14:14">
      <c r="N363" s="60" t="str">
        <f>IF(Calcul!$AB$2=1,IPE!B361,IF(Calcul!$AB$2=2,IPN!B361,IF(Calcul!$AB$2=3,HE!B361,IF(Calcul!$AB$2=4,HD!B361,IF(Calcul!$AB$2=5,CHS!B361,IF(Calcul!$AB$2=6,RHS!B348,IF(Calcul!$AB$2=7,Custom!B361,0)))))))</f>
        <v>-</v>
      </c>
    </row>
    <row r="364" spans="14:14">
      <c r="N364" s="60" t="str">
        <f>IF(Calcul!$AB$2=1,IPE!B362,IF(Calcul!$AB$2=2,IPN!B362,IF(Calcul!$AB$2=3,HE!B362,IF(Calcul!$AB$2=4,HD!B362,IF(Calcul!$AB$2=5,CHS!B362,IF(Calcul!$AB$2=6,RHS!B349,IF(Calcul!$AB$2=7,Custom!B362,0)))))))</f>
        <v>-</v>
      </c>
    </row>
    <row r="365" spans="14:14">
      <c r="N365" s="60" t="str">
        <f>IF(Calcul!$AB$2=1,IPE!B363,IF(Calcul!$AB$2=2,IPN!B363,IF(Calcul!$AB$2=3,HE!B363,IF(Calcul!$AB$2=4,HD!B363,IF(Calcul!$AB$2=5,CHS!B363,IF(Calcul!$AB$2=6,RHS!B350,IF(Calcul!$AB$2=7,Custom!B363,0)))))))</f>
        <v>-</v>
      </c>
    </row>
    <row r="366" spans="14:14">
      <c r="N366" s="60" t="str">
        <f>IF(Calcul!$AB$2=1,IPE!B364,IF(Calcul!$AB$2=2,IPN!B364,IF(Calcul!$AB$2=3,HE!B364,IF(Calcul!$AB$2=4,HD!B364,IF(Calcul!$AB$2=5,CHS!B364,IF(Calcul!$AB$2=6,RHS!B351,IF(Calcul!$AB$2=7,Custom!B364,0)))))))</f>
        <v>-</v>
      </c>
    </row>
    <row r="367" spans="14:14">
      <c r="N367" s="60" t="str">
        <f>IF(Calcul!$AB$2=1,IPE!B365,IF(Calcul!$AB$2=2,IPN!B365,IF(Calcul!$AB$2=3,HE!B365,IF(Calcul!$AB$2=4,HD!B365,IF(Calcul!$AB$2=5,CHS!B365,IF(Calcul!$AB$2=6,RHS!B352,IF(Calcul!$AB$2=7,Custom!B365,0)))))))</f>
        <v>-</v>
      </c>
    </row>
    <row r="368" spans="14:14">
      <c r="N368" s="60" t="str">
        <f>IF(Calcul!$AB$2=1,IPE!B366,IF(Calcul!$AB$2=2,IPN!B366,IF(Calcul!$AB$2=3,HE!B366,IF(Calcul!$AB$2=4,HD!B366,IF(Calcul!$AB$2=5,CHS!B366,IF(Calcul!$AB$2=6,RHS!B353,IF(Calcul!$AB$2=7,Custom!B366,0)))))))</f>
        <v>-</v>
      </c>
    </row>
    <row r="369" spans="14:14">
      <c r="N369" s="60" t="str">
        <f>IF(Calcul!$AB$2=1,IPE!B367,IF(Calcul!$AB$2=2,IPN!B367,IF(Calcul!$AB$2=3,HE!B367,IF(Calcul!$AB$2=4,HD!B367,IF(Calcul!$AB$2=5,CHS!B367,IF(Calcul!$AB$2=6,RHS!B354,IF(Calcul!$AB$2=7,Custom!B367,0)))))))</f>
        <v>-</v>
      </c>
    </row>
    <row r="370" spans="14:14">
      <c r="N370" s="60" t="str">
        <f>IF(Calcul!$AB$2=1,IPE!B368,IF(Calcul!$AB$2=2,IPN!B368,IF(Calcul!$AB$2=3,HE!B368,IF(Calcul!$AB$2=4,HD!B368,IF(Calcul!$AB$2=5,CHS!B368,IF(Calcul!$AB$2=6,RHS!B355,IF(Calcul!$AB$2=7,Custom!B368,0)))))))</f>
        <v>-</v>
      </c>
    </row>
    <row r="371" spans="14:14">
      <c r="N371" s="60" t="str">
        <f>IF(Calcul!$AB$2=1,IPE!B369,IF(Calcul!$AB$2=2,IPN!B369,IF(Calcul!$AB$2=3,HE!B369,IF(Calcul!$AB$2=4,HD!B369,IF(Calcul!$AB$2=5,CHS!B369,IF(Calcul!$AB$2=6,RHS!B356,IF(Calcul!$AB$2=7,Custom!B369,0)))))))</f>
        <v>-</v>
      </c>
    </row>
    <row r="372" spans="14:14">
      <c r="N372" s="60" t="str">
        <f>IF(Calcul!$AB$2=1,IPE!B370,IF(Calcul!$AB$2=2,IPN!B370,IF(Calcul!$AB$2=3,HE!B370,IF(Calcul!$AB$2=4,HD!B370,IF(Calcul!$AB$2=5,CHS!B370,IF(Calcul!$AB$2=6,RHS!B357,IF(Calcul!$AB$2=7,Custom!B370,0)))))))</f>
        <v>-</v>
      </c>
    </row>
  </sheetData>
  <phoneticPr fontId="3" type="noConversion"/>
  <pageMargins left="0.78740157499999996" right="0.78740157499999996" top="0.984251969" bottom="0.984251969" header="0.4921259845" footer="0.4921259845"/>
  <headerFooter alignWithMargins="0">
    <oddFooter>&amp;R_x000D_&amp;1#&amp;"Aptos"&amp;10&amp;K000000 Data sensitivity - Public</oddFooter>
  </headerFooter>
  <cellWatches>
    <cellWatch r="H24"/>
  </cellWatches>
  <drawing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4">
    <pageSetUpPr fitToPage="1"/>
  </sheetPr>
  <dimension ref="A1:AC70"/>
  <sheetViews>
    <sheetView workbookViewId="0">
      <pane ySplit="510" activePane="bottomLeft"/>
      <selection activeCell="D1" sqref="D1"/>
      <selection pane="bottomLeft" activeCell="D3" sqref="D3"/>
    </sheetView>
  </sheetViews>
  <sheetFormatPr defaultColWidth="10.90625" defaultRowHeight="12.5"/>
  <cols>
    <col min="1" max="1" width="11.453125" style="17"/>
    <col min="21" max="21" width="15.54296875" bestFit="1" customWidth="1"/>
    <col min="27" max="27" width="11.453125" style="157"/>
    <col min="28" max="29" width="11.453125" style="63"/>
  </cols>
  <sheetData>
    <row r="1" spans="1:29" ht="13">
      <c r="A1" s="17" t="s">
        <v>200</v>
      </c>
      <c r="B1" s="4" t="s">
        <v>201</v>
      </c>
      <c r="C1" s="6"/>
      <c r="D1" s="6" t="s">
        <v>11</v>
      </c>
      <c r="E1" s="6" t="s">
        <v>12</v>
      </c>
      <c r="F1" s="6" t="s">
        <v>13</v>
      </c>
      <c r="G1" s="7" t="s">
        <v>14</v>
      </c>
      <c r="H1" s="7" t="s">
        <v>15</v>
      </c>
      <c r="I1" s="6" t="s">
        <v>16</v>
      </c>
      <c r="J1" s="6" t="s">
        <v>2</v>
      </c>
      <c r="K1" s="6" t="s">
        <v>4</v>
      </c>
      <c r="L1" s="6" t="s">
        <v>17</v>
      </c>
      <c r="M1" s="6" t="s">
        <v>6</v>
      </c>
      <c r="N1" s="6" t="s">
        <v>18</v>
      </c>
      <c r="O1" s="6" t="s">
        <v>7</v>
      </c>
      <c r="P1" s="6" t="s">
        <v>8</v>
      </c>
      <c r="Q1" s="6" t="s">
        <v>19</v>
      </c>
      <c r="R1" s="7" t="s">
        <v>9</v>
      </c>
      <c r="S1" s="6" t="s">
        <v>20</v>
      </c>
      <c r="T1" s="6" t="s">
        <v>10</v>
      </c>
      <c r="U1" s="6" t="s">
        <v>21</v>
      </c>
      <c r="V1" s="6" t="s">
        <v>191</v>
      </c>
      <c r="W1" s="6" t="s">
        <v>211</v>
      </c>
      <c r="X1" s="4" t="s">
        <v>241</v>
      </c>
      <c r="Y1" s="4" t="s">
        <v>243</v>
      </c>
      <c r="Z1" s="31" t="s">
        <v>341</v>
      </c>
      <c r="AA1" s="31" t="s">
        <v>342</v>
      </c>
      <c r="AB1" s="153"/>
      <c r="AC1" s="153"/>
    </row>
    <row r="2" spans="1:29" ht="13">
      <c r="B2" s="4"/>
      <c r="C2" s="6"/>
      <c r="D2" s="6" t="s">
        <v>22</v>
      </c>
      <c r="E2" s="6" t="s">
        <v>0</v>
      </c>
      <c r="F2" s="6" t="s">
        <v>0</v>
      </c>
      <c r="G2" s="7" t="s">
        <v>0</v>
      </c>
      <c r="H2" s="7" t="s">
        <v>0</v>
      </c>
      <c r="I2" s="6" t="s">
        <v>1</v>
      </c>
      <c r="J2" s="6" t="s">
        <v>3</v>
      </c>
      <c r="K2" s="6" t="s">
        <v>5</v>
      </c>
      <c r="L2" s="6" t="s">
        <v>5</v>
      </c>
      <c r="M2" s="6" t="s">
        <v>0</v>
      </c>
      <c r="N2" s="6" t="s">
        <v>1</v>
      </c>
      <c r="O2" s="6" t="s">
        <v>3</v>
      </c>
      <c r="P2" s="6" t="s">
        <v>5</v>
      </c>
      <c r="Q2" s="6" t="s">
        <v>5</v>
      </c>
      <c r="R2" s="7" t="s">
        <v>0</v>
      </c>
      <c r="S2" s="6" t="s">
        <v>0</v>
      </c>
      <c r="T2" s="6" t="s">
        <v>5</v>
      </c>
      <c r="U2" s="6" t="s">
        <v>23</v>
      </c>
      <c r="V2" s="6" t="s">
        <v>1</v>
      </c>
      <c r="W2" s="6" t="s">
        <v>0</v>
      </c>
      <c r="X2" s="4" t="s">
        <v>242</v>
      </c>
      <c r="Y2" s="4" t="s">
        <v>244</v>
      </c>
      <c r="Z2" s="31" t="s">
        <v>5</v>
      </c>
      <c r="AA2" s="31" t="s">
        <v>5</v>
      </c>
      <c r="AB2" s="154"/>
      <c r="AC2" s="154"/>
    </row>
    <row r="3" spans="1:29" ht="13">
      <c r="A3" s="17">
        <v>1</v>
      </c>
      <c r="B3" s="4" t="s">
        <v>663</v>
      </c>
      <c r="C3" s="4"/>
      <c r="D3" s="4">
        <v>4.9000000000000004</v>
      </c>
      <c r="E3" s="4">
        <v>78</v>
      </c>
      <c r="F3" s="4">
        <v>46</v>
      </c>
      <c r="G3" s="5">
        <v>3.2</v>
      </c>
      <c r="H3" s="5">
        <v>4.2</v>
      </c>
      <c r="I3" s="4">
        <v>630.58018400000003</v>
      </c>
      <c r="J3" s="4">
        <v>641000</v>
      </c>
      <c r="K3" s="4">
        <v>16400</v>
      </c>
      <c r="L3" s="4">
        <v>18900</v>
      </c>
      <c r="M3" s="4">
        <v>31.9</v>
      </c>
      <c r="N3" s="4">
        <v>299.62018366025518</v>
      </c>
      <c r="O3" s="4">
        <v>68500</v>
      </c>
      <c r="P3" s="4">
        <v>2980</v>
      </c>
      <c r="Q3" s="4">
        <v>4700</v>
      </c>
      <c r="R3" s="5">
        <v>10.4</v>
      </c>
      <c r="S3" s="4">
        <v>17.5</v>
      </c>
      <c r="T3" s="4">
        <v>3800</v>
      </c>
      <c r="U3" s="4">
        <v>93270285</v>
      </c>
      <c r="V3" s="4">
        <v>407.86018366025519</v>
      </c>
      <c r="W3" s="4">
        <v>5</v>
      </c>
      <c r="X3" s="9" t="str">
        <f>IF(Calcul!$AG$2=460,"a0","a")</f>
        <v>a</v>
      </c>
      <c r="Y3" s="9" t="str">
        <f>IF(Calcul!$AG$2=460,"a0","b")</f>
        <v>b</v>
      </c>
      <c r="Z3" s="156">
        <f t="shared" ref="Z3:Z34" si="0">G3*(0.5*E3-H3)^2/2+(2-PI()/2)*W3^2*((0.5*E3-H3-W3)+(((1-PI()/2*0.4244)*W3)/(2-PI()/2)))+(H3*F3)*(0.5*E3-0.5*H3)</f>
        <v>9428.1699914013334</v>
      </c>
      <c r="AA3" s="31">
        <f t="shared" ref="AA3:AA34" si="1">(0.5*(0.5*F3-W3-0.5*G3)+W3+0.5*G3)*H3*(0.5*F3-W3-0.5*G3)</f>
        <v>1019.4239999999999</v>
      </c>
    </row>
    <row r="4" spans="1:29" ht="13">
      <c r="A4" s="17">
        <v>2</v>
      </c>
      <c r="B4" s="4" t="s">
        <v>664</v>
      </c>
      <c r="C4" s="4"/>
      <c r="D4" s="4">
        <v>5</v>
      </c>
      <c r="E4" s="4">
        <v>78</v>
      </c>
      <c r="F4" s="4">
        <v>46</v>
      </c>
      <c r="G4" s="5">
        <v>3.3</v>
      </c>
      <c r="H4" s="5">
        <v>4.2</v>
      </c>
      <c r="I4" s="4">
        <v>637.54018399999995</v>
      </c>
      <c r="J4" s="4">
        <v>644000</v>
      </c>
      <c r="K4" s="4">
        <v>16500</v>
      </c>
      <c r="L4" s="4">
        <v>19000</v>
      </c>
      <c r="M4" s="4">
        <v>31.8</v>
      </c>
      <c r="N4" s="4">
        <v>307.00018366025523</v>
      </c>
      <c r="O4" s="4">
        <v>68500</v>
      </c>
      <c r="P4" s="4">
        <v>2980</v>
      </c>
      <c r="Q4" s="4">
        <v>4700</v>
      </c>
      <c r="R4" s="5">
        <v>10.4</v>
      </c>
      <c r="S4" s="4">
        <v>17.600000000000001</v>
      </c>
      <c r="T4" s="4">
        <v>3900</v>
      </c>
      <c r="U4" s="4">
        <v>93270285</v>
      </c>
      <c r="V4" s="4">
        <v>407.8601836602553</v>
      </c>
      <c r="W4" s="4">
        <v>5</v>
      </c>
      <c r="X4" s="9" t="str">
        <f>IF(Calcul!$AG$2=460,"a0","a")</f>
        <v>a</v>
      </c>
      <c r="Y4" s="9" t="str">
        <f>IF(Calcul!$AG$2=460,"a0","b")</f>
        <v>b</v>
      </c>
      <c r="Z4" s="156">
        <f t="shared" si="0"/>
        <v>9488.7219914013331</v>
      </c>
      <c r="AA4" s="31">
        <f t="shared" si="1"/>
        <v>1018.0327500000002</v>
      </c>
    </row>
    <row r="5" spans="1:29" ht="13">
      <c r="A5" s="17">
        <v>3</v>
      </c>
      <c r="B5" s="4" t="s">
        <v>665</v>
      </c>
      <c r="C5" s="4"/>
      <c r="D5" s="4">
        <v>6</v>
      </c>
      <c r="E5" s="4">
        <v>80</v>
      </c>
      <c r="F5" s="4">
        <v>46</v>
      </c>
      <c r="G5" s="5">
        <v>3.8</v>
      </c>
      <c r="H5" s="5">
        <v>5.2</v>
      </c>
      <c r="I5" s="4">
        <v>764.34018400000002</v>
      </c>
      <c r="J5" s="4">
        <v>801000</v>
      </c>
      <c r="K5" s="4">
        <v>20000</v>
      </c>
      <c r="L5" s="4">
        <v>23200</v>
      </c>
      <c r="M5" s="4">
        <v>32.4</v>
      </c>
      <c r="N5" s="4">
        <v>357.70018366025516</v>
      </c>
      <c r="O5" s="4">
        <v>84900</v>
      </c>
      <c r="P5" s="4">
        <v>3690</v>
      </c>
      <c r="Q5" s="4">
        <v>5800</v>
      </c>
      <c r="R5" s="5">
        <v>10.5</v>
      </c>
      <c r="S5" s="4">
        <v>20.100000000000001</v>
      </c>
      <c r="T5" s="4">
        <v>6700</v>
      </c>
      <c r="U5" s="4">
        <v>118754724</v>
      </c>
      <c r="V5" s="4">
        <v>499.86018366025525</v>
      </c>
      <c r="W5" s="4">
        <v>5</v>
      </c>
      <c r="X5" s="9" t="str">
        <f>IF(Calcul!$AG$2=460,"a0","a")</f>
        <v>a</v>
      </c>
      <c r="Y5" s="9" t="str">
        <f>IF(Calcul!$AG$2=460,"a0","b")</f>
        <v>b</v>
      </c>
      <c r="Z5" s="156">
        <f t="shared" si="0"/>
        <v>11608.481991401331</v>
      </c>
      <c r="AA5" s="31">
        <f t="shared" si="1"/>
        <v>1251.6140000000003</v>
      </c>
    </row>
    <row r="6" spans="1:29" ht="13">
      <c r="A6" s="17">
        <v>4</v>
      </c>
      <c r="B6" s="4" t="s">
        <v>666</v>
      </c>
      <c r="C6" s="4"/>
      <c r="D6" s="4">
        <v>6.7</v>
      </c>
      <c r="E6" s="4">
        <v>97.6</v>
      </c>
      <c r="F6" s="4">
        <v>55</v>
      </c>
      <c r="G6" s="5">
        <v>3.6</v>
      </c>
      <c r="H6" s="5">
        <v>4.5</v>
      </c>
      <c r="I6" s="4">
        <v>856.02196000000004</v>
      </c>
      <c r="J6" s="4">
        <v>1360000</v>
      </c>
      <c r="K6" s="4">
        <v>27900</v>
      </c>
      <c r="L6" s="4">
        <v>31900</v>
      </c>
      <c r="M6" s="4">
        <v>39.799999999999997</v>
      </c>
      <c r="N6" s="4">
        <v>440.22195997410012</v>
      </c>
      <c r="O6" s="4">
        <v>126000</v>
      </c>
      <c r="P6" s="4">
        <v>4570</v>
      </c>
      <c r="Q6" s="4">
        <v>7200</v>
      </c>
      <c r="R6" s="5">
        <v>12.1</v>
      </c>
      <c r="S6" s="4">
        <v>20.8</v>
      </c>
      <c r="T6" s="4">
        <v>6700</v>
      </c>
      <c r="U6" s="4">
        <v>273029715.00000006</v>
      </c>
      <c r="V6" s="4">
        <v>537.06195997410009</v>
      </c>
      <c r="W6" s="4">
        <v>7</v>
      </c>
      <c r="X6" s="9" t="str">
        <f>IF(Calcul!$AG$2=460,"a0","a")</f>
        <v>a</v>
      </c>
      <c r="Y6" s="9" t="str">
        <f>IF(Calcul!$AG$2=460,"a0","b")</f>
        <v>b</v>
      </c>
      <c r="Z6" s="156">
        <f t="shared" si="0"/>
        <v>15952.402988862495</v>
      </c>
      <c r="AA6" s="31">
        <f t="shared" si="1"/>
        <v>1527.3225000000002</v>
      </c>
    </row>
    <row r="7" spans="1:29" ht="13">
      <c r="A7" s="17">
        <v>5</v>
      </c>
      <c r="B7" s="4" t="s">
        <v>24</v>
      </c>
      <c r="C7" s="4"/>
      <c r="D7" s="4">
        <v>6.9</v>
      </c>
      <c r="E7" s="4">
        <v>98</v>
      </c>
      <c r="F7" s="4">
        <v>55</v>
      </c>
      <c r="G7" s="5">
        <v>3.6</v>
      </c>
      <c r="H7" s="5">
        <v>4.7</v>
      </c>
      <c r="I7" s="4">
        <v>878.02196000000004</v>
      </c>
      <c r="J7" s="4">
        <v>1410000</v>
      </c>
      <c r="K7" s="4">
        <v>28800</v>
      </c>
      <c r="L7" s="4">
        <v>33000</v>
      </c>
      <c r="M7" s="4">
        <v>40.1</v>
      </c>
      <c r="N7" s="4">
        <v>443.74195997410015</v>
      </c>
      <c r="O7" s="4">
        <v>131000</v>
      </c>
      <c r="P7" s="4">
        <v>4770</v>
      </c>
      <c r="Q7" s="4">
        <v>7500</v>
      </c>
      <c r="R7" s="5">
        <v>12.2</v>
      </c>
      <c r="S7" s="4">
        <v>21.2</v>
      </c>
      <c r="T7" s="4">
        <v>7300</v>
      </c>
      <c r="U7" s="4">
        <v>285085147.5</v>
      </c>
      <c r="V7" s="4">
        <v>559.06195997410009</v>
      </c>
      <c r="W7" s="4">
        <v>7</v>
      </c>
      <c r="X7" s="9" t="str">
        <f>IF(Calcul!$AG$2=460,"a0","a")</f>
        <v>a</v>
      </c>
      <c r="Y7" s="9" t="str">
        <f>IF(Calcul!$AG$2=460,"a0","b")</f>
        <v>b</v>
      </c>
      <c r="Z7" s="156">
        <f t="shared" si="0"/>
        <v>16490.302988862495</v>
      </c>
      <c r="AA7" s="31">
        <f t="shared" si="1"/>
        <v>1595.2035000000001</v>
      </c>
    </row>
    <row r="8" spans="1:29" ht="13">
      <c r="A8" s="17">
        <v>6</v>
      </c>
      <c r="B8" s="4" t="s">
        <v>25</v>
      </c>
      <c r="C8" s="4"/>
      <c r="D8" s="4">
        <v>8.1</v>
      </c>
      <c r="E8" s="4">
        <v>100</v>
      </c>
      <c r="F8" s="4">
        <v>55</v>
      </c>
      <c r="G8" s="5">
        <v>4.0999999999999996</v>
      </c>
      <c r="H8" s="5">
        <v>5.7</v>
      </c>
      <c r="I8" s="4">
        <v>1032.32196</v>
      </c>
      <c r="J8" s="4">
        <v>1710000</v>
      </c>
      <c r="K8" s="4">
        <v>34200</v>
      </c>
      <c r="L8" s="4">
        <v>39400</v>
      </c>
      <c r="M8" s="4">
        <v>40.700000000000003</v>
      </c>
      <c r="N8" s="4">
        <v>508.49195997410033</v>
      </c>
      <c r="O8" s="4">
        <v>159000</v>
      </c>
      <c r="P8" s="4">
        <v>5790</v>
      </c>
      <c r="Q8" s="4">
        <v>9200</v>
      </c>
      <c r="R8" s="5">
        <v>12.4</v>
      </c>
      <c r="S8" s="4">
        <v>23.7</v>
      </c>
      <c r="T8" s="4">
        <v>11600</v>
      </c>
      <c r="U8" s="4">
        <v>353476477.5</v>
      </c>
      <c r="V8" s="4">
        <v>669.0619599741002</v>
      </c>
      <c r="W8" s="4">
        <v>7</v>
      </c>
      <c r="X8" s="9" t="str">
        <f>IF(Calcul!$AG$2=460,"a0","a")</f>
        <v>a</v>
      </c>
      <c r="Y8" s="9" t="str">
        <f>IF(Calcul!$AG$2=460,"a0","b")</f>
        <v>b</v>
      </c>
      <c r="Z8" s="156">
        <f t="shared" si="0"/>
        <v>19703.425488862493</v>
      </c>
      <c r="AA8" s="31">
        <f t="shared" si="1"/>
        <v>1921.8903750000002</v>
      </c>
    </row>
    <row r="9" spans="1:29" ht="13">
      <c r="A9" s="17">
        <v>7</v>
      </c>
      <c r="B9" s="4" t="s">
        <v>667</v>
      </c>
      <c r="C9" s="4"/>
      <c r="D9" s="4">
        <v>8.4</v>
      </c>
      <c r="E9" s="4">
        <v>117</v>
      </c>
      <c r="F9" s="4">
        <v>64</v>
      </c>
      <c r="G9" s="5">
        <v>3.8</v>
      </c>
      <c r="H9" s="5">
        <v>4.8</v>
      </c>
      <c r="I9" s="4">
        <v>1064.58196</v>
      </c>
      <c r="J9" s="4">
        <v>2440000</v>
      </c>
      <c r="K9" s="4">
        <v>41700</v>
      </c>
      <c r="L9" s="4">
        <v>47600</v>
      </c>
      <c r="M9" s="4">
        <v>47.9</v>
      </c>
      <c r="N9" s="4">
        <v>535.62195997410004</v>
      </c>
      <c r="O9" s="4">
        <v>211000</v>
      </c>
      <c r="P9" s="4">
        <v>6590</v>
      </c>
      <c r="Q9" s="4">
        <v>10400</v>
      </c>
      <c r="R9" s="5">
        <v>14.1</v>
      </c>
      <c r="S9" s="4">
        <v>21.6</v>
      </c>
      <c r="T9" s="4">
        <v>8900</v>
      </c>
      <c r="U9" s="4">
        <v>664061310</v>
      </c>
      <c r="V9" s="4">
        <v>656.46195997410007</v>
      </c>
      <c r="W9" s="4">
        <v>7</v>
      </c>
      <c r="X9" s="9" t="str">
        <f>IF(Calcul!$AG$2=460,"a0","a")</f>
        <v>a</v>
      </c>
      <c r="Y9" s="9" t="str">
        <f>IF(Calcul!$AG$2=460,"a0","b")</f>
        <v>b</v>
      </c>
      <c r="Z9" s="156">
        <f t="shared" si="0"/>
        <v>23809.418200740765</v>
      </c>
      <c r="AA9" s="31">
        <f t="shared" si="1"/>
        <v>2267.4960000000001</v>
      </c>
    </row>
    <row r="10" spans="1:29" ht="13">
      <c r="A10" s="17">
        <v>8</v>
      </c>
      <c r="B10" s="4" t="s">
        <v>26</v>
      </c>
      <c r="C10" s="4"/>
      <c r="D10" s="4">
        <v>8.6999999999999993</v>
      </c>
      <c r="E10" s="4">
        <v>117.6</v>
      </c>
      <c r="F10" s="4">
        <v>64</v>
      </c>
      <c r="G10" s="5">
        <v>3.8</v>
      </c>
      <c r="H10" s="5">
        <v>5.0999999999999996</v>
      </c>
      <c r="I10" s="4">
        <v>1102.9819600000001</v>
      </c>
      <c r="J10" s="4">
        <v>2570000</v>
      </c>
      <c r="K10" s="4">
        <v>43800</v>
      </c>
      <c r="L10" s="4">
        <v>49900</v>
      </c>
      <c r="M10" s="4">
        <v>48.3</v>
      </c>
      <c r="N10" s="4">
        <v>540.96195997409995</v>
      </c>
      <c r="O10" s="4">
        <v>224000</v>
      </c>
      <c r="P10" s="4">
        <v>7000</v>
      </c>
      <c r="Q10" s="4">
        <v>11000</v>
      </c>
      <c r="R10" s="5">
        <v>14.2</v>
      </c>
      <c r="S10" s="4">
        <v>22.2</v>
      </c>
      <c r="T10" s="4">
        <v>10000</v>
      </c>
      <c r="U10" s="4">
        <v>708750000</v>
      </c>
      <c r="V10" s="4">
        <v>694.86195997410027</v>
      </c>
      <c r="W10" s="4">
        <v>7</v>
      </c>
      <c r="X10" s="9" t="str">
        <f>IF(Calcul!$AG$2=460,"a0","a")</f>
        <v>a</v>
      </c>
      <c r="Y10" s="9" t="str">
        <f>IF(Calcul!$AG$2=460,"a0","b")</f>
        <v>b</v>
      </c>
      <c r="Z10" s="156">
        <f t="shared" si="0"/>
        <v>24935.498200740767</v>
      </c>
      <c r="AA10" s="31">
        <f t="shared" si="1"/>
        <v>2409.2145</v>
      </c>
    </row>
    <row r="11" spans="1:29" ht="13">
      <c r="A11" s="17">
        <v>9</v>
      </c>
      <c r="B11" s="4" t="s">
        <v>27</v>
      </c>
      <c r="C11" s="4"/>
      <c r="D11" s="4">
        <v>10.4</v>
      </c>
      <c r="E11" s="4">
        <v>120</v>
      </c>
      <c r="F11" s="4">
        <v>64</v>
      </c>
      <c r="G11" s="5">
        <v>4.4000000000000004</v>
      </c>
      <c r="H11" s="5">
        <v>6.3</v>
      </c>
      <c r="I11" s="4">
        <v>1321.02196</v>
      </c>
      <c r="J11" s="4">
        <v>3180000</v>
      </c>
      <c r="K11" s="4">
        <v>53000</v>
      </c>
      <c r="L11" s="4">
        <v>60700</v>
      </c>
      <c r="M11" s="4">
        <v>49</v>
      </c>
      <c r="N11" s="4">
        <v>630.54195997410011</v>
      </c>
      <c r="O11" s="4">
        <v>277000</v>
      </c>
      <c r="P11" s="4">
        <v>8650</v>
      </c>
      <c r="Q11" s="4">
        <v>13600</v>
      </c>
      <c r="R11" s="5">
        <v>14.5</v>
      </c>
      <c r="S11" s="4">
        <v>25.2</v>
      </c>
      <c r="T11" s="4">
        <v>16900</v>
      </c>
      <c r="U11" s="4">
        <v>895242532.5</v>
      </c>
      <c r="V11" s="4">
        <v>848.46195997410007</v>
      </c>
      <c r="W11" s="4">
        <v>7</v>
      </c>
      <c r="X11" s="9" t="str">
        <f>IF(Calcul!$AG$2=460,"a0","a")</f>
        <v>a</v>
      </c>
      <c r="Y11" s="9" t="str">
        <f>IF(Calcul!$AG$2=460,"a0","b")</f>
        <v>b</v>
      </c>
      <c r="Z11" s="156">
        <f t="shared" si="0"/>
        <v>30362.525200740765</v>
      </c>
      <c r="AA11" s="31">
        <f t="shared" si="1"/>
        <v>2958.9839999999995</v>
      </c>
    </row>
    <row r="12" spans="1:29" ht="13">
      <c r="A12" s="17">
        <v>10</v>
      </c>
      <c r="B12" s="4" t="s">
        <v>668</v>
      </c>
      <c r="C12" s="4"/>
      <c r="D12" s="4">
        <v>10.1</v>
      </c>
      <c r="E12" s="4">
        <v>136.6</v>
      </c>
      <c r="F12" s="4">
        <v>73</v>
      </c>
      <c r="G12" s="5">
        <v>3.8</v>
      </c>
      <c r="H12" s="5">
        <v>5.2</v>
      </c>
      <c r="I12" s="4">
        <v>1280.82196</v>
      </c>
      <c r="J12" s="4">
        <v>4070000</v>
      </c>
      <c r="K12" s="4">
        <v>59700</v>
      </c>
      <c r="L12" s="4">
        <v>67600</v>
      </c>
      <c r="M12" s="4">
        <v>56.4</v>
      </c>
      <c r="N12" s="4">
        <v>614.18195997409998</v>
      </c>
      <c r="O12" s="4">
        <v>338000</v>
      </c>
      <c r="P12" s="4">
        <v>9270</v>
      </c>
      <c r="Q12" s="4">
        <v>14500</v>
      </c>
      <c r="R12" s="5">
        <v>16.3</v>
      </c>
      <c r="S12" s="4">
        <v>22.4</v>
      </c>
      <c r="T12" s="4">
        <v>11500</v>
      </c>
      <c r="U12" s="4">
        <v>1458973620.0000002</v>
      </c>
      <c r="V12" s="4">
        <v>801.26195997410014</v>
      </c>
      <c r="W12" s="4">
        <v>7</v>
      </c>
      <c r="X12" s="9" t="str">
        <f>IF(Calcul!$AG$2=460,"a0","a")</f>
        <v>a</v>
      </c>
      <c r="Y12" s="9" t="str">
        <f>IF(Calcul!$AG$2=460,"a0","b")</f>
        <v>b</v>
      </c>
      <c r="Z12" s="156">
        <f t="shared" si="0"/>
        <v>33798.957412619035</v>
      </c>
      <c r="AA12" s="31">
        <f t="shared" si="1"/>
        <v>3257.9040000000005</v>
      </c>
    </row>
    <row r="13" spans="1:29" ht="13">
      <c r="A13" s="17">
        <v>11</v>
      </c>
      <c r="B13" s="4" t="s">
        <v>28</v>
      </c>
      <c r="C13" s="4"/>
      <c r="D13" s="4">
        <v>10.5</v>
      </c>
      <c r="E13" s="4">
        <v>137.4</v>
      </c>
      <c r="F13" s="4">
        <v>73</v>
      </c>
      <c r="G13" s="5">
        <v>3.8</v>
      </c>
      <c r="H13" s="5">
        <v>5.6</v>
      </c>
      <c r="I13" s="4">
        <v>1339.2219600000001</v>
      </c>
      <c r="J13" s="4">
        <v>4350000</v>
      </c>
      <c r="K13" s="4">
        <v>63300</v>
      </c>
      <c r="L13" s="4">
        <v>71600</v>
      </c>
      <c r="M13" s="4">
        <v>57</v>
      </c>
      <c r="N13" s="4">
        <v>621.30195997409999</v>
      </c>
      <c r="O13" s="4">
        <v>364000</v>
      </c>
      <c r="P13" s="4">
        <v>10000</v>
      </c>
      <c r="Q13" s="4">
        <v>15500</v>
      </c>
      <c r="R13" s="5">
        <v>16.5</v>
      </c>
      <c r="S13" s="4">
        <v>23.2</v>
      </c>
      <c r="T13" s="4">
        <v>13400</v>
      </c>
      <c r="U13" s="4">
        <v>1580782840.0000002</v>
      </c>
      <c r="V13" s="4">
        <v>859.6619599741</v>
      </c>
      <c r="W13" s="4">
        <v>7</v>
      </c>
      <c r="X13" s="9" t="str">
        <f>IF(Calcul!$AG$2=460,"a0","a")</f>
        <v>a</v>
      </c>
      <c r="Y13" s="9" t="str">
        <f>IF(Calcul!$AG$2=460,"a0","b")</f>
        <v>b</v>
      </c>
      <c r="Z13" s="156">
        <f t="shared" si="0"/>
        <v>35799.157412619039</v>
      </c>
      <c r="AA13" s="31">
        <f t="shared" si="1"/>
        <v>3508.5119999999997</v>
      </c>
    </row>
    <row r="14" spans="1:29" ht="13">
      <c r="A14" s="17">
        <v>12</v>
      </c>
      <c r="B14" s="4" t="s">
        <v>29</v>
      </c>
      <c r="C14" s="4"/>
      <c r="D14" s="4">
        <v>12.9</v>
      </c>
      <c r="E14" s="4">
        <v>140</v>
      </c>
      <c r="F14" s="4">
        <v>73</v>
      </c>
      <c r="G14" s="5">
        <v>4.7</v>
      </c>
      <c r="H14" s="5">
        <v>6.9</v>
      </c>
      <c r="I14" s="4">
        <v>1642.60196</v>
      </c>
      <c r="J14" s="4">
        <v>5410000</v>
      </c>
      <c r="K14" s="4">
        <v>77300</v>
      </c>
      <c r="L14" s="4">
        <v>88300</v>
      </c>
      <c r="M14" s="4">
        <v>57.4</v>
      </c>
      <c r="N14" s="4">
        <v>764.23195997410005</v>
      </c>
      <c r="O14" s="4">
        <v>449000</v>
      </c>
      <c r="P14" s="4">
        <v>12300</v>
      </c>
      <c r="Q14" s="4">
        <v>19300</v>
      </c>
      <c r="R14" s="5">
        <v>16.5</v>
      </c>
      <c r="S14" s="4">
        <v>26.7</v>
      </c>
      <c r="T14" s="4">
        <v>24000</v>
      </c>
      <c r="U14" s="4">
        <v>1988577222.4999998</v>
      </c>
      <c r="V14" s="4">
        <v>1049.4619599741</v>
      </c>
      <c r="W14" s="4">
        <v>7</v>
      </c>
      <c r="X14" s="9" t="str">
        <f>IF(Calcul!$AG$2=460,"a0","a")</f>
        <v>a</v>
      </c>
      <c r="Y14" s="9" t="str">
        <f>IF(Calcul!$AG$2=460,"a0","b")</f>
        <v>b</v>
      </c>
      <c r="Z14" s="156">
        <f t="shared" si="0"/>
        <v>44172.196912619038</v>
      </c>
      <c r="AA14" s="31">
        <f t="shared" si="1"/>
        <v>4294.6548750000002</v>
      </c>
    </row>
    <row r="15" spans="1:29" ht="13">
      <c r="A15" s="17">
        <v>13</v>
      </c>
      <c r="B15" s="4" t="s">
        <v>669</v>
      </c>
      <c r="C15" s="4"/>
      <c r="D15" s="4">
        <v>12.3</v>
      </c>
      <c r="E15" s="4">
        <v>156.4</v>
      </c>
      <c r="F15" s="4">
        <v>82</v>
      </c>
      <c r="G15" s="5">
        <v>4</v>
      </c>
      <c r="H15" s="5">
        <v>5.6</v>
      </c>
      <c r="I15" s="4">
        <v>1568.7309949999999</v>
      </c>
      <c r="J15" s="4">
        <v>6590000</v>
      </c>
      <c r="K15" s="4">
        <v>84300</v>
      </c>
      <c r="L15" s="4">
        <v>95200</v>
      </c>
      <c r="M15" s="4">
        <v>64.8</v>
      </c>
      <c r="N15" s="4">
        <v>773.53099505922683</v>
      </c>
      <c r="O15" s="4">
        <v>517000</v>
      </c>
      <c r="P15" s="4">
        <v>12600</v>
      </c>
      <c r="Q15" s="4">
        <v>19700</v>
      </c>
      <c r="R15" s="5">
        <v>18.100000000000001</v>
      </c>
      <c r="S15" s="4">
        <v>25.7</v>
      </c>
      <c r="T15" s="4">
        <v>17500</v>
      </c>
      <c r="U15" s="4">
        <v>2939227720.0000005</v>
      </c>
      <c r="V15" s="4">
        <v>987.9309950592268</v>
      </c>
      <c r="W15" s="4">
        <v>9</v>
      </c>
      <c r="X15" s="9" t="str">
        <f>IF(Calcul!$AG$2=460,"a0","a")</f>
        <v>a</v>
      </c>
      <c r="Y15" s="9" t="str">
        <f>IF(Calcul!$AG$2=460,"a0","b")</f>
        <v>b</v>
      </c>
      <c r="Z15" s="156">
        <f t="shared" si="0"/>
        <v>47619.300737247526</v>
      </c>
      <c r="AA15" s="31">
        <f t="shared" si="1"/>
        <v>4368</v>
      </c>
    </row>
    <row r="16" spans="1:29" ht="13">
      <c r="A16" s="17">
        <v>14</v>
      </c>
      <c r="B16" s="4" t="s">
        <v>30</v>
      </c>
      <c r="C16" s="4"/>
      <c r="D16" s="4">
        <v>12.7</v>
      </c>
      <c r="E16" s="4">
        <v>157</v>
      </c>
      <c r="F16" s="4">
        <v>82</v>
      </c>
      <c r="G16" s="5">
        <v>4</v>
      </c>
      <c r="H16" s="5">
        <v>5.9</v>
      </c>
      <c r="I16" s="4">
        <v>1617.9309949999999</v>
      </c>
      <c r="J16" s="4">
        <v>6890000</v>
      </c>
      <c r="K16" s="4">
        <v>87800</v>
      </c>
      <c r="L16" s="4">
        <v>99100</v>
      </c>
      <c r="M16" s="4">
        <v>65.3</v>
      </c>
      <c r="N16" s="4">
        <v>780.13099505922662</v>
      </c>
      <c r="O16" s="4">
        <v>544000</v>
      </c>
      <c r="P16" s="4">
        <v>13300</v>
      </c>
      <c r="Q16" s="4">
        <v>20700</v>
      </c>
      <c r="R16" s="5">
        <v>18.3</v>
      </c>
      <c r="S16" s="4">
        <v>26.3</v>
      </c>
      <c r="T16" s="4">
        <v>19300</v>
      </c>
      <c r="U16" s="4">
        <v>3105044560</v>
      </c>
      <c r="V16" s="4">
        <v>1037.1309950592265</v>
      </c>
      <c r="W16" s="4">
        <v>9</v>
      </c>
      <c r="X16" s="9" t="str">
        <f>IF(Calcul!$AG$2=460,"a0","a")</f>
        <v>a</v>
      </c>
      <c r="Y16" s="9" t="str">
        <f>IF(Calcul!$AG$2=460,"a0","b")</f>
        <v>b</v>
      </c>
      <c r="Z16" s="156">
        <f t="shared" si="0"/>
        <v>49546.710737247515</v>
      </c>
      <c r="AA16" s="31">
        <f t="shared" si="1"/>
        <v>4602</v>
      </c>
    </row>
    <row r="17" spans="1:27" ht="13">
      <c r="A17" s="17">
        <v>15</v>
      </c>
      <c r="B17" s="4" t="s">
        <v>31</v>
      </c>
      <c r="C17" s="4"/>
      <c r="D17" s="4">
        <v>15.8</v>
      </c>
      <c r="E17" s="4">
        <v>160</v>
      </c>
      <c r="F17" s="4">
        <v>82</v>
      </c>
      <c r="G17" s="5">
        <v>5</v>
      </c>
      <c r="H17" s="5">
        <v>7.4</v>
      </c>
      <c r="I17" s="4">
        <v>2009.130995</v>
      </c>
      <c r="J17" s="4">
        <v>8690000</v>
      </c>
      <c r="K17" s="4">
        <v>109000</v>
      </c>
      <c r="L17" s="4">
        <v>124000</v>
      </c>
      <c r="M17" s="4">
        <v>65.8</v>
      </c>
      <c r="N17" s="4">
        <v>965.73099505922687</v>
      </c>
      <c r="O17" s="4">
        <v>683000</v>
      </c>
      <c r="P17" s="4">
        <v>16700</v>
      </c>
      <c r="Q17" s="4">
        <v>26100</v>
      </c>
      <c r="R17" s="5">
        <v>18.399999999999999</v>
      </c>
      <c r="S17" s="4">
        <v>30.3</v>
      </c>
      <c r="T17" s="4">
        <v>35400</v>
      </c>
      <c r="U17" s="4">
        <v>3976214269.9999995</v>
      </c>
      <c r="V17" s="4">
        <v>1283.130995059227</v>
      </c>
      <c r="W17" s="4">
        <v>9</v>
      </c>
      <c r="X17" s="9" t="str">
        <f>IF(Calcul!$AG$2=460,"a0","a")</f>
        <v>a</v>
      </c>
      <c r="Y17" s="9" t="str">
        <f>IF(Calcul!$AG$2=460,"a0","b")</f>
        <v>b</v>
      </c>
      <c r="Z17" s="156">
        <f t="shared" si="0"/>
        <v>61929.840737247519</v>
      </c>
      <c r="AA17" s="31">
        <f t="shared" si="1"/>
        <v>5730.375</v>
      </c>
    </row>
    <row r="18" spans="1:27" ht="13">
      <c r="A18" s="17">
        <v>16</v>
      </c>
      <c r="B18" s="4" t="s">
        <v>670</v>
      </c>
      <c r="C18" s="4"/>
      <c r="D18" s="4">
        <v>14.9</v>
      </c>
      <c r="E18" s="4">
        <v>176.4</v>
      </c>
      <c r="F18" s="4">
        <v>91</v>
      </c>
      <c r="G18" s="5">
        <v>4.3</v>
      </c>
      <c r="H18" s="5">
        <v>6.2</v>
      </c>
      <c r="I18" s="4">
        <v>1903.130995</v>
      </c>
      <c r="J18" s="4">
        <v>10200000</v>
      </c>
      <c r="K18" s="4">
        <v>116000</v>
      </c>
      <c r="L18" s="4">
        <v>131000</v>
      </c>
      <c r="M18" s="4">
        <v>73.2</v>
      </c>
      <c r="N18" s="4">
        <v>912.99099505922663</v>
      </c>
      <c r="O18" s="4">
        <v>781000</v>
      </c>
      <c r="P18" s="4">
        <v>17200</v>
      </c>
      <c r="Q18" s="4">
        <v>26700</v>
      </c>
      <c r="R18" s="5">
        <v>20.3</v>
      </c>
      <c r="S18" s="4">
        <v>27.2</v>
      </c>
      <c r="T18" s="4">
        <v>24300</v>
      </c>
      <c r="U18" s="4">
        <v>5656009810.000001</v>
      </c>
      <c r="V18" s="4">
        <v>1197.9309950592269</v>
      </c>
      <c r="W18" s="4">
        <v>9</v>
      </c>
      <c r="X18" s="9" t="str">
        <f>IF(Calcul!$AG$2=460,"a0","a")</f>
        <v>a</v>
      </c>
      <c r="Y18" s="9" t="str">
        <f>IF(Calcul!$AG$2=460,"a0","b")</f>
        <v>b</v>
      </c>
      <c r="Z18" s="156">
        <f t="shared" si="0"/>
        <v>65250.916414025894</v>
      </c>
      <c r="AA18" s="31">
        <f t="shared" si="1"/>
        <v>6032.375250000001</v>
      </c>
    </row>
    <row r="19" spans="1:27" ht="13">
      <c r="A19" s="17">
        <v>17</v>
      </c>
      <c r="B19" s="4" t="s">
        <v>32</v>
      </c>
      <c r="C19" s="4"/>
      <c r="D19" s="4">
        <v>15.4</v>
      </c>
      <c r="E19" s="4">
        <v>177</v>
      </c>
      <c r="F19" s="4">
        <v>91</v>
      </c>
      <c r="G19" s="5">
        <v>4.3</v>
      </c>
      <c r="H19" s="5">
        <v>6.5</v>
      </c>
      <c r="I19" s="4">
        <v>1957.7309949999999</v>
      </c>
      <c r="J19" s="4">
        <v>10630000</v>
      </c>
      <c r="K19" s="4">
        <v>120000</v>
      </c>
      <c r="L19" s="4">
        <v>135000</v>
      </c>
      <c r="M19" s="4">
        <v>73.7</v>
      </c>
      <c r="N19" s="4">
        <v>919.68099505922669</v>
      </c>
      <c r="O19" s="4">
        <v>819000</v>
      </c>
      <c r="P19" s="4">
        <v>18000</v>
      </c>
      <c r="Q19" s="4">
        <v>28000</v>
      </c>
      <c r="R19" s="5">
        <v>20.5</v>
      </c>
      <c r="S19" s="4">
        <v>27.8</v>
      </c>
      <c r="T19" s="4">
        <v>26700</v>
      </c>
      <c r="U19" s="4">
        <v>5952133687.5</v>
      </c>
      <c r="V19" s="4">
        <v>1252.5309950592268</v>
      </c>
      <c r="W19" s="4">
        <v>9</v>
      </c>
      <c r="X19" s="9" t="str">
        <f>IF(Calcul!$AG$2=460,"a0","a")</f>
        <v>a</v>
      </c>
      <c r="Y19" s="9" t="str">
        <f>IF(Calcul!$AG$2=460,"a0","b")</f>
        <v>b</v>
      </c>
      <c r="Z19" s="156">
        <f t="shared" si="0"/>
        <v>67662.871414025882</v>
      </c>
      <c r="AA19" s="31">
        <f t="shared" si="1"/>
        <v>6324.2643749999997</v>
      </c>
    </row>
    <row r="20" spans="1:27" ht="13">
      <c r="A20" s="17">
        <v>18</v>
      </c>
      <c r="B20" s="4" t="s">
        <v>33</v>
      </c>
      <c r="C20" s="4"/>
      <c r="D20" s="4">
        <v>18.8</v>
      </c>
      <c r="E20" s="4">
        <v>180</v>
      </c>
      <c r="F20" s="4">
        <v>91</v>
      </c>
      <c r="G20" s="5">
        <v>5.3</v>
      </c>
      <c r="H20" s="5">
        <v>8</v>
      </c>
      <c r="I20" s="4">
        <v>2394.7309949999999</v>
      </c>
      <c r="J20" s="4">
        <v>13170000</v>
      </c>
      <c r="K20" s="4">
        <v>146000</v>
      </c>
      <c r="L20" s="4">
        <v>166000</v>
      </c>
      <c r="M20" s="4">
        <v>74.2</v>
      </c>
      <c r="N20" s="4">
        <v>1125.1309950592267</v>
      </c>
      <c r="O20" s="4">
        <v>1010000</v>
      </c>
      <c r="P20" s="4">
        <v>22200</v>
      </c>
      <c r="Q20" s="4">
        <v>34600</v>
      </c>
      <c r="R20" s="5">
        <v>20.5</v>
      </c>
      <c r="S20" s="4">
        <v>31.8</v>
      </c>
      <c r="T20" s="4">
        <v>47300</v>
      </c>
      <c r="U20" s="4">
        <v>7469960000</v>
      </c>
      <c r="V20" s="4">
        <v>1525.5309950592268</v>
      </c>
      <c r="W20" s="4">
        <v>9</v>
      </c>
      <c r="X20" s="9" t="str">
        <f>IF(Calcul!$AG$2=460,"a0","a")</f>
        <v>a</v>
      </c>
      <c r="Y20" s="9" t="str">
        <f>IF(Calcul!$AG$2=460,"a0","b")</f>
        <v>b</v>
      </c>
      <c r="Z20" s="156">
        <f t="shared" si="0"/>
        <v>83207.496414025882</v>
      </c>
      <c r="AA20" s="31">
        <f t="shared" si="1"/>
        <v>7738.1100000000006</v>
      </c>
    </row>
    <row r="21" spans="1:27" ht="13">
      <c r="A21" s="17">
        <v>19</v>
      </c>
      <c r="B21" s="4" t="s">
        <v>34</v>
      </c>
      <c r="C21" s="4"/>
      <c r="D21" s="4">
        <v>21.3</v>
      </c>
      <c r="E21" s="4">
        <v>182</v>
      </c>
      <c r="F21" s="4">
        <v>92</v>
      </c>
      <c r="G21" s="5">
        <v>6</v>
      </c>
      <c r="H21" s="5">
        <v>9</v>
      </c>
      <c r="I21" s="4">
        <v>2709.5309950000001</v>
      </c>
      <c r="J21" s="4">
        <v>15050000</v>
      </c>
      <c r="K21" s="4">
        <v>165000</v>
      </c>
      <c r="L21" s="4">
        <v>189000</v>
      </c>
      <c r="M21" s="4">
        <v>74.5</v>
      </c>
      <c r="N21" s="4">
        <v>1269.5309950592268</v>
      </c>
      <c r="O21" s="4">
        <v>1170000</v>
      </c>
      <c r="P21" s="4">
        <v>25500</v>
      </c>
      <c r="Q21" s="4">
        <v>39900</v>
      </c>
      <c r="R21" s="5">
        <v>20.8</v>
      </c>
      <c r="S21" s="4">
        <v>34.5</v>
      </c>
      <c r="T21" s="4">
        <v>66500</v>
      </c>
      <c r="U21" s="4">
        <v>8754232500</v>
      </c>
      <c r="V21" s="4">
        <v>1725.5309950592268</v>
      </c>
      <c r="W21" s="4">
        <v>9</v>
      </c>
      <c r="X21" s="9" t="str">
        <f>IF(Calcul!$AG$2=460,"a0","a")</f>
        <v>a</v>
      </c>
      <c r="Y21" s="9" t="str">
        <f>IF(Calcul!$AG$2=460,"a0","b")</f>
        <v>b</v>
      </c>
      <c r="Z21" s="156">
        <f t="shared" si="0"/>
        <v>94574.89641402589</v>
      </c>
      <c r="AA21" s="31">
        <f t="shared" si="1"/>
        <v>8874</v>
      </c>
    </row>
    <row r="22" spans="1:27" ht="13">
      <c r="A22" s="17">
        <v>20</v>
      </c>
      <c r="B22" s="4" t="s">
        <v>671</v>
      </c>
      <c r="C22" s="4"/>
      <c r="D22" s="4">
        <v>18</v>
      </c>
      <c r="E22" s="4">
        <v>196.4</v>
      </c>
      <c r="F22" s="4">
        <v>100</v>
      </c>
      <c r="G22" s="5">
        <v>4.5</v>
      </c>
      <c r="H22" s="5">
        <v>6.7</v>
      </c>
      <c r="I22" s="4">
        <v>2287.1106580000001</v>
      </c>
      <c r="J22" s="4">
        <v>15330000</v>
      </c>
      <c r="K22" s="4">
        <v>156000</v>
      </c>
      <c r="L22" s="4">
        <v>176000</v>
      </c>
      <c r="M22" s="4">
        <v>81.900000000000006</v>
      </c>
      <c r="N22" s="4">
        <v>1138.06065788307</v>
      </c>
      <c r="O22" s="4">
        <v>1120000</v>
      </c>
      <c r="P22" s="4">
        <v>22400</v>
      </c>
      <c r="Q22" s="4">
        <v>35000</v>
      </c>
      <c r="R22" s="5">
        <v>22.1</v>
      </c>
      <c r="S22" s="4">
        <v>32</v>
      </c>
      <c r="T22" s="4">
        <v>38100</v>
      </c>
      <c r="U22" s="4">
        <v>10076105200.000002</v>
      </c>
      <c r="V22" s="4">
        <v>1463.61065788307</v>
      </c>
      <c r="W22" s="4">
        <v>12</v>
      </c>
      <c r="X22" s="9" t="str">
        <f>IF(Calcul!$AG$2=460,"a0","a")</f>
        <v>a</v>
      </c>
      <c r="Y22" s="9" t="str">
        <f>IF(Calcul!$AG$2=460,"a0","b")</f>
        <v>b</v>
      </c>
      <c r="Z22" s="156">
        <f t="shared" si="0"/>
        <v>87876.621930085472</v>
      </c>
      <c r="AA22" s="31">
        <f t="shared" si="1"/>
        <v>7694.7406250000004</v>
      </c>
    </row>
    <row r="23" spans="1:27" ht="13">
      <c r="A23" s="17">
        <v>21</v>
      </c>
      <c r="B23" s="4" t="s">
        <v>35</v>
      </c>
      <c r="C23" s="4"/>
      <c r="D23" s="4">
        <v>18.399999999999999</v>
      </c>
      <c r="E23" s="4">
        <v>197</v>
      </c>
      <c r="F23" s="4">
        <v>100</v>
      </c>
      <c r="G23" s="5">
        <v>4.5</v>
      </c>
      <c r="H23" s="5">
        <v>7</v>
      </c>
      <c r="I23" s="4">
        <v>2347.1106580000001</v>
      </c>
      <c r="J23" s="4">
        <v>15910000</v>
      </c>
      <c r="K23" s="4">
        <v>162000</v>
      </c>
      <c r="L23" s="4">
        <v>182000</v>
      </c>
      <c r="M23" s="4">
        <v>82.3</v>
      </c>
      <c r="N23" s="4">
        <v>1146.61065788307</v>
      </c>
      <c r="O23" s="4">
        <v>1170000</v>
      </c>
      <c r="P23" s="4">
        <v>23400</v>
      </c>
      <c r="Q23" s="4">
        <v>36500</v>
      </c>
      <c r="R23" s="5">
        <v>22.3</v>
      </c>
      <c r="S23" s="4">
        <v>32.6</v>
      </c>
      <c r="T23" s="4">
        <v>41400</v>
      </c>
      <c r="U23" s="4">
        <v>10559250000</v>
      </c>
      <c r="V23" s="4">
        <v>1523.61065788307</v>
      </c>
      <c r="W23" s="4">
        <v>12</v>
      </c>
      <c r="X23" s="9" t="str">
        <f>IF(Calcul!$AG$2=460,"a0","a")</f>
        <v>a</v>
      </c>
      <c r="Y23" s="9" t="str">
        <f>IF(Calcul!$AG$2=460,"a0","b")</f>
        <v>b</v>
      </c>
      <c r="Z23" s="156">
        <f t="shared" si="0"/>
        <v>90827.121930085472</v>
      </c>
      <c r="AA23" s="31">
        <f t="shared" si="1"/>
        <v>8039.28125</v>
      </c>
    </row>
    <row r="24" spans="1:27" ht="13">
      <c r="A24" s="17">
        <v>22</v>
      </c>
      <c r="B24" s="4" t="s">
        <v>36</v>
      </c>
      <c r="C24" s="4"/>
      <c r="D24" s="4">
        <v>22.4</v>
      </c>
      <c r="E24" s="4">
        <v>200</v>
      </c>
      <c r="F24" s="4">
        <v>100</v>
      </c>
      <c r="G24" s="5">
        <v>5.6</v>
      </c>
      <c r="H24" s="5">
        <v>8.5</v>
      </c>
      <c r="I24" s="4">
        <v>2848.4106579999998</v>
      </c>
      <c r="J24" s="4">
        <v>19430000</v>
      </c>
      <c r="K24" s="4">
        <v>194000</v>
      </c>
      <c r="L24" s="4">
        <v>221000</v>
      </c>
      <c r="M24" s="4">
        <v>82.6</v>
      </c>
      <c r="N24" s="4">
        <v>1400.0106578830701</v>
      </c>
      <c r="O24" s="4">
        <v>1420000</v>
      </c>
      <c r="P24" s="4">
        <v>28500</v>
      </c>
      <c r="Q24" s="4">
        <v>44600</v>
      </c>
      <c r="R24" s="5">
        <v>22.4</v>
      </c>
      <c r="S24" s="4">
        <v>36.700000000000003</v>
      </c>
      <c r="T24" s="4">
        <v>69200</v>
      </c>
      <c r="U24" s="4">
        <v>13018648750</v>
      </c>
      <c r="V24" s="4">
        <v>1823.6106578830702</v>
      </c>
      <c r="W24" s="4">
        <v>12</v>
      </c>
      <c r="X24" s="9" t="str">
        <f>IF(Calcul!$AG$2=460,"a0","a")</f>
        <v>a</v>
      </c>
      <c r="Y24" s="9" t="str">
        <f>IF(Calcul!$AG$2=460,"a0","b")</f>
        <v>b</v>
      </c>
      <c r="Z24" s="156">
        <f t="shared" si="0"/>
        <v>110319.35943008547</v>
      </c>
      <c r="AA24" s="31">
        <f t="shared" si="1"/>
        <v>9694.08</v>
      </c>
    </row>
    <row r="25" spans="1:27" ht="13">
      <c r="A25" s="17">
        <v>23</v>
      </c>
      <c r="B25" s="4" t="s">
        <v>37</v>
      </c>
      <c r="C25" s="4"/>
      <c r="D25" s="4">
        <v>25.1</v>
      </c>
      <c r="E25" s="4">
        <v>202</v>
      </c>
      <c r="F25" s="4">
        <v>102</v>
      </c>
      <c r="G25" s="5">
        <v>6.2</v>
      </c>
      <c r="H25" s="5">
        <v>9.5</v>
      </c>
      <c r="I25" s="4">
        <v>3196.210658</v>
      </c>
      <c r="J25" s="4">
        <v>22110000</v>
      </c>
      <c r="K25" s="4">
        <v>219000</v>
      </c>
      <c r="L25" s="4">
        <v>249000</v>
      </c>
      <c r="M25" s="4">
        <v>83.2</v>
      </c>
      <c r="N25" s="4">
        <v>1545.1106578830704</v>
      </c>
      <c r="O25" s="4">
        <v>1690000</v>
      </c>
      <c r="P25" s="4">
        <v>33100</v>
      </c>
      <c r="Q25" s="4">
        <v>51900</v>
      </c>
      <c r="R25" s="5">
        <v>23</v>
      </c>
      <c r="S25" s="4">
        <v>39.299999999999997</v>
      </c>
      <c r="T25" s="4">
        <v>93600</v>
      </c>
      <c r="U25" s="4">
        <v>15656265625</v>
      </c>
      <c r="V25" s="4">
        <v>2061.6106578830704</v>
      </c>
      <c r="W25" s="4">
        <v>12</v>
      </c>
      <c r="X25" s="9" t="str">
        <f>IF(Calcul!$AG$2=460,"a0","a")</f>
        <v>a</v>
      </c>
      <c r="Y25" s="9" t="str">
        <f>IF(Calcul!$AG$2=460,"a0","b")</f>
        <v>b</v>
      </c>
      <c r="Z25" s="156">
        <f t="shared" si="0"/>
        <v>124709.78443008548</v>
      </c>
      <c r="AA25" s="31">
        <f t="shared" si="1"/>
        <v>11271.702499999998</v>
      </c>
    </row>
    <row r="26" spans="1:27" ht="13">
      <c r="A26" s="17">
        <v>24</v>
      </c>
      <c r="B26" s="4" t="s">
        <v>672</v>
      </c>
      <c r="C26" s="4"/>
      <c r="D26" s="4">
        <v>21.2</v>
      </c>
      <c r="E26" s="4">
        <v>216.4</v>
      </c>
      <c r="F26" s="4">
        <v>110</v>
      </c>
      <c r="G26" s="5">
        <v>4.7</v>
      </c>
      <c r="H26" s="5">
        <v>7.4</v>
      </c>
      <c r="I26" s="4">
        <v>2699.130658</v>
      </c>
      <c r="J26" s="4">
        <v>22190000</v>
      </c>
      <c r="K26" s="4">
        <v>205000</v>
      </c>
      <c r="L26" s="4">
        <v>230000</v>
      </c>
      <c r="M26" s="4">
        <v>90.7</v>
      </c>
      <c r="N26" s="4">
        <v>1283.5106578830701</v>
      </c>
      <c r="O26" s="4">
        <v>1650000</v>
      </c>
      <c r="P26" s="4">
        <v>29900</v>
      </c>
      <c r="Q26" s="4">
        <v>46500</v>
      </c>
      <c r="R26" s="5">
        <v>24.7</v>
      </c>
      <c r="S26" s="4">
        <v>33.6</v>
      </c>
      <c r="T26" s="4">
        <v>50600</v>
      </c>
      <c r="U26" s="4">
        <v>18018412500</v>
      </c>
      <c r="V26" s="4">
        <v>1751.61065788307</v>
      </c>
      <c r="W26" s="4">
        <v>12</v>
      </c>
      <c r="X26" s="9" t="str">
        <f>IF(Calcul!$AG$2=460,"a0","a")</f>
        <v>a</v>
      </c>
      <c r="Y26" s="9" t="str">
        <f>IF(Calcul!$AG$2=460,"a0","b")</f>
        <v>b</v>
      </c>
      <c r="Z26" s="156">
        <f t="shared" si="0"/>
        <v>115004.85298924174</v>
      </c>
      <c r="AA26" s="31">
        <f t="shared" si="1"/>
        <v>10430.58675</v>
      </c>
    </row>
    <row r="27" spans="1:27" ht="13">
      <c r="A27" s="17">
        <v>25</v>
      </c>
      <c r="B27" s="4" t="s">
        <v>38</v>
      </c>
      <c r="C27" s="4"/>
      <c r="D27" s="4">
        <v>22.2</v>
      </c>
      <c r="E27" s="4">
        <v>217</v>
      </c>
      <c r="F27" s="4">
        <v>110</v>
      </c>
      <c r="G27" s="5">
        <v>5</v>
      </c>
      <c r="H27" s="5">
        <v>7.7</v>
      </c>
      <c r="I27" s="4">
        <v>2825.6106580000001</v>
      </c>
      <c r="J27" s="4">
        <v>23170000</v>
      </c>
      <c r="K27" s="4">
        <v>214000</v>
      </c>
      <c r="L27" s="4">
        <v>240000</v>
      </c>
      <c r="M27" s="4">
        <v>90.5</v>
      </c>
      <c r="N27" s="4">
        <v>1354.9106578830699</v>
      </c>
      <c r="O27" s="4">
        <v>1710000</v>
      </c>
      <c r="P27" s="4">
        <v>31200</v>
      </c>
      <c r="Q27" s="4">
        <v>48500</v>
      </c>
      <c r="R27" s="5">
        <v>24.6</v>
      </c>
      <c r="S27" s="4">
        <v>34.5</v>
      </c>
      <c r="T27" s="4">
        <v>56800</v>
      </c>
      <c r="U27" s="4">
        <v>18727274475.000004</v>
      </c>
      <c r="V27" s="4">
        <v>1817.61065788307</v>
      </c>
      <c r="W27" s="4">
        <v>12</v>
      </c>
      <c r="X27" s="9" t="str">
        <f>IF(Calcul!$AG$2=460,"a0","a")</f>
        <v>a</v>
      </c>
      <c r="Y27" s="9" t="str">
        <f>IF(Calcul!$AG$2=460,"a0","b")</f>
        <v>b</v>
      </c>
      <c r="Z27" s="156">
        <f t="shared" si="0"/>
        <v>120104.49898924175</v>
      </c>
      <c r="AA27" s="31">
        <f t="shared" si="1"/>
        <v>10836.7875</v>
      </c>
    </row>
    <row r="28" spans="1:27" ht="13">
      <c r="A28" s="17">
        <v>26</v>
      </c>
      <c r="B28" s="4" t="s">
        <v>39</v>
      </c>
      <c r="C28" s="4"/>
      <c r="D28" s="4">
        <v>26.2</v>
      </c>
      <c r="E28" s="4">
        <v>220</v>
      </c>
      <c r="F28" s="4">
        <v>110</v>
      </c>
      <c r="G28" s="5">
        <v>5.9</v>
      </c>
      <c r="H28" s="5">
        <v>9.1999999999999993</v>
      </c>
      <c r="I28" s="4">
        <v>3337.0506580000001</v>
      </c>
      <c r="J28" s="4">
        <v>27720000</v>
      </c>
      <c r="K28" s="4">
        <v>252000</v>
      </c>
      <c r="L28" s="4">
        <v>285000</v>
      </c>
      <c r="M28" s="4">
        <v>91.1</v>
      </c>
      <c r="N28" s="4">
        <v>1588.1306578830697</v>
      </c>
      <c r="O28" s="4">
        <v>2050000</v>
      </c>
      <c r="P28" s="4">
        <v>37300</v>
      </c>
      <c r="Q28" s="4">
        <v>58100</v>
      </c>
      <c r="R28" s="5">
        <v>24.8</v>
      </c>
      <c r="S28" s="4">
        <v>38.4</v>
      </c>
      <c r="T28" s="4">
        <v>90300</v>
      </c>
      <c r="U28" s="4">
        <v>22773778000.000004</v>
      </c>
      <c r="V28" s="4">
        <v>2147.61065788307</v>
      </c>
      <c r="W28" s="4">
        <v>12</v>
      </c>
      <c r="X28" s="9" t="str">
        <f>IF(Calcul!$AG$2=460,"a0","a")</f>
        <v>a</v>
      </c>
      <c r="Y28" s="9" t="str">
        <f>IF(Calcul!$AG$2=460,"a0","b")</f>
        <v>b</v>
      </c>
      <c r="Z28" s="156">
        <f t="shared" si="0"/>
        <v>142703.03698924172</v>
      </c>
      <c r="AA28" s="31">
        <f t="shared" si="1"/>
        <v>12886.888499999999</v>
      </c>
    </row>
    <row r="29" spans="1:27" ht="13">
      <c r="A29" s="17">
        <v>27</v>
      </c>
      <c r="B29" s="4" t="s">
        <v>40</v>
      </c>
      <c r="C29" s="4"/>
      <c r="D29" s="4">
        <v>29.4</v>
      </c>
      <c r="E29" s="4">
        <v>222</v>
      </c>
      <c r="F29" s="4">
        <v>112</v>
      </c>
      <c r="G29" s="5">
        <v>6.6</v>
      </c>
      <c r="H29" s="5">
        <v>10.199999999999999</v>
      </c>
      <c r="I29" s="4">
        <v>3738.9706580000002</v>
      </c>
      <c r="J29" s="4">
        <v>31340000</v>
      </c>
      <c r="K29" s="4">
        <v>282000</v>
      </c>
      <c r="L29" s="4">
        <v>321000</v>
      </c>
      <c r="M29" s="4">
        <v>91.6</v>
      </c>
      <c r="N29" s="4">
        <v>1766.2906578830698</v>
      </c>
      <c r="O29" s="4">
        <v>2400000</v>
      </c>
      <c r="P29" s="4">
        <v>42800</v>
      </c>
      <c r="Q29" s="4">
        <v>66900</v>
      </c>
      <c r="R29" s="5">
        <v>25.3</v>
      </c>
      <c r="S29" s="4">
        <v>41.1</v>
      </c>
      <c r="T29" s="4">
        <v>122000</v>
      </c>
      <c r="U29" s="4">
        <v>26915544000.000004</v>
      </c>
      <c r="V29" s="4">
        <v>2408.4106578830697</v>
      </c>
      <c r="W29" s="4">
        <v>12</v>
      </c>
      <c r="X29" s="9" t="str">
        <f>IF(Calcul!$AG$2=460,"a0","a")</f>
        <v>a</v>
      </c>
      <c r="Y29" s="9" t="str">
        <f>IF(Calcul!$AG$2=460,"a0","b")</f>
        <v>b</v>
      </c>
      <c r="Z29" s="156">
        <f t="shared" si="0"/>
        <v>160574.62098924172</v>
      </c>
      <c r="AA29" s="31">
        <f t="shared" si="1"/>
        <v>14799.740999999998</v>
      </c>
    </row>
    <row r="30" spans="1:27" ht="13">
      <c r="A30" s="17">
        <v>28</v>
      </c>
      <c r="B30" s="4" t="s">
        <v>673</v>
      </c>
      <c r="C30" s="4"/>
      <c r="D30" s="4">
        <v>24.9</v>
      </c>
      <c r="E30" s="4">
        <v>236.4</v>
      </c>
      <c r="F30" s="4">
        <v>120</v>
      </c>
      <c r="G30" s="5">
        <v>4.8</v>
      </c>
      <c r="H30" s="5">
        <v>8</v>
      </c>
      <c r="I30" s="4">
        <v>3171.0616530000002</v>
      </c>
      <c r="J30" s="4">
        <v>31540000</v>
      </c>
      <c r="K30" s="4">
        <v>267000</v>
      </c>
      <c r="L30" s="4">
        <v>298000</v>
      </c>
      <c r="M30" s="4">
        <v>99.7</v>
      </c>
      <c r="N30" s="4">
        <v>1529.461652942297</v>
      </c>
      <c r="O30" s="4">
        <v>2310000</v>
      </c>
      <c r="P30" s="4">
        <v>38600</v>
      </c>
      <c r="Q30" s="4">
        <v>60000</v>
      </c>
      <c r="R30" s="5">
        <v>27</v>
      </c>
      <c r="S30" s="4">
        <v>38.4</v>
      </c>
      <c r="T30" s="4">
        <v>76100</v>
      </c>
      <c r="U30" s="4">
        <v>30126188400.000004</v>
      </c>
      <c r="V30" s="4">
        <v>2113.1416529422968</v>
      </c>
      <c r="W30" s="4">
        <v>15</v>
      </c>
      <c r="X30" s="9" t="str">
        <f>IF(Calcul!$AG$2=460,"a0","a")</f>
        <v>a</v>
      </c>
      <c r="Y30" s="9" t="str">
        <f>IF(Calcul!$AG$2=460,"a0","b")</f>
        <v>b</v>
      </c>
      <c r="Z30" s="156">
        <f t="shared" si="0"/>
        <v>149096.30856136864</v>
      </c>
      <c r="AA30" s="31">
        <f t="shared" si="1"/>
        <v>13188.96</v>
      </c>
    </row>
    <row r="31" spans="1:27" ht="13">
      <c r="A31" s="17">
        <v>29</v>
      </c>
      <c r="B31" s="4" t="s">
        <v>41</v>
      </c>
      <c r="C31" s="4"/>
      <c r="D31" s="4">
        <v>26.2</v>
      </c>
      <c r="E31" s="4">
        <v>237</v>
      </c>
      <c r="F31" s="4">
        <v>120</v>
      </c>
      <c r="G31" s="5">
        <v>5.2</v>
      </c>
      <c r="H31" s="5">
        <v>8.3000000000000007</v>
      </c>
      <c r="I31" s="4">
        <v>3331.2216530000001</v>
      </c>
      <c r="J31" s="4">
        <v>32900000</v>
      </c>
      <c r="K31" s="4">
        <v>278000</v>
      </c>
      <c r="L31" s="4">
        <v>312000</v>
      </c>
      <c r="M31" s="4">
        <v>99.4</v>
      </c>
      <c r="N31" s="4">
        <v>1631.3816529422966</v>
      </c>
      <c r="O31" s="4">
        <v>2400000</v>
      </c>
      <c r="P31" s="4">
        <v>40000</v>
      </c>
      <c r="Q31" s="4">
        <v>62400</v>
      </c>
      <c r="R31" s="5">
        <v>26.8</v>
      </c>
      <c r="S31" s="4">
        <v>39.4</v>
      </c>
      <c r="T31" s="4">
        <v>85000</v>
      </c>
      <c r="U31" s="4">
        <v>31382213999.999996</v>
      </c>
      <c r="V31" s="4">
        <v>2185.1416529422968</v>
      </c>
      <c r="W31" s="4">
        <v>15</v>
      </c>
      <c r="X31" s="9" t="str">
        <f>IF(Calcul!$AG$2=460,"a0","a")</f>
        <v>a</v>
      </c>
      <c r="Y31" s="9" t="str">
        <f>IF(Calcul!$AG$2=460,"a0","b")</f>
        <v>b</v>
      </c>
      <c r="Z31" s="156">
        <f t="shared" si="0"/>
        <v>155785.71656136867</v>
      </c>
      <c r="AA31" s="31">
        <f t="shared" si="1"/>
        <v>13654.496000000003</v>
      </c>
    </row>
    <row r="32" spans="1:27" ht="13">
      <c r="A32" s="17">
        <v>30</v>
      </c>
      <c r="B32" s="4" t="s">
        <v>42</v>
      </c>
      <c r="C32" s="4"/>
      <c r="D32" s="4">
        <v>30.7</v>
      </c>
      <c r="E32" s="4">
        <v>240</v>
      </c>
      <c r="F32" s="4">
        <v>120</v>
      </c>
      <c r="G32" s="5">
        <v>6.2</v>
      </c>
      <c r="H32" s="5">
        <v>9.8000000000000007</v>
      </c>
      <c r="I32" s="4">
        <v>3911.6216530000002</v>
      </c>
      <c r="J32" s="4">
        <v>38920000</v>
      </c>
      <c r="K32" s="4">
        <v>324000</v>
      </c>
      <c r="L32" s="4">
        <v>367000</v>
      </c>
      <c r="M32" s="4">
        <v>99.7</v>
      </c>
      <c r="N32" s="4">
        <v>1914.3816529422968</v>
      </c>
      <c r="O32" s="4">
        <v>2840000</v>
      </c>
      <c r="P32" s="4">
        <v>47300</v>
      </c>
      <c r="Q32" s="4">
        <v>73900</v>
      </c>
      <c r="R32" s="5">
        <v>26.9</v>
      </c>
      <c r="S32" s="4">
        <v>43.4</v>
      </c>
      <c r="T32" s="4">
        <v>130000</v>
      </c>
      <c r="U32" s="4">
        <v>37624348399.999992</v>
      </c>
      <c r="V32" s="4">
        <v>2545.1416529422963</v>
      </c>
      <c r="W32" s="4">
        <v>15</v>
      </c>
      <c r="X32" s="9" t="str">
        <f>IF(Calcul!$AG$2=460,"a0","a")</f>
        <v>a</v>
      </c>
      <c r="Y32" s="9" t="str">
        <f>IF(Calcul!$AG$2=460,"a0","b")</f>
        <v>b</v>
      </c>
      <c r="Z32" s="156">
        <f t="shared" si="0"/>
        <v>183322.73656136866</v>
      </c>
      <c r="AA32" s="31">
        <f t="shared" si="1"/>
        <v>16034.711000000001</v>
      </c>
    </row>
    <row r="33" spans="1:27" ht="13">
      <c r="A33" s="17">
        <v>31</v>
      </c>
      <c r="B33" s="4" t="s">
        <v>43</v>
      </c>
      <c r="C33" s="4"/>
      <c r="D33" s="4">
        <v>34.299999999999997</v>
      </c>
      <c r="E33" s="4">
        <v>242</v>
      </c>
      <c r="F33" s="4">
        <v>122</v>
      </c>
      <c r="G33" s="5">
        <v>7</v>
      </c>
      <c r="H33" s="5">
        <v>10.8</v>
      </c>
      <c r="I33" s="4">
        <v>4371.1416529999997</v>
      </c>
      <c r="J33" s="4">
        <v>43690000</v>
      </c>
      <c r="K33" s="4">
        <v>361000</v>
      </c>
      <c r="L33" s="4">
        <v>410000</v>
      </c>
      <c r="M33" s="4">
        <v>100</v>
      </c>
      <c r="N33" s="4">
        <v>2135.5416529422964</v>
      </c>
      <c r="O33" s="4">
        <v>3290000</v>
      </c>
      <c r="P33" s="4">
        <v>53900</v>
      </c>
      <c r="Q33" s="4">
        <v>84400</v>
      </c>
      <c r="R33" s="5">
        <v>27.4</v>
      </c>
      <c r="S33" s="4">
        <v>46.2</v>
      </c>
      <c r="T33" s="4">
        <v>171000</v>
      </c>
      <c r="U33" s="4">
        <v>43965454399.999992</v>
      </c>
      <c r="V33" s="4">
        <v>2828.3416529422966</v>
      </c>
      <c r="W33" s="4">
        <v>15</v>
      </c>
      <c r="X33" s="9" t="str">
        <f>IF(Calcul!$AG$2=460,"a0","a")</f>
        <v>a</v>
      </c>
      <c r="Y33" s="9" t="str">
        <f>IF(Calcul!$AG$2=460,"a0","b")</f>
        <v>b</v>
      </c>
      <c r="Z33" s="156">
        <f t="shared" si="0"/>
        <v>205137.31256136863</v>
      </c>
      <c r="AA33" s="31">
        <f t="shared" si="1"/>
        <v>18245.25</v>
      </c>
    </row>
    <row r="34" spans="1:27" ht="13">
      <c r="A34" s="17">
        <v>32</v>
      </c>
      <c r="B34" s="4" t="s">
        <v>44</v>
      </c>
      <c r="C34" s="4"/>
      <c r="D34" s="4">
        <v>30.7</v>
      </c>
      <c r="E34" s="4">
        <v>267</v>
      </c>
      <c r="F34" s="4">
        <v>135</v>
      </c>
      <c r="G34" s="5">
        <v>5.5</v>
      </c>
      <c r="H34" s="5">
        <v>8.6999999999999993</v>
      </c>
      <c r="I34" s="4">
        <v>3914.9416529999999</v>
      </c>
      <c r="J34" s="4">
        <v>49170000</v>
      </c>
      <c r="K34" s="4">
        <v>368000</v>
      </c>
      <c r="L34" s="4">
        <v>413000</v>
      </c>
      <c r="M34" s="4">
        <v>112</v>
      </c>
      <c r="N34" s="4">
        <v>1874.7916529422969</v>
      </c>
      <c r="O34" s="4">
        <v>3580000</v>
      </c>
      <c r="P34" s="4">
        <v>53000</v>
      </c>
      <c r="Q34" s="4">
        <v>82300</v>
      </c>
      <c r="R34" s="5">
        <v>30.2</v>
      </c>
      <c r="S34" s="4">
        <v>40.5</v>
      </c>
      <c r="T34" s="4">
        <v>104000</v>
      </c>
      <c r="U34" s="4">
        <v>59713406550</v>
      </c>
      <c r="V34" s="4">
        <v>2542.1416529422968</v>
      </c>
      <c r="W34" s="4">
        <v>15</v>
      </c>
      <c r="X34" s="9" t="str">
        <f>IF(Calcul!$AG$2=460,"a0","a")</f>
        <v>a</v>
      </c>
      <c r="Y34" s="9" t="str">
        <f>IF(Calcul!$AG$2=460,"a0","b")</f>
        <v>b</v>
      </c>
      <c r="Z34" s="156">
        <f t="shared" si="0"/>
        <v>206246.58162784742</v>
      </c>
      <c r="AA34" s="31">
        <f t="shared" si="1"/>
        <v>18449.165624999998</v>
      </c>
    </row>
    <row r="35" spans="1:27" ht="13">
      <c r="A35" s="17">
        <v>33</v>
      </c>
      <c r="B35" s="4" t="s">
        <v>45</v>
      </c>
      <c r="C35" s="4"/>
      <c r="D35" s="4">
        <v>36.1</v>
      </c>
      <c r="E35" s="4">
        <v>270</v>
      </c>
      <c r="F35" s="4">
        <v>135</v>
      </c>
      <c r="G35" s="5">
        <v>6.6</v>
      </c>
      <c r="H35" s="5">
        <v>10.199999999999999</v>
      </c>
      <c r="I35" s="4">
        <v>4594.5016530000003</v>
      </c>
      <c r="J35" s="4">
        <v>57900000</v>
      </c>
      <c r="K35" s="4">
        <v>429000</v>
      </c>
      <c r="L35" s="4">
        <v>484000</v>
      </c>
      <c r="M35" s="4">
        <v>112</v>
      </c>
      <c r="N35" s="4">
        <v>2213.8216529422966</v>
      </c>
      <c r="O35" s="4">
        <v>4200000</v>
      </c>
      <c r="P35" s="4">
        <v>62200</v>
      </c>
      <c r="Q35" s="4">
        <v>97000</v>
      </c>
      <c r="R35" s="5">
        <v>30.2</v>
      </c>
      <c r="S35" s="4">
        <v>44.6</v>
      </c>
      <c r="T35" s="4">
        <v>159000</v>
      </c>
      <c r="U35" s="4">
        <v>70870842000.000015</v>
      </c>
      <c r="V35" s="4">
        <v>2947.1416529422968</v>
      </c>
      <c r="W35" s="4">
        <v>15</v>
      </c>
      <c r="X35" s="9" t="str">
        <f>IF(Calcul!$AG$2=460,"a0","a")</f>
        <v>a</v>
      </c>
      <c r="Y35" s="9" t="str">
        <f>IF(Calcul!$AG$2=460,"a0","b")</f>
        <v>b</v>
      </c>
      <c r="Z35" s="156">
        <f t="shared" ref="Z35:Z70" si="2">G35*(0.5*E35-H35)^2/2+(2-PI()/2)*W35^2*((0.5*E35-H35-W35)+(((1-PI()/2*0.4244)*W35)/(2-PI()/2)))+(H35*F35)*(0.5*E35-0.5*H35)</f>
        <v>241998.47862784742</v>
      </c>
      <c r="AA35" s="31">
        <f t="shared" ref="AA35:AA70" si="3">(0.5*(0.5*F35-W35-0.5*G35)+W35+0.5*G35)*H35*(0.5*F35-W35-0.5*G35)</f>
        <v>21528.935999999998</v>
      </c>
    </row>
    <row r="36" spans="1:27" ht="13">
      <c r="A36" s="17">
        <v>34</v>
      </c>
      <c r="B36" s="4" t="s">
        <v>46</v>
      </c>
      <c r="C36" s="4"/>
      <c r="D36" s="4">
        <v>42.3</v>
      </c>
      <c r="E36" s="4">
        <v>274</v>
      </c>
      <c r="F36" s="4">
        <v>136</v>
      </c>
      <c r="G36" s="5">
        <v>7.5</v>
      </c>
      <c r="H36" s="5">
        <v>12.2</v>
      </c>
      <c r="I36" s="4">
        <v>5383.5416530000002</v>
      </c>
      <c r="J36" s="4">
        <v>69470000</v>
      </c>
      <c r="K36" s="4">
        <v>507000</v>
      </c>
      <c r="L36" s="4">
        <v>575000</v>
      </c>
      <c r="M36" s="4">
        <v>114</v>
      </c>
      <c r="N36" s="4">
        <v>2522.6416529422968</v>
      </c>
      <c r="O36" s="4">
        <v>5140000</v>
      </c>
      <c r="P36" s="4">
        <v>75500</v>
      </c>
      <c r="Q36" s="4">
        <v>118000</v>
      </c>
      <c r="R36" s="5">
        <v>30.9</v>
      </c>
      <c r="S36" s="4">
        <v>49.5</v>
      </c>
      <c r="T36" s="4">
        <v>250000</v>
      </c>
      <c r="U36" s="4">
        <v>88072923400</v>
      </c>
      <c r="V36" s="4">
        <v>3511.5416529422964</v>
      </c>
      <c r="W36" s="4">
        <v>15</v>
      </c>
      <c r="X36" s="9" t="str">
        <f>IF(Calcul!$AG$2=460,"a0","a")</f>
        <v>a</v>
      </c>
      <c r="Y36" s="9" t="str">
        <f>IF(Calcul!$AG$2=460,"a0","b")</f>
        <v>b</v>
      </c>
      <c r="Z36" s="156">
        <f t="shared" si="2"/>
        <v>287324.22662784741</v>
      </c>
      <c r="AA36" s="31">
        <f t="shared" si="3"/>
        <v>26061.868749999998</v>
      </c>
    </row>
    <row r="37" spans="1:27" ht="13">
      <c r="A37" s="17">
        <v>35</v>
      </c>
      <c r="B37" s="4" t="s">
        <v>47</v>
      </c>
      <c r="C37" s="4"/>
      <c r="D37" s="4">
        <v>36.5</v>
      </c>
      <c r="E37" s="4">
        <v>297</v>
      </c>
      <c r="F37" s="4">
        <v>150</v>
      </c>
      <c r="G37" s="5">
        <v>6.1</v>
      </c>
      <c r="H37" s="5">
        <v>9.1999999999999993</v>
      </c>
      <c r="I37" s="4">
        <v>4652.6016529999997</v>
      </c>
      <c r="J37" s="4">
        <v>71730000</v>
      </c>
      <c r="K37" s="4">
        <v>483000</v>
      </c>
      <c r="L37" s="4">
        <v>542000</v>
      </c>
      <c r="M37" s="4">
        <v>124</v>
      </c>
      <c r="N37" s="4">
        <v>2224.7216529422976</v>
      </c>
      <c r="O37" s="4">
        <v>5190000</v>
      </c>
      <c r="P37" s="4">
        <v>69200</v>
      </c>
      <c r="Q37" s="4">
        <v>107000</v>
      </c>
      <c r="R37" s="5">
        <v>33.4</v>
      </c>
      <c r="S37" s="4">
        <v>42.1</v>
      </c>
      <c r="T37" s="4">
        <v>134000</v>
      </c>
      <c r="U37" s="4">
        <v>107470419900.00002</v>
      </c>
      <c r="V37" s="4">
        <v>2953.1416529422972</v>
      </c>
      <c r="W37" s="4">
        <v>15</v>
      </c>
      <c r="X37" s="9" t="str">
        <f>IF(Calcul!$AG$2=460,"a0","a")</f>
        <v>a</v>
      </c>
      <c r="Y37" s="9" t="str">
        <f>IF(Calcul!$AG$2=460,"a0","b")</f>
        <v>b</v>
      </c>
      <c r="Z37" s="156">
        <f t="shared" si="2"/>
        <v>270894.51811167906</v>
      </c>
      <c r="AA37" s="31">
        <f t="shared" si="3"/>
        <v>24376.308499999999</v>
      </c>
    </row>
    <row r="38" spans="1:27" ht="13">
      <c r="A38" s="17">
        <v>36</v>
      </c>
      <c r="B38" s="4" t="s">
        <v>48</v>
      </c>
      <c r="C38" s="4"/>
      <c r="D38" s="4">
        <v>42.2</v>
      </c>
      <c r="E38" s="4">
        <v>300</v>
      </c>
      <c r="F38" s="4">
        <v>150</v>
      </c>
      <c r="G38" s="5">
        <v>7.1</v>
      </c>
      <c r="H38" s="5">
        <v>10.7</v>
      </c>
      <c r="I38" s="4">
        <v>5381.2016530000001</v>
      </c>
      <c r="J38" s="4">
        <v>83560000</v>
      </c>
      <c r="K38" s="4">
        <v>557000</v>
      </c>
      <c r="L38" s="4">
        <v>628000</v>
      </c>
      <c r="M38" s="4">
        <v>125</v>
      </c>
      <c r="N38" s="4">
        <v>2568.171652942297</v>
      </c>
      <c r="O38" s="4">
        <v>6040000</v>
      </c>
      <c r="P38" s="4">
        <v>80500</v>
      </c>
      <c r="Q38" s="4">
        <v>125000</v>
      </c>
      <c r="R38" s="5">
        <v>33.5</v>
      </c>
      <c r="S38" s="4">
        <v>46.1</v>
      </c>
      <c r="T38" s="4">
        <v>199000</v>
      </c>
      <c r="U38" s="4">
        <v>126378679900.00002</v>
      </c>
      <c r="V38" s="4">
        <v>3403.1416529422968</v>
      </c>
      <c r="W38" s="4">
        <v>15</v>
      </c>
      <c r="X38" s="9" t="str">
        <f>IF(Calcul!$AG$2=460,"a0","a")</f>
        <v>a</v>
      </c>
      <c r="Y38" s="9" t="str">
        <f>IF(Calcul!$AG$2=460,"a0","b")</f>
        <v>b</v>
      </c>
      <c r="Z38" s="156">
        <f t="shared" si="2"/>
        <v>314178.01311167906</v>
      </c>
      <c r="AA38" s="31">
        <f t="shared" si="3"/>
        <v>28252.801625</v>
      </c>
    </row>
    <row r="39" spans="1:27" ht="13">
      <c r="A39" s="17">
        <v>37</v>
      </c>
      <c r="B39" s="4" t="s">
        <v>49</v>
      </c>
      <c r="C39" s="4"/>
      <c r="D39" s="4">
        <v>49.3</v>
      </c>
      <c r="E39" s="4">
        <v>304</v>
      </c>
      <c r="F39" s="4">
        <v>152</v>
      </c>
      <c r="G39" s="5">
        <v>8</v>
      </c>
      <c r="H39" s="5">
        <v>12.7</v>
      </c>
      <c r="I39" s="4">
        <v>6282.741653</v>
      </c>
      <c r="J39" s="4">
        <v>99940000</v>
      </c>
      <c r="K39" s="4">
        <v>658000</v>
      </c>
      <c r="L39" s="4">
        <v>744000</v>
      </c>
      <c r="M39" s="4">
        <v>126</v>
      </c>
      <c r="N39" s="4">
        <v>2904.5416529422973</v>
      </c>
      <c r="O39" s="4">
        <v>7460000</v>
      </c>
      <c r="P39" s="4">
        <v>98100</v>
      </c>
      <c r="Q39" s="4">
        <v>153000</v>
      </c>
      <c r="R39" s="5">
        <v>34.5</v>
      </c>
      <c r="S39" s="4">
        <v>51</v>
      </c>
      <c r="T39" s="4">
        <v>310000</v>
      </c>
      <c r="U39" s="4">
        <v>158255861850</v>
      </c>
      <c r="V39" s="4">
        <v>4053.941652942297</v>
      </c>
      <c r="W39" s="4">
        <v>15</v>
      </c>
      <c r="X39" s="9" t="str">
        <f>IF(Calcul!$AG$2=460,"a0","a")</f>
        <v>a</v>
      </c>
      <c r="Y39" s="9" t="str">
        <f>IF(Calcul!$AG$2=460,"a0","b")</f>
        <v>b</v>
      </c>
      <c r="Z39" s="156">
        <f t="shared" si="2"/>
        <v>371909.54361167911</v>
      </c>
      <c r="AA39" s="31">
        <f t="shared" si="3"/>
        <v>34385.25</v>
      </c>
    </row>
    <row r="40" spans="1:27" ht="13">
      <c r="A40" s="17">
        <v>38</v>
      </c>
      <c r="B40" s="4" t="s">
        <v>50</v>
      </c>
      <c r="C40" s="4"/>
      <c r="D40" s="4">
        <v>43</v>
      </c>
      <c r="E40" s="4">
        <v>327</v>
      </c>
      <c r="F40" s="4">
        <v>160</v>
      </c>
      <c r="G40" s="5">
        <v>6.5</v>
      </c>
      <c r="H40" s="5">
        <v>10</v>
      </c>
      <c r="I40" s="4">
        <v>5473.6239800000003</v>
      </c>
      <c r="J40" s="4">
        <v>102300000</v>
      </c>
      <c r="K40" s="4">
        <v>626000</v>
      </c>
      <c r="L40" s="4">
        <v>702000</v>
      </c>
      <c r="M40" s="4">
        <v>137</v>
      </c>
      <c r="N40" s="4">
        <v>2698.6239802369073</v>
      </c>
      <c r="O40" s="4">
        <v>6850000</v>
      </c>
      <c r="P40" s="4">
        <v>85600</v>
      </c>
      <c r="Q40" s="4">
        <v>133000</v>
      </c>
      <c r="R40" s="5">
        <v>35.4</v>
      </c>
      <c r="S40" s="4">
        <v>47.6</v>
      </c>
      <c r="T40" s="4">
        <v>196000</v>
      </c>
      <c r="U40" s="4">
        <v>172087412500</v>
      </c>
      <c r="V40" s="4">
        <v>3478.1239802369073</v>
      </c>
      <c r="W40" s="4">
        <v>18</v>
      </c>
      <c r="X40" s="9" t="str">
        <f>IF(Calcul!$AG$2=460,"a0","a")</f>
        <v>a</v>
      </c>
      <c r="Y40" s="9" t="str">
        <f>IF(Calcul!$AG$2=460,"a0","b")</f>
        <v>b</v>
      </c>
      <c r="Z40" s="156">
        <f t="shared" si="2"/>
        <v>350964.33291596337</v>
      </c>
      <c r="AA40" s="31">
        <f t="shared" si="3"/>
        <v>29742.1875</v>
      </c>
    </row>
    <row r="41" spans="1:27" ht="13">
      <c r="A41" s="17">
        <v>39</v>
      </c>
      <c r="B41" s="4" t="s">
        <v>51</v>
      </c>
      <c r="C41" s="4"/>
      <c r="D41" s="4">
        <v>49.1</v>
      </c>
      <c r="E41" s="4">
        <v>330</v>
      </c>
      <c r="F41" s="4">
        <v>160</v>
      </c>
      <c r="G41" s="5">
        <v>7.5</v>
      </c>
      <c r="H41" s="5">
        <v>11.5</v>
      </c>
      <c r="I41" s="4">
        <v>6260.6239800000003</v>
      </c>
      <c r="J41" s="4">
        <v>117700000</v>
      </c>
      <c r="K41" s="4">
        <v>713000</v>
      </c>
      <c r="L41" s="4">
        <v>804000</v>
      </c>
      <c r="M41" s="4">
        <v>137</v>
      </c>
      <c r="N41" s="4">
        <v>3080.8739802369073</v>
      </c>
      <c r="O41" s="4">
        <v>7880000</v>
      </c>
      <c r="P41" s="4">
        <v>98500</v>
      </c>
      <c r="Q41" s="4">
        <v>154000</v>
      </c>
      <c r="R41" s="5">
        <v>35.5</v>
      </c>
      <c r="S41" s="4">
        <v>51.6</v>
      </c>
      <c r="T41" s="4">
        <v>281000</v>
      </c>
      <c r="U41" s="4">
        <v>199841232500.00003</v>
      </c>
      <c r="V41" s="4">
        <v>3958.1239802369073</v>
      </c>
      <c r="W41" s="4">
        <v>18</v>
      </c>
      <c r="X41" s="9" t="str">
        <f>IF(Calcul!$AG$2=460,"a0","a")</f>
        <v>a</v>
      </c>
      <c r="Y41" s="9" t="str">
        <f>IF(Calcul!$AG$2=460,"a0","b")</f>
        <v>b</v>
      </c>
      <c r="Z41" s="156">
        <f t="shared" si="2"/>
        <v>402165.45791596337</v>
      </c>
      <c r="AA41" s="31">
        <f t="shared" si="3"/>
        <v>34079.890625</v>
      </c>
    </row>
    <row r="42" spans="1:27" ht="13">
      <c r="A42" s="17">
        <v>40</v>
      </c>
      <c r="B42" s="4" t="s">
        <v>52</v>
      </c>
      <c r="C42" s="4"/>
      <c r="D42" s="4">
        <v>57</v>
      </c>
      <c r="E42" s="4">
        <v>334</v>
      </c>
      <c r="F42" s="4">
        <v>162</v>
      </c>
      <c r="G42" s="5">
        <v>8.5</v>
      </c>
      <c r="H42" s="5">
        <v>13.5</v>
      </c>
      <c r="I42" s="4">
        <v>7261.6239800000003</v>
      </c>
      <c r="J42" s="4">
        <v>139100000</v>
      </c>
      <c r="K42" s="4">
        <v>833000</v>
      </c>
      <c r="L42" s="4">
        <v>943000</v>
      </c>
      <c r="M42" s="4">
        <v>138</v>
      </c>
      <c r="N42" s="4">
        <v>3488.3739802369073</v>
      </c>
      <c r="O42" s="4">
        <v>9600000</v>
      </c>
      <c r="P42" s="4">
        <v>119000</v>
      </c>
      <c r="Q42" s="4">
        <v>185000</v>
      </c>
      <c r="R42" s="5">
        <v>36.4</v>
      </c>
      <c r="S42" s="4">
        <v>56.6</v>
      </c>
      <c r="T42" s="4">
        <v>422000</v>
      </c>
      <c r="U42" s="4">
        <v>246528600000</v>
      </c>
      <c r="V42" s="4">
        <v>4652.1239802369073</v>
      </c>
      <c r="W42" s="4">
        <v>18</v>
      </c>
      <c r="X42" s="9" t="str">
        <f>IF(Calcul!$AG$2=460,"a0","a")</f>
        <v>a</v>
      </c>
      <c r="Y42" s="9" t="str">
        <f>IF(Calcul!$AG$2=460,"a0","b")</f>
        <v>b</v>
      </c>
      <c r="Z42" s="156">
        <f t="shared" si="2"/>
        <v>471393.33291596337</v>
      </c>
      <c r="AA42" s="31">
        <f t="shared" si="3"/>
        <v>40945.078125</v>
      </c>
    </row>
    <row r="43" spans="1:27" ht="13">
      <c r="A43" s="17">
        <v>41</v>
      </c>
      <c r="B43" s="4" t="s">
        <v>674</v>
      </c>
      <c r="C43" s="4"/>
      <c r="D43" s="4">
        <v>50.2</v>
      </c>
      <c r="E43" s="4">
        <v>357.6</v>
      </c>
      <c r="F43" s="4">
        <v>170</v>
      </c>
      <c r="G43" s="5">
        <v>6.6</v>
      </c>
      <c r="H43" s="5">
        <v>11.5</v>
      </c>
      <c r="I43" s="4">
        <v>6396.48398</v>
      </c>
      <c r="J43" s="4">
        <v>145200000</v>
      </c>
      <c r="K43" s="4">
        <v>812000</v>
      </c>
      <c r="L43" s="4">
        <v>907000</v>
      </c>
      <c r="M43" s="4">
        <v>151</v>
      </c>
      <c r="N43" s="4">
        <v>2976.383980236908</v>
      </c>
      <c r="O43" s="4">
        <v>9440000</v>
      </c>
      <c r="P43" s="4">
        <v>111000</v>
      </c>
      <c r="Q43" s="4">
        <v>172000</v>
      </c>
      <c r="R43" s="5">
        <v>38.4</v>
      </c>
      <c r="S43" s="4">
        <v>50.7</v>
      </c>
      <c r="T43" s="4">
        <v>274000</v>
      </c>
      <c r="U43" s="4">
        <v>282693095600.00006</v>
      </c>
      <c r="V43" s="4">
        <v>4188.1239802369073</v>
      </c>
      <c r="W43" s="4">
        <v>18</v>
      </c>
      <c r="X43" s="9" t="str">
        <f>IF(Calcul!$AG$2=460,"a0","a")</f>
        <v>a</v>
      </c>
      <c r="Y43" s="9" t="str">
        <f>IF(Calcul!$AG$2=460,"a0","b")</f>
        <v>b</v>
      </c>
      <c r="Z43" s="156">
        <f t="shared" si="2"/>
        <v>453383.48287959804</v>
      </c>
      <c r="AA43" s="31">
        <f t="shared" si="3"/>
        <v>38935.032500000001</v>
      </c>
    </row>
    <row r="44" spans="1:27" ht="13">
      <c r="A44" s="17">
        <v>42</v>
      </c>
      <c r="B44" s="4" t="s">
        <v>53</v>
      </c>
      <c r="C44" s="4"/>
      <c r="D44" s="4">
        <v>57.1</v>
      </c>
      <c r="E44" s="4">
        <v>360</v>
      </c>
      <c r="F44" s="4">
        <v>170</v>
      </c>
      <c r="G44" s="5">
        <v>8</v>
      </c>
      <c r="H44" s="5">
        <v>12.7</v>
      </c>
      <c r="I44" s="4">
        <v>7272.9239799999996</v>
      </c>
      <c r="J44" s="4">
        <v>162700000</v>
      </c>
      <c r="K44" s="4">
        <v>904000</v>
      </c>
      <c r="L44" s="4">
        <v>1019000</v>
      </c>
      <c r="M44" s="4">
        <v>150</v>
      </c>
      <c r="N44" s="4">
        <v>3513.7239802369077</v>
      </c>
      <c r="O44" s="4">
        <v>10430000</v>
      </c>
      <c r="P44" s="4">
        <v>123000</v>
      </c>
      <c r="Q44" s="4">
        <v>191000</v>
      </c>
      <c r="R44" s="5">
        <v>37.9</v>
      </c>
      <c r="S44" s="4">
        <v>54.5</v>
      </c>
      <c r="T44" s="4">
        <v>374000</v>
      </c>
      <c r="U44" s="4">
        <v>314509583675</v>
      </c>
      <c r="V44" s="4">
        <v>4596.1239802369073</v>
      </c>
      <c r="W44" s="4">
        <v>18</v>
      </c>
      <c r="X44" s="9" t="str">
        <f>IF(Calcul!$AG$2=460,"a0","a")</f>
        <v>a</v>
      </c>
      <c r="Y44" s="9" t="str">
        <f>IF(Calcul!$AG$2=460,"a0","b")</f>
        <v>b</v>
      </c>
      <c r="Z44" s="156">
        <f t="shared" si="2"/>
        <v>509573.58587959805</v>
      </c>
      <c r="AA44" s="31">
        <f t="shared" si="3"/>
        <v>42805.35</v>
      </c>
    </row>
    <row r="45" spans="1:27" ht="13">
      <c r="A45" s="17">
        <v>43</v>
      </c>
      <c r="B45" s="4" t="s">
        <v>54</v>
      </c>
      <c r="C45" s="4"/>
      <c r="D45" s="4">
        <v>66</v>
      </c>
      <c r="E45" s="4">
        <v>364</v>
      </c>
      <c r="F45" s="4">
        <v>172</v>
      </c>
      <c r="G45" s="5">
        <v>9.1999999999999993</v>
      </c>
      <c r="H45" s="5">
        <v>14.7</v>
      </c>
      <c r="I45" s="4">
        <v>8413.2439799999993</v>
      </c>
      <c r="J45" s="4">
        <v>190500000</v>
      </c>
      <c r="K45" s="4">
        <v>1047000</v>
      </c>
      <c r="L45" s="4">
        <v>1186000</v>
      </c>
      <c r="M45" s="4">
        <v>151</v>
      </c>
      <c r="N45" s="4">
        <v>4020.883980236908</v>
      </c>
      <c r="O45" s="4">
        <v>12510000</v>
      </c>
      <c r="P45" s="4">
        <v>146000</v>
      </c>
      <c r="Q45" s="4">
        <v>227000</v>
      </c>
      <c r="R45" s="5">
        <v>38.6</v>
      </c>
      <c r="S45" s="4">
        <v>59.7</v>
      </c>
      <c r="T45" s="4">
        <v>557000</v>
      </c>
      <c r="U45" s="4">
        <v>381587807475</v>
      </c>
      <c r="V45" s="4">
        <v>5334.9239802369084</v>
      </c>
      <c r="W45" s="4">
        <v>18</v>
      </c>
      <c r="X45" s="9" t="str">
        <f>IF(Calcul!$AG$2=460,"a0","a")</f>
        <v>a</v>
      </c>
      <c r="Y45" s="9" t="str">
        <f>IF(Calcul!$AG$2=460,"a0","b")</f>
        <v>b</v>
      </c>
      <c r="Z45" s="156">
        <f t="shared" si="2"/>
        <v>593041.86987959803</v>
      </c>
      <c r="AA45" s="31">
        <f t="shared" si="3"/>
        <v>50606.514000000003</v>
      </c>
    </row>
    <row r="46" spans="1:27" ht="13">
      <c r="A46" s="17">
        <v>44</v>
      </c>
      <c r="B46" s="4" t="s">
        <v>675</v>
      </c>
      <c r="C46" s="4"/>
      <c r="D46" s="4">
        <v>57.4</v>
      </c>
      <c r="E46" s="4">
        <v>397</v>
      </c>
      <c r="F46" s="4">
        <v>180</v>
      </c>
      <c r="G46" s="5">
        <v>7</v>
      </c>
      <c r="H46" s="5">
        <v>12</v>
      </c>
      <c r="I46" s="4">
        <v>7309.55764</v>
      </c>
      <c r="J46" s="4">
        <v>202900000</v>
      </c>
      <c r="K46" s="4">
        <v>1022000</v>
      </c>
      <c r="L46" s="4">
        <v>1144000</v>
      </c>
      <c r="M46" s="4">
        <v>167</v>
      </c>
      <c r="N46" s="4">
        <v>3577.557639766901</v>
      </c>
      <c r="O46" s="4">
        <v>11710000</v>
      </c>
      <c r="P46" s="4">
        <v>130000</v>
      </c>
      <c r="Q46" s="4">
        <v>202000</v>
      </c>
      <c r="R46" s="5">
        <v>40</v>
      </c>
      <c r="S46" s="4">
        <v>55.6</v>
      </c>
      <c r="T46" s="4">
        <v>362000</v>
      </c>
      <c r="U46" s="4">
        <v>433928687500</v>
      </c>
      <c r="V46" s="4">
        <v>4698.557639766901</v>
      </c>
      <c r="W46" s="4">
        <v>21</v>
      </c>
      <c r="X46" s="9" t="str">
        <f>IF(Calcul!$AG$2=460,"a0","a")</f>
        <v>a</v>
      </c>
      <c r="Y46" s="9" t="str">
        <f>IF(Calcul!$AG$2=460,"a0","b")</f>
        <v>b</v>
      </c>
      <c r="Z46" s="156">
        <f t="shared" si="2"/>
        <v>571950.7114450403</v>
      </c>
      <c r="AA46" s="31">
        <f t="shared" si="3"/>
        <v>44998.5</v>
      </c>
    </row>
    <row r="47" spans="1:27" ht="13">
      <c r="A47" s="17">
        <v>45</v>
      </c>
      <c r="B47" s="4" t="s">
        <v>55</v>
      </c>
      <c r="C47" s="4"/>
      <c r="D47" s="4">
        <v>66.3</v>
      </c>
      <c r="E47" s="4">
        <v>400</v>
      </c>
      <c r="F47" s="4">
        <v>180</v>
      </c>
      <c r="G47" s="5">
        <v>8.6</v>
      </c>
      <c r="H47" s="5">
        <v>13.5</v>
      </c>
      <c r="I47" s="4">
        <v>8446.3576400000002</v>
      </c>
      <c r="J47" s="4">
        <v>231300000</v>
      </c>
      <c r="K47" s="4">
        <v>1160000</v>
      </c>
      <c r="L47" s="4">
        <v>1307000</v>
      </c>
      <c r="M47" s="4">
        <v>166</v>
      </c>
      <c r="N47" s="4">
        <v>4269.4576397669007</v>
      </c>
      <c r="O47" s="4">
        <v>13180000</v>
      </c>
      <c r="P47" s="4">
        <v>146000</v>
      </c>
      <c r="Q47" s="4">
        <v>229000</v>
      </c>
      <c r="R47" s="5">
        <v>39.5</v>
      </c>
      <c r="S47" s="4">
        <v>60.2</v>
      </c>
      <c r="T47" s="4">
        <v>513000</v>
      </c>
      <c r="U47" s="4">
        <v>492214513750</v>
      </c>
      <c r="V47" s="4">
        <v>5238.557639766901</v>
      </c>
      <c r="W47" s="4">
        <v>21</v>
      </c>
      <c r="X47" s="9" t="str">
        <f>IF(Calcul!$AG$2=460,"a0","a")</f>
        <v>a</v>
      </c>
      <c r="Y47" s="9" t="str">
        <f>IF(Calcul!$AG$2=460,"a0","b")</f>
        <v>b</v>
      </c>
      <c r="Z47" s="156">
        <f t="shared" si="2"/>
        <v>653574.01144504035</v>
      </c>
      <c r="AA47" s="31">
        <f t="shared" si="3"/>
        <v>50354.392500000002</v>
      </c>
    </row>
    <row r="48" spans="1:27" ht="13">
      <c r="A48" s="17">
        <v>46</v>
      </c>
      <c r="B48" s="4" t="s">
        <v>56</v>
      </c>
      <c r="C48" s="4"/>
      <c r="D48" s="4">
        <v>75.7</v>
      </c>
      <c r="E48" s="4">
        <v>404</v>
      </c>
      <c r="F48" s="4">
        <v>182</v>
      </c>
      <c r="G48" s="5">
        <v>9.6999999999999993</v>
      </c>
      <c r="H48" s="5">
        <v>15.5</v>
      </c>
      <c r="I48" s="4">
        <v>9638.6576399999994</v>
      </c>
      <c r="J48" s="4">
        <v>267500000</v>
      </c>
      <c r="K48" s="4">
        <v>1324000</v>
      </c>
      <c r="L48" s="4">
        <v>1502000</v>
      </c>
      <c r="M48" s="4">
        <v>167</v>
      </c>
      <c r="N48" s="4">
        <v>4798.0076397669018</v>
      </c>
      <c r="O48" s="4">
        <v>15640000</v>
      </c>
      <c r="P48" s="4">
        <v>172000</v>
      </c>
      <c r="Q48" s="4">
        <v>269000</v>
      </c>
      <c r="R48" s="5">
        <v>40.299999999999997</v>
      </c>
      <c r="S48" s="4">
        <v>65.3</v>
      </c>
      <c r="T48" s="4">
        <v>733000</v>
      </c>
      <c r="U48" s="4">
        <v>590145097500</v>
      </c>
      <c r="V48" s="4">
        <v>6020.557639766901</v>
      </c>
      <c r="W48" s="4">
        <v>21</v>
      </c>
      <c r="X48" s="9" t="str">
        <f>IF(Calcul!$AG$2=460,"a0","a")</f>
        <v>a</v>
      </c>
      <c r="Y48" s="9" t="str">
        <f>IF(Calcul!$AG$2=460,"a0","b")</f>
        <v>b</v>
      </c>
      <c r="Z48" s="156">
        <f t="shared" si="2"/>
        <v>751085.99894504028</v>
      </c>
      <c r="AA48" s="31">
        <f t="shared" si="3"/>
        <v>58999.025625000009</v>
      </c>
    </row>
    <row r="49" spans="1:27" ht="13">
      <c r="A49" s="17">
        <v>47</v>
      </c>
      <c r="B49" s="4" t="s">
        <v>676</v>
      </c>
      <c r="C49" s="4"/>
      <c r="D49" s="4">
        <v>84</v>
      </c>
      <c r="E49" s="4">
        <v>408</v>
      </c>
      <c r="F49" s="4">
        <v>182</v>
      </c>
      <c r="G49" s="5">
        <v>10.6</v>
      </c>
      <c r="H49" s="5">
        <v>17.5</v>
      </c>
      <c r="I49" s="4">
        <v>10702.35764</v>
      </c>
      <c r="J49" s="4">
        <v>301400000</v>
      </c>
      <c r="K49" s="4">
        <v>1477000</v>
      </c>
      <c r="L49" s="4">
        <v>1681000</v>
      </c>
      <c r="M49" s="4">
        <v>168</v>
      </c>
      <c r="N49" s="4">
        <v>5252.8576397669003</v>
      </c>
      <c r="O49" s="4">
        <v>17660000</v>
      </c>
      <c r="P49" s="4">
        <v>194000</v>
      </c>
      <c r="Q49" s="4">
        <v>304000</v>
      </c>
      <c r="R49" s="5">
        <v>40.6</v>
      </c>
      <c r="S49" s="4">
        <v>70</v>
      </c>
      <c r="T49" s="4">
        <v>996000</v>
      </c>
      <c r="U49" s="4">
        <v>673244453750</v>
      </c>
      <c r="V49" s="4">
        <v>6748.557639766901</v>
      </c>
      <c r="W49" s="4">
        <v>21</v>
      </c>
      <c r="X49" s="9" t="str">
        <f>IF(Calcul!$AG$2=460,"a0","a")</f>
        <v>a</v>
      </c>
      <c r="Y49" s="9" t="str">
        <f>IF(Calcul!$AG$2=460,"a0","b")</f>
        <v>b</v>
      </c>
      <c r="Z49" s="156">
        <f t="shared" si="2"/>
        <v>840630.01144504035</v>
      </c>
      <c r="AA49" s="31">
        <f t="shared" si="3"/>
        <v>66406.462500000009</v>
      </c>
    </row>
    <row r="50" spans="1:27" ht="13">
      <c r="A50" s="17">
        <v>48</v>
      </c>
      <c r="B50" s="4" t="s">
        <v>677</v>
      </c>
      <c r="C50" s="4"/>
      <c r="D50" s="4">
        <v>67.2</v>
      </c>
      <c r="E50" s="4">
        <v>447</v>
      </c>
      <c r="F50" s="4">
        <v>190</v>
      </c>
      <c r="G50" s="5">
        <v>7.6</v>
      </c>
      <c r="H50" s="5">
        <v>13.1</v>
      </c>
      <c r="I50" s="4">
        <v>8554.6376400000008</v>
      </c>
      <c r="J50" s="4">
        <v>297600000</v>
      </c>
      <c r="K50" s="4">
        <v>1331000</v>
      </c>
      <c r="L50" s="4">
        <v>1494000</v>
      </c>
      <c r="M50" s="4">
        <v>187</v>
      </c>
      <c r="N50" s="4">
        <v>4226.3976397669012</v>
      </c>
      <c r="O50" s="4">
        <v>15020000</v>
      </c>
      <c r="P50" s="4">
        <v>158000</v>
      </c>
      <c r="Q50" s="4">
        <v>246000</v>
      </c>
      <c r="R50" s="5">
        <v>41.9</v>
      </c>
      <c r="S50" s="4">
        <v>58.4</v>
      </c>
      <c r="T50" s="4">
        <v>471000</v>
      </c>
      <c r="U50" s="4">
        <v>706950883550</v>
      </c>
      <c r="V50" s="4">
        <v>5356.557639766901</v>
      </c>
      <c r="W50" s="4">
        <v>21</v>
      </c>
      <c r="X50" s="9" t="str">
        <f>IF(Calcul!$AG$2=460,"a0","a")</f>
        <v>a</v>
      </c>
      <c r="Y50" s="9" t="str">
        <f>IF(Calcul!$AG$2=460,"a0","b")</f>
        <v>b</v>
      </c>
      <c r="Z50" s="156">
        <f t="shared" si="2"/>
        <v>747144.15824025474</v>
      </c>
      <c r="AA50" s="31">
        <f t="shared" si="3"/>
        <v>55085.237999999998</v>
      </c>
    </row>
    <row r="51" spans="1:27" ht="13">
      <c r="A51" s="17">
        <v>49</v>
      </c>
      <c r="B51" s="4" t="s">
        <v>57</v>
      </c>
      <c r="C51" s="4"/>
      <c r="D51" s="4">
        <v>77.599999999999994</v>
      </c>
      <c r="E51" s="4">
        <v>450</v>
      </c>
      <c r="F51" s="4">
        <v>190</v>
      </c>
      <c r="G51" s="5">
        <v>9.4</v>
      </c>
      <c r="H51" s="5">
        <v>14.6</v>
      </c>
      <c r="I51" s="4">
        <v>9882.0776399999995</v>
      </c>
      <c r="J51" s="4">
        <v>337400000</v>
      </c>
      <c r="K51" s="4">
        <v>1500000</v>
      </c>
      <c r="L51" s="4">
        <v>1702000</v>
      </c>
      <c r="M51" s="4">
        <v>185</v>
      </c>
      <c r="N51" s="4">
        <v>5084.5176397669011</v>
      </c>
      <c r="O51" s="4">
        <v>16760000</v>
      </c>
      <c r="P51" s="4">
        <v>176000</v>
      </c>
      <c r="Q51" s="4">
        <v>276000</v>
      </c>
      <c r="R51" s="5">
        <v>41.2</v>
      </c>
      <c r="S51" s="4">
        <v>63.2</v>
      </c>
      <c r="T51" s="4">
        <v>668000</v>
      </c>
      <c r="U51" s="4">
        <v>794311540399.99988</v>
      </c>
      <c r="V51" s="4">
        <v>5926.557639766901</v>
      </c>
      <c r="W51" s="4">
        <v>21</v>
      </c>
      <c r="X51" s="9" t="str">
        <f>IF(Calcul!$AG$2=460,"a0","a")</f>
        <v>a</v>
      </c>
      <c r="Y51" s="9" t="str">
        <f>IF(Calcul!$AG$2=460,"a0","b")</f>
        <v>b</v>
      </c>
      <c r="Z51" s="156">
        <f t="shared" si="2"/>
        <v>850896.75224025478</v>
      </c>
      <c r="AA51" s="31">
        <f t="shared" si="3"/>
        <v>61060.922999999995</v>
      </c>
    </row>
    <row r="52" spans="1:27" ht="13">
      <c r="A52" s="17">
        <v>50</v>
      </c>
      <c r="B52" s="4" t="s">
        <v>58</v>
      </c>
      <c r="C52" s="4"/>
      <c r="D52" s="4">
        <v>92.4</v>
      </c>
      <c r="E52" s="4">
        <v>456</v>
      </c>
      <c r="F52" s="4">
        <v>192</v>
      </c>
      <c r="G52" s="5">
        <v>11</v>
      </c>
      <c r="H52" s="5">
        <v>17.600000000000001</v>
      </c>
      <c r="I52" s="4">
        <v>11765.75764</v>
      </c>
      <c r="J52" s="4">
        <v>409200000</v>
      </c>
      <c r="K52" s="4">
        <v>1795000</v>
      </c>
      <c r="L52" s="4">
        <v>2046000</v>
      </c>
      <c r="M52" s="4">
        <v>187</v>
      </c>
      <c r="N52" s="4">
        <v>5940.1576397669014</v>
      </c>
      <c r="O52" s="4">
        <v>20850000</v>
      </c>
      <c r="P52" s="4">
        <v>217000</v>
      </c>
      <c r="Q52" s="4">
        <v>341000</v>
      </c>
      <c r="R52" s="5">
        <v>42.1</v>
      </c>
      <c r="S52" s="4">
        <v>70.8</v>
      </c>
      <c r="T52" s="4">
        <v>1090000</v>
      </c>
      <c r="U52" s="4">
        <v>1001814143999.9999</v>
      </c>
      <c r="V52" s="4">
        <v>7136.9576397669016</v>
      </c>
      <c r="W52" s="4">
        <v>21</v>
      </c>
      <c r="X52" s="9" t="str">
        <f>IF(Calcul!$AG$2=460,"a0","a")</f>
        <v>a</v>
      </c>
      <c r="Y52" s="9" t="str">
        <f>IF(Calcul!$AG$2=460,"a0","b")</f>
        <v>b</v>
      </c>
      <c r="Z52" s="156">
        <f t="shared" si="2"/>
        <v>1023132.1202402548</v>
      </c>
      <c r="AA52" s="31">
        <f t="shared" si="3"/>
        <v>74921</v>
      </c>
    </row>
    <row r="53" spans="1:27" ht="13">
      <c r="A53" s="17">
        <v>51</v>
      </c>
      <c r="B53" s="4" t="s">
        <v>678</v>
      </c>
      <c r="C53" s="4"/>
      <c r="D53" s="4">
        <v>107</v>
      </c>
      <c r="E53" s="4">
        <v>460</v>
      </c>
      <c r="F53" s="4">
        <v>194</v>
      </c>
      <c r="G53" s="5">
        <v>12.4</v>
      </c>
      <c r="H53" s="5">
        <v>19.600000000000001</v>
      </c>
      <c r="I53" s="4">
        <v>13201.27764</v>
      </c>
      <c r="J53" s="4">
        <v>462000000</v>
      </c>
      <c r="K53" s="4">
        <v>2008000</v>
      </c>
      <c r="L53" s="4">
        <v>2301000</v>
      </c>
      <c r="M53" s="4">
        <v>187</v>
      </c>
      <c r="N53" s="4">
        <v>6662.7176397669018</v>
      </c>
      <c r="O53" s="4">
        <v>23970000</v>
      </c>
      <c r="P53" s="4">
        <v>247000</v>
      </c>
      <c r="Q53" s="4">
        <v>389000</v>
      </c>
      <c r="R53" s="5">
        <v>42.6</v>
      </c>
      <c r="S53" s="4">
        <v>76</v>
      </c>
      <c r="T53" s="4">
        <v>1490000</v>
      </c>
      <c r="U53" s="4">
        <v>1162258318799.9998</v>
      </c>
      <c r="V53" s="4">
        <v>7983.3576397669021</v>
      </c>
      <c r="W53" s="4">
        <v>21</v>
      </c>
      <c r="X53" s="9" t="str">
        <f>IF(Calcul!$AG$2=460,"a0","a")</f>
        <v>a</v>
      </c>
      <c r="Y53" s="9" t="str">
        <f>IF(Calcul!$AG$2=460,"a0","b")</f>
        <v>b</v>
      </c>
      <c r="Z53" s="156">
        <f t="shared" si="2"/>
        <v>1150687.6722402549</v>
      </c>
      <c r="AA53" s="31">
        <f t="shared" si="3"/>
        <v>84957.767999999996</v>
      </c>
    </row>
    <row r="54" spans="1:27" ht="13">
      <c r="A54" s="17">
        <v>52</v>
      </c>
      <c r="B54" s="4" t="s">
        <v>679</v>
      </c>
      <c r="C54" s="4"/>
      <c r="D54" s="4">
        <v>79.400000000000006</v>
      </c>
      <c r="E54" s="4">
        <v>497</v>
      </c>
      <c r="F54" s="4">
        <v>200</v>
      </c>
      <c r="G54" s="5">
        <v>8.4</v>
      </c>
      <c r="H54" s="5">
        <v>14.5</v>
      </c>
      <c r="I54" s="4">
        <v>10109.75764</v>
      </c>
      <c r="J54" s="4">
        <v>429300000</v>
      </c>
      <c r="K54" s="4">
        <v>1728000</v>
      </c>
      <c r="L54" s="4">
        <v>1946000</v>
      </c>
      <c r="M54" s="4">
        <v>206</v>
      </c>
      <c r="N54" s="4">
        <v>5040.557639766902</v>
      </c>
      <c r="O54" s="4">
        <v>19390000</v>
      </c>
      <c r="P54" s="4">
        <v>194000</v>
      </c>
      <c r="Q54" s="4">
        <v>302000</v>
      </c>
      <c r="R54" s="5">
        <v>43.8</v>
      </c>
      <c r="S54" s="4">
        <v>62</v>
      </c>
      <c r="T54" s="4">
        <v>643000</v>
      </c>
      <c r="U54" s="4">
        <v>1128528296875</v>
      </c>
      <c r="V54" s="4">
        <v>6178.557639766901</v>
      </c>
      <c r="W54" s="4">
        <v>21</v>
      </c>
      <c r="X54" s="9" t="str">
        <f>IF(Calcul!$AG$2=460,"a0","a")</f>
        <v>a</v>
      </c>
      <c r="Y54" s="9" t="str">
        <f>IF(Calcul!$AG$2=460,"a0","b")</f>
        <v>b</v>
      </c>
      <c r="Z54" s="156">
        <f t="shared" si="2"/>
        <v>973003.78038950427</v>
      </c>
      <c r="AA54" s="31">
        <f t="shared" si="3"/>
        <v>67895.960000000006</v>
      </c>
    </row>
    <row r="55" spans="1:27" ht="13">
      <c r="A55" s="17">
        <v>53</v>
      </c>
      <c r="B55" s="4" t="s">
        <v>59</v>
      </c>
      <c r="C55" s="4"/>
      <c r="D55" s="4">
        <v>90.7</v>
      </c>
      <c r="E55" s="4">
        <v>500</v>
      </c>
      <c r="F55" s="4">
        <v>200</v>
      </c>
      <c r="G55" s="5">
        <v>10.199999999999999</v>
      </c>
      <c r="H55" s="5">
        <v>16</v>
      </c>
      <c r="I55" s="4">
        <v>11552.157639999999</v>
      </c>
      <c r="J55" s="4">
        <v>482000000</v>
      </c>
      <c r="K55" s="4">
        <v>1930000</v>
      </c>
      <c r="L55" s="4">
        <v>2194000</v>
      </c>
      <c r="M55" s="4">
        <v>204</v>
      </c>
      <c r="N55" s="4">
        <v>5987.3576397668994</v>
      </c>
      <c r="O55" s="4">
        <v>21420000</v>
      </c>
      <c r="P55" s="4">
        <v>214000</v>
      </c>
      <c r="Q55" s="4">
        <v>336000</v>
      </c>
      <c r="R55" s="5">
        <v>43.1</v>
      </c>
      <c r="S55" s="4">
        <v>66.8</v>
      </c>
      <c r="T55" s="4">
        <v>891000</v>
      </c>
      <c r="U55" s="4">
        <v>1254440880000</v>
      </c>
      <c r="V55" s="4">
        <v>6778.5576397669001</v>
      </c>
      <c r="W55" s="4">
        <v>21</v>
      </c>
      <c r="X55" s="9" t="str">
        <f>IF(Calcul!$AG$2=460,"a0","a")</f>
        <v>a</v>
      </c>
      <c r="Y55" s="9" t="str">
        <f>IF(Calcul!$AG$2=460,"a0","b")</f>
        <v>b</v>
      </c>
      <c r="Z55" s="156">
        <f t="shared" si="2"/>
        <v>1097059.1803895042</v>
      </c>
      <c r="AA55" s="31">
        <f t="shared" si="3"/>
        <v>74550.320000000007</v>
      </c>
    </row>
    <row r="56" spans="1:27" ht="13">
      <c r="A56" s="17">
        <v>54</v>
      </c>
      <c r="B56" s="4" t="s">
        <v>60</v>
      </c>
      <c r="C56" s="4"/>
      <c r="D56" s="4">
        <v>107</v>
      </c>
      <c r="E56" s="4">
        <v>506</v>
      </c>
      <c r="F56" s="4">
        <v>202</v>
      </c>
      <c r="G56" s="5">
        <v>12</v>
      </c>
      <c r="H56" s="5">
        <v>19</v>
      </c>
      <c r="I56" s="4">
        <v>13670.557640000001</v>
      </c>
      <c r="J56" s="4">
        <v>577800000</v>
      </c>
      <c r="K56" s="4">
        <v>2284000</v>
      </c>
      <c r="L56" s="4">
        <v>2613000</v>
      </c>
      <c r="M56" s="4">
        <v>206</v>
      </c>
      <c r="N56" s="4">
        <v>7020.557639766901</v>
      </c>
      <c r="O56" s="4">
        <v>26220000</v>
      </c>
      <c r="P56" s="4">
        <v>260000</v>
      </c>
      <c r="Q56" s="4">
        <v>409000</v>
      </c>
      <c r="R56" s="5">
        <v>43.8</v>
      </c>
      <c r="S56" s="4">
        <v>74.599999999999994</v>
      </c>
      <c r="T56" s="4">
        <v>1430000</v>
      </c>
      <c r="U56" s="4">
        <v>1554642795000</v>
      </c>
      <c r="V56" s="4">
        <v>8054.557639766901</v>
      </c>
      <c r="W56" s="4">
        <v>21</v>
      </c>
      <c r="X56" s="9" t="str">
        <f>IF(Calcul!$AG$2=460,"a0","a")</f>
        <v>a</v>
      </c>
      <c r="Y56" s="9" t="str">
        <f>IF(Calcul!$AG$2=460,"a0","b")</f>
        <v>b</v>
      </c>
      <c r="Z56" s="156">
        <f t="shared" si="2"/>
        <v>1306492.5803895043</v>
      </c>
      <c r="AA56" s="31">
        <f t="shared" si="3"/>
        <v>89984</v>
      </c>
    </row>
    <row r="57" spans="1:27" ht="13">
      <c r="A57" s="17">
        <v>55</v>
      </c>
      <c r="B57" s="4" t="s">
        <v>680</v>
      </c>
      <c r="C57" s="4"/>
      <c r="D57" s="4">
        <v>129</v>
      </c>
      <c r="E57" s="4">
        <v>514</v>
      </c>
      <c r="F57" s="4">
        <v>204</v>
      </c>
      <c r="G57" s="5">
        <v>14.2</v>
      </c>
      <c r="H57" s="5">
        <v>23</v>
      </c>
      <c r="I57" s="4">
        <v>16408.157640000001</v>
      </c>
      <c r="J57" s="4">
        <v>707200000</v>
      </c>
      <c r="K57" s="4">
        <v>2751000</v>
      </c>
      <c r="L57" s="4">
        <v>3168000</v>
      </c>
      <c r="M57" s="4">
        <v>207</v>
      </c>
      <c r="N57" s="4">
        <v>8316.7576397669018</v>
      </c>
      <c r="O57" s="4">
        <v>32710000</v>
      </c>
      <c r="P57" s="4">
        <v>320000</v>
      </c>
      <c r="Q57" s="4">
        <v>506000</v>
      </c>
      <c r="R57" s="5">
        <v>44.6</v>
      </c>
      <c r="S57" s="4">
        <v>85</v>
      </c>
      <c r="T57" s="4">
        <v>2420000</v>
      </c>
      <c r="U57" s="4">
        <v>1971439877500</v>
      </c>
      <c r="V57" s="4">
        <v>9762.5576397669029</v>
      </c>
      <c r="W57" s="4">
        <v>21</v>
      </c>
      <c r="X57" s="9" t="str">
        <f>IF(Calcul!$AG$2=460,"a0","a")</f>
        <v>a</v>
      </c>
      <c r="Y57" s="9" t="str">
        <f>IF(Calcul!$AG$2=460,"a0","b")</f>
        <v>b</v>
      </c>
      <c r="Z57" s="156">
        <f t="shared" si="2"/>
        <v>1584057.1803895042</v>
      </c>
      <c r="AA57" s="31">
        <f t="shared" si="3"/>
        <v>110565.485</v>
      </c>
    </row>
    <row r="58" spans="1:27" ht="13">
      <c r="A58" s="17">
        <v>56</v>
      </c>
      <c r="B58" s="4" t="s">
        <v>681</v>
      </c>
      <c r="C58" s="4"/>
      <c r="D58" s="4">
        <v>92.1</v>
      </c>
      <c r="E58" s="4">
        <v>547</v>
      </c>
      <c r="F58" s="4">
        <v>210</v>
      </c>
      <c r="G58" s="5">
        <v>9</v>
      </c>
      <c r="H58" s="5">
        <v>15.7</v>
      </c>
      <c r="I58" s="4">
        <v>11728.842632</v>
      </c>
      <c r="J58" s="4">
        <v>599800000</v>
      </c>
      <c r="K58" s="4">
        <v>2193000</v>
      </c>
      <c r="L58" s="4">
        <v>2475000</v>
      </c>
      <c r="M58" s="4">
        <v>226</v>
      </c>
      <c r="N58" s="4">
        <v>6029.7426315322809</v>
      </c>
      <c r="O58" s="4">
        <v>24320000</v>
      </c>
      <c r="P58" s="4">
        <v>232000</v>
      </c>
      <c r="Q58" s="4">
        <v>362000</v>
      </c>
      <c r="R58" s="5">
        <v>45.5</v>
      </c>
      <c r="S58" s="4">
        <v>68.5</v>
      </c>
      <c r="T58" s="4">
        <v>893000</v>
      </c>
      <c r="U58" s="4">
        <v>1716260515199.9998</v>
      </c>
      <c r="V58" s="4">
        <v>7088.4426315322808</v>
      </c>
      <c r="W58" s="4">
        <v>24</v>
      </c>
      <c r="X58" s="9" t="str">
        <f>IF(Calcul!$AG$2=460,"a0","a")</f>
        <v>a</v>
      </c>
      <c r="Y58" s="9" t="str">
        <f>IF(Calcul!$AG$2=460,"a0","b")</f>
        <v>b</v>
      </c>
      <c r="Z58" s="156">
        <f t="shared" si="2"/>
        <v>1237330.459859991</v>
      </c>
      <c r="AA58" s="31">
        <f t="shared" si="3"/>
        <v>80170.087499999994</v>
      </c>
    </row>
    <row r="59" spans="1:27" ht="13">
      <c r="A59" s="17">
        <v>57</v>
      </c>
      <c r="B59" s="4" t="s">
        <v>682</v>
      </c>
      <c r="C59" s="4"/>
      <c r="D59" s="4">
        <v>106</v>
      </c>
      <c r="E59" s="4">
        <v>550</v>
      </c>
      <c r="F59" s="4">
        <v>210</v>
      </c>
      <c r="G59" s="5">
        <v>11.1</v>
      </c>
      <c r="H59" s="5">
        <v>17.2</v>
      </c>
      <c r="I59" s="4">
        <v>13441.602632</v>
      </c>
      <c r="J59" s="4">
        <v>671200000</v>
      </c>
      <c r="K59" s="4">
        <v>2440000</v>
      </c>
      <c r="L59" s="4">
        <v>2787000</v>
      </c>
      <c r="M59" s="4">
        <v>224</v>
      </c>
      <c r="N59" s="4">
        <v>7234.1226315322801</v>
      </c>
      <c r="O59" s="4">
        <v>26680000</v>
      </c>
      <c r="P59" s="4">
        <v>254000</v>
      </c>
      <c r="Q59" s="4">
        <v>401000</v>
      </c>
      <c r="R59" s="5">
        <v>44.5</v>
      </c>
      <c r="S59" s="4">
        <v>73.599999999999994</v>
      </c>
      <c r="T59" s="4">
        <v>1230000</v>
      </c>
      <c r="U59" s="4">
        <v>1893451852799.9998</v>
      </c>
      <c r="V59" s="4">
        <v>7718.4426315322798</v>
      </c>
      <c r="W59" s="4">
        <v>24</v>
      </c>
      <c r="X59" s="9" t="str">
        <f>IF(Calcul!$AG$2=460,"a0","a")</f>
        <v>a</v>
      </c>
      <c r="Y59" s="9" t="str">
        <f>IF(Calcul!$AG$2=460,"a0","b")</f>
        <v>b</v>
      </c>
      <c r="Z59" s="156">
        <f t="shared" si="2"/>
        <v>1393503.091859991</v>
      </c>
      <c r="AA59" s="31">
        <f t="shared" si="3"/>
        <v>87305.458500000008</v>
      </c>
    </row>
    <row r="60" spans="1:27" ht="13">
      <c r="A60" s="17">
        <v>58</v>
      </c>
      <c r="B60" s="4" t="s">
        <v>61</v>
      </c>
      <c r="C60" s="4"/>
      <c r="D60" s="4">
        <v>123</v>
      </c>
      <c r="E60" s="4">
        <v>556</v>
      </c>
      <c r="F60" s="4">
        <v>212</v>
      </c>
      <c r="G60" s="5">
        <v>12.7</v>
      </c>
      <c r="H60" s="5">
        <v>20.2</v>
      </c>
      <c r="I60" s="4">
        <v>15607.362632</v>
      </c>
      <c r="J60" s="4">
        <v>791600000</v>
      </c>
      <c r="K60" s="4">
        <v>2847000</v>
      </c>
      <c r="L60" s="4">
        <v>3263000</v>
      </c>
      <c r="M60" s="4">
        <v>225</v>
      </c>
      <c r="N60" s="4">
        <v>8268.7026315322782</v>
      </c>
      <c r="O60" s="4">
        <v>32240000</v>
      </c>
      <c r="P60" s="4">
        <v>304000</v>
      </c>
      <c r="Q60" s="4">
        <v>481000</v>
      </c>
      <c r="R60" s="5">
        <v>45.5</v>
      </c>
      <c r="S60" s="4">
        <v>81.2</v>
      </c>
      <c r="T60" s="4">
        <v>1870000</v>
      </c>
      <c r="U60" s="4">
        <v>2313878018399.9995</v>
      </c>
      <c r="V60" s="4">
        <v>9059.2426315322773</v>
      </c>
      <c r="W60" s="4">
        <v>24</v>
      </c>
      <c r="X60" s="9" t="str">
        <f>IF(Calcul!$AG$2=460,"a0","a")</f>
        <v>a</v>
      </c>
      <c r="Y60" s="9" t="str">
        <f>IF(Calcul!$AG$2=460,"a0","b")</f>
        <v>b</v>
      </c>
      <c r="Z60" s="156">
        <f t="shared" si="2"/>
        <v>1631689.9238599907</v>
      </c>
      <c r="AA60" s="31">
        <f t="shared" si="3"/>
        <v>104180.26275000001</v>
      </c>
    </row>
    <row r="61" spans="1:27" ht="13">
      <c r="A61" s="17">
        <v>59</v>
      </c>
      <c r="B61" s="4" t="s">
        <v>683</v>
      </c>
      <c r="C61" s="4"/>
      <c r="D61" s="4">
        <v>159</v>
      </c>
      <c r="E61" s="4">
        <v>566</v>
      </c>
      <c r="F61" s="4">
        <v>216</v>
      </c>
      <c r="G61" s="5">
        <v>17.100000000000001</v>
      </c>
      <c r="H61" s="5">
        <v>25.2</v>
      </c>
      <c r="I61" s="4">
        <v>20197.602631999998</v>
      </c>
      <c r="J61" s="4">
        <v>1023400000</v>
      </c>
      <c r="K61" s="4">
        <v>3616000</v>
      </c>
      <c r="L61" s="4">
        <v>4204000</v>
      </c>
      <c r="M61" s="4">
        <v>225</v>
      </c>
      <c r="N61" s="4">
        <v>10951.722631532279</v>
      </c>
      <c r="O61" s="4">
        <v>42640000</v>
      </c>
      <c r="P61" s="4">
        <v>395000</v>
      </c>
      <c r="Q61" s="4">
        <v>632000</v>
      </c>
      <c r="R61" s="5">
        <v>45.9</v>
      </c>
      <c r="S61" s="4">
        <v>95</v>
      </c>
      <c r="T61" s="4">
        <v>3720000</v>
      </c>
      <c r="U61" s="4">
        <v>3117673062399.9995</v>
      </c>
      <c r="V61" s="4">
        <v>11380.842631532278</v>
      </c>
      <c r="W61" s="4">
        <v>24</v>
      </c>
      <c r="X61" s="9" t="str">
        <f>IF(Calcul!$AG$2=460,"a0","a")</f>
        <v>a</v>
      </c>
      <c r="Y61" s="9" t="str">
        <f>IF(Calcul!$AG$2=460,"a0","b")</f>
        <v>b</v>
      </c>
      <c r="Z61" s="156">
        <f t="shared" si="2"/>
        <v>2102490.0918599907</v>
      </c>
      <c r="AA61" s="31">
        <f t="shared" si="3"/>
        <v>133616.6685</v>
      </c>
    </row>
    <row r="62" spans="1:27" ht="13">
      <c r="A62" s="17">
        <v>60</v>
      </c>
      <c r="B62" s="4" t="s">
        <v>684</v>
      </c>
      <c r="C62" s="4"/>
      <c r="D62" s="4">
        <v>108</v>
      </c>
      <c r="E62" s="4">
        <v>597</v>
      </c>
      <c r="F62" s="4">
        <v>220</v>
      </c>
      <c r="G62" s="5">
        <v>9.8000000000000007</v>
      </c>
      <c r="H62" s="5">
        <v>17.5</v>
      </c>
      <c r="I62" s="4">
        <v>13702.042632000001</v>
      </c>
      <c r="J62" s="4">
        <v>829200000</v>
      </c>
      <c r="K62" s="4">
        <v>2778000</v>
      </c>
      <c r="L62" s="4">
        <v>3141000</v>
      </c>
      <c r="M62" s="4">
        <v>246</v>
      </c>
      <c r="N62" s="4">
        <v>7013.5426315322784</v>
      </c>
      <c r="O62" s="4">
        <v>31160000</v>
      </c>
      <c r="P62" s="4">
        <v>283000</v>
      </c>
      <c r="Q62" s="4">
        <v>442000</v>
      </c>
      <c r="R62" s="5">
        <v>47.7</v>
      </c>
      <c r="S62" s="4">
        <v>72.900000000000006</v>
      </c>
      <c r="T62" s="4">
        <v>1220000</v>
      </c>
      <c r="U62" s="4">
        <v>2616039747500</v>
      </c>
      <c r="V62" s="4">
        <v>8194.442631532278</v>
      </c>
      <c r="W62" s="4">
        <v>24</v>
      </c>
      <c r="X62" s="9" t="str">
        <f>IF(Calcul!$AG$2=460,"a0","a")</f>
        <v>a</v>
      </c>
      <c r="Y62" s="9" t="str">
        <f>IF(Calcul!$AG$2=460,"a0","b")</f>
        <v>b</v>
      </c>
      <c r="Z62" s="156">
        <f t="shared" si="2"/>
        <v>1570590.5643857655</v>
      </c>
      <c r="AA62" s="31">
        <f t="shared" si="3"/>
        <v>98566.912499999991</v>
      </c>
    </row>
    <row r="63" spans="1:27" ht="13">
      <c r="A63" s="17">
        <v>61</v>
      </c>
      <c r="B63" s="4" t="s">
        <v>62</v>
      </c>
      <c r="C63" s="4"/>
      <c r="D63" s="4">
        <v>122</v>
      </c>
      <c r="E63" s="4">
        <v>600</v>
      </c>
      <c r="F63" s="4">
        <v>220</v>
      </c>
      <c r="G63" s="5">
        <v>12</v>
      </c>
      <c r="H63" s="5">
        <v>19</v>
      </c>
      <c r="I63" s="4">
        <v>15598.442632</v>
      </c>
      <c r="J63" s="4">
        <v>920800000</v>
      </c>
      <c r="K63" s="4">
        <v>3070000</v>
      </c>
      <c r="L63" s="4">
        <v>3512000</v>
      </c>
      <c r="M63" s="4">
        <v>243</v>
      </c>
      <c r="N63" s="4">
        <v>8378.4426315322798</v>
      </c>
      <c r="O63" s="4">
        <v>33870000</v>
      </c>
      <c r="P63" s="4">
        <v>308000</v>
      </c>
      <c r="Q63" s="4">
        <v>486000</v>
      </c>
      <c r="R63" s="5">
        <v>46.6</v>
      </c>
      <c r="S63" s="4">
        <v>78.099999999999994</v>
      </c>
      <c r="T63" s="4">
        <v>1650000</v>
      </c>
      <c r="U63" s="4">
        <v>2858297767500</v>
      </c>
      <c r="V63" s="4">
        <v>8854.4426315322798</v>
      </c>
      <c r="W63" s="4">
        <v>24</v>
      </c>
      <c r="X63" s="9" t="str">
        <f>IF(Calcul!$AG$2=460,"a0","a")</f>
        <v>a</v>
      </c>
      <c r="Y63" s="9" t="str">
        <f>IF(Calcul!$AG$2=460,"a0","b")</f>
        <v>b</v>
      </c>
      <c r="Z63" s="156">
        <f t="shared" si="2"/>
        <v>1756200.1643857653</v>
      </c>
      <c r="AA63" s="31">
        <f t="shared" si="3"/>
        <v>106400</v>
      </c>
    </row>
    <row r="64" spans="1:27" ht="13">
      <c r="A64" s="17">
        <v>62</v>
      </c>
      <c r="B64" s="4" t="s">
        <v>685</v>
      </c>
      <c r="C64" s="4"/>
      <c r="D64" s="4">
        <v>154</v>
      </c>
      <c r="E64" s="4">
        <v>610</v>
      </c>
      <c r="F64" s="4">
        <v>224</v>
      </c>
      <c r="G64" s="5">
        <v>15</v>
      </c>
      <c r="H64" s="5">
        <v>24</v>
      </c>
      <c r="I64" s="4">
        <v>19676.442631999998</v>
      </c>
      <c r="J64" s="4">
        <v>1183000000</v>
      </c>
      <c r="K64" s="4">
        <v>3879000</v>
      </c>
      <c r="L64" s="4">
        <v>4471000</v>
      </c>
      <c r="M64" s="4">
        <v>245</v>
      </c>
      <c r="N64" s="4">
        <v>10436.442631532278</v>
      </c>
      <c r="O64" s="4">
        <v>45210000</v>
      </c>
      <c r="P64" s="4">
        <v>404000</v>
      </c>
      <c r="Q64" s="4">
        <v>640000</v>
      </c>
      <c r="R64" s="5">
        <v>47.9</v>
      </c>
      <c r="S64" s="4">
        <v>91.1</v>
      </c>
      <c r="T64" s="4">
        <v>3160000</v>
      </c>
      <c r="U64" s="4">
        <v>3881233290000</v>
      </c>
      <c r="V64" s="4">
        <v>11246.442631532278</v>
      </c>
      <c r="W64" s="4">
        <v>24</v>
      </c>
      <c r="X64" s="9" t="str">
        <f>IF(Calcul!$AG$2=460,"a0","a")</f>
        <v>a</v>
      </c>
      <c r="Y64" s="9" t="str">
        <f>IF(Calcul!$AG$2=460,"a0","b")</f>
        <v>b</v>
      </c>
      <c r="Z64" s="156">
        <f t="shared" si="2"/>
        <v>2235519.6643857653</v>
      </c>
      <c r="AA64" s="31">
        <f t="shared" si="3"/>
        <v>138621</v>
      </c>
    </row>
    <row r="65" spans="1:27" ht="13">
      <c r="A65" s="17">
        <v>63</v>
      </c>
      <c r="B65" s="4" t="s">
        <v>686</v>
      </c>
      <c r="C65" s="4"/>
      <c r="D65" s="4">
        <v>184</v>
      </c>
      <c r="E65" s="4">
        <v>618</v>
      </c>
      <c r="F65" s="4">
        <v>228</v>
      </c>
      <c r="G65" s="5">
        <v>18</v>
      </c>
      <c r="H65" s="5">
        <v>28</v>
      </c>
      <c r="I65" s="4">
        <v>23378.442631999998</v>
      </c>
      <c r="J65" s="4">
        <v>1415800000</v>
      </c>
      <c r="K65" s="4">
        <v>4581000</v>
      </c>
      <c r="L65" s="4">
        <v>5324000</v>
      </c>
      <c r="M65" s="4">
        <v>246</v>
      </c>
      <c r="N65" s="4">
        <v>12458.442631532278</v>
      </c>
      <c r="O65" s="4">
        <v>55690000</v>
      </c>
      <c r="P65" s="4">
        <v>488000</v>
      </c>
      <c r="Q65" s="4">
        <v>780000</v>
      </c>
      <c r="R65" s="5">
        <v>48.8</v>
      </c>
      <c r="S65" s="4">
        <v>102</v>
      </c>
      <c r="T65" s="4">
        <v>5060000</v>
      </c>
      <c r="U65" s="4">
        <v>4846422250000</v>
      </c>
      <c r="V65" s="4">
        <v>13262.442631532278</v>
      </c>
      <c r="W65" s="4">
        <v>24</v>
      </c>
      <c r="X65" s="9" t="str">
        <f>IF(Calcul!$AG$2=460,"a0","a")</f>
        <v>a</v>
      </c>
      <c r="Y65" s="9" t="str">
        <f>IF(Calcul!$AG$2=460,"a0","b")</f>
        <v>b</v>
      </c>
      <c r="Z65" s="156">
        <f t="shared" si="2"/>
        <v>2662073.1643857653</v>
      </c>
      <c r="AA65" s="31">
        <f t="shared" si="3"/>
        <v>166698</v>
      </c>
    </row>
    <row r="66" spans="1:27" ht="13">
      <c r="A66" s="17">
        <v>64</v>
      </c>
      <c r="B66" s="4" t="s">
        <v>687</v>
      </c>
      <c r="C66" s="4"/>
      <c r="D66" s="4">
        <v>134</v>
      </c>
      <c r="E66" s="4">
        <v>750</v>
      </c>
      <c r="F66" s="4">
        <v>264</v>
      </c>
      <c r="G66" s="5">
        <v>12</v>
      </c>
      <c r="H66" s="5">
        <v>15.5</v>
      </c>
      <c r="I66" s="4">
        <v>17060.079722999999</v>
      </c>
      <c r="J66" s="4">
        <v>1507000000</v>
      </c>
      <c r="K66" s="4">
        <v>4018000</v>
      </c>
      <c r="L66" s="4">
        <v>4644000</v>
      </c>
      <c r="M66" s="4">
        <v>297</v>
      </c>
      <c r="N66" s="4">
        <v>9589.0797231125507</v>
      </c>
      <c r="O66" s="4">
        <v>47880000</v>
      </c>
      <c r="P66" s="4">
        <v>362000</v>
      </c>
      <c r="Q66" s="4">
        <v>570000</v>
      </c>
      <c r="R66" s="5">
        <v>53</v>
      </c>
      <c r="S66" s="4">
        <v>62.3</v>
      </c>
      <c r="T66" s="4">
        <v>1200000</v>
      </c>
      <c r="U66" s="4">
        <v>6457698292500</v>
      </c>
      <c r="V66" s="4">
        <v>8432.0797231125507</v>
      </c>
      <c r="W66" s="4">
        <v>17</v>
      </c>
      <c r="X66" s="9" t="str">
        <f>IF(Calcul!$AG$2=460,"a0","a")</f>
        <v>a</v>
      </c>
      <c r="Y66" s="9" t="str">
        <f>IF(Calcul!$AG$2=460,"a0","b")</f>
        <v>b</v>
      </c>
      <c r="Z66" s="156">
        <f t="shared" si="2"/>
        <v>2322349.9209761806</v>
      </c>
      <c r="AA66" s="31">
        <f t="shared" si="3"/>
        <v>130936.25</v>
      </c>
    </row>
    <row r="67" spans="1:27" ht="13">
      <c r="A67" s="17">
        <v>65</v>
      </c>
      <c r="B67" s="4" t="s">
        <v>688</v>
      </c>
      <c r="C67" s="4"/>
      <c r="D67" s="4">
        <v>147</v>
      </c>
      <c r="E67" s="4">
        <v>753</v>
      </c>
      <c r="F67" s="4">
        <v>265</v>
      </c>
      <c r="G67" s="5">
        <v>13.2</v>
      </c>
      <c r="H67" s="5">
        <v>17</v>
      </c>
      <c r="I67" s="4">
        <v>18748.879722999998</v>
      </c>
      <c r="J67" s="4">
        <v>1661000000</v>
      </c>
      <c r="K67" s="4">
        <v>4411000</v>
      </c>
      <c r="L67" s="4">
        <v>5110000</v>
      </c>
      <c r="M67" s="4">
        <v>298</v>
      </c>
      <c r="N67" s="4">
        <v>10541.27972311255</v>
      </c>
      <c r="O67" s="4">
        <v>52890000</v>
      </c>
      <c r="P67" s="4">
        <v>399000</v>
      </c>
      <c r="Q67" s="4">
        <v>631000</v>
      </c>
      <c r="R67" s="5">
        <v>53.1</v>
      </c>
      <c r="S67" s="4">
        <v>67.099999999999994</v>
      </c>
      <c r="T67" s="4">
        <v>1571000</v>
      </c>
      <c r="U67" s="4">
        <v>7162575360000</v>
      </c>
      <c r="V67" s="4">
        <v>9258.0797231125507</v>
      </c>
      <c r="W67" s="4">
        <v>17</v>
      </c>
      <c r="X67" s="9" t="str">
        <f>IF(Calcul!$AG$2=460,"a0","a")</f>
        <v>a</v>
      </c>
      <c r="Y67" s="9" t="str">
        <f>IF(Calcul!$AG$2=460,"a0","b")</f>
        <v>b</v>
      </c>
      <c r="Z67" s="156">
        <f t="shared" si="2"/>
        <v>2554947.07097618</v>
      </c>
      <c r="AA67" s="31">
        <f t="shared" si="3"/>
        <v>144493.965</v>
      </c>
    </row>
    <row r="68" spans="1:27" ht="13">
      <c r="A68" s="17">
        <v>66</v>
      </c>
      <c r="B68" s="4" t="s">
        <v>689</v>
      </c>
      <c r="C68" s="4"/>
      <c r="D68" s="4">
        <v>173</v>
      </c>
      <c r="E68" s="4">
        <v>762</v>
      </c>
      <c r="F68" s="4">
        <v>267</v>
      </c>
      <c r="G68" s="5">
        <v>14.4</v>
      </c>
      <c r="H68" s="5">
        <v>21.6</v>
      </c>
      <c r="I68" s="4">
        <v>22133.199723000002</v>
      </c>
      <c r="J68" s="4">
        <v>2058000000</v>
      </c>
      <c r="K68" s="4">
        <v>5402000</v>
      </c>
      <c r="L68" s="4">
        <v>6218000</v>
      </c>
      <c r="M68" s="4">
        <v>305</v>
      </c>
      <c r="N68" s="4">
        <v>11644.239723112552</v>
      </c>
      <c r="O68" s="4">
        <v>68730000</v>
      </c>
      <c r="P68" s="4">
        <v>515000</v>
      </c>
      <c r="Q68" s="4">
        <v>810000</v>
      </c>
      <c r="R68" s="5">
        <v>55.7</v>
      </c>
      <c r="S68" s="4">
        <v>77.5</v>
      </c>
      <c r="T68" s="4">
        <v>2700000</v>
      </c>
      <c r="U68" s="4">
        <v>9419311789199.998</v>
      </c>
      <c r="V68" s="4">
        <v>11782.479723112554</v>
      </c>
      <c r="W68" s="4">
        <v>17</v>
      </c>
      <c r="X68" s="9" t="str">
        <f>IF(Calcul!$AG$2=460,"a0","a")</f>
        <v>a</v>
      </c>
      <c r="Y68" s="9" t="str">
        <f>IF(Calcul!$AG$2=460,"a0","b")</f>
        <v>b</v>
      </c>
      <c r="Z68" s="156">
        <f t="shared" si="2"/>
        <v>3109138.6489900248</v>
      </c>
      <c r="AA68" s="31">
        <f t="shared" si="3"/>
        <v>186155.38800000004</v>
      </c>
    </row>
    <row r="69" spans="1:27" ht="13">
      <c r="A69" s="17">
        <v>67</v>
      </c>
      <c r="B69" s="4" t="s">
        <v>690</v>
      </c>
      <c r="C69" s="4"/>
      <c r="D69" s="4">
        <v>196</v>
      </c>
      <c r="E69" s="4">
        <v>770</v>
      </c>
      <c r="F69" s="4">
        <v>268</v>
      </c>
      <c r="G69" s="5">
        <v>15.6</v>
      </c>
      <c r="H69" s="5">
        <v>25.4</v>
      </c>
      <c r="I69" s="4">
        <v>25081.999723000001</v>
      </c>
      <c r="J69" s="4">
        <v>2403000000</v>
      </c>
      <c r="K69" s="4">
        <v>6241000</v>
      </c>
      <c r="L69" s="4">
        <v>7174000</v>
      </c>
      <c r="M69" s="4">
        <v>310</v>
      </c>
      <c r="N69" s="4">
        <v>12727.439723112549</v>
      </c>
      <c r="O69" s="4">
        <v>81750000</v>
      </c>
      <c r="P69" s="4">
        <v>610000</v>
      </c>
      <c r="Q69" s="4">
        <v>959000</v>
      </c>
      <c r="R69" s="5">
        <v>57.1</v>
      </c>
      <c r="S69" s="4">
        <v>86.3</v>
      </c>
      <c r="T69" s="4">
        <v>4060000</v>
      </c>
      <c r="U69" s="4">
        <v>11331145957500</v>
      </c>
      <c r="V69" s="4">
        <v>13862.479723112549</v>
      </c>
      <c r="W69" s="4">
        <v>17</v>
      </c>
      <c r="X69" s="9" t="str">
        <f>IF(Calcul!$AG$2=460,"a0","a")</f>
        <v>a</v>
      </c>
      <c r="Y69" s="9" t="str">
        <f>IF(Calcul!$AG$2=460,"a0","b")</f>
        <v>b</v>
      </c>
      <c r="Z69" s="156">
        <f t="shared" si="2"/>
        <v>3587089.2329623364</v>
      </c>
      <c r="AA69" s="31">
        <f t="shared" si="3"/>
        <v>220230.19199999998</v>
      </c>
    </row>
    <row r="70" spans="1:27" ht="13">
      <c r="A70" s="17">
        <v>68</v>
      </c>
      <c r="B70" s="4" t="s">
        <v>691</v>
      </c>
      <c r="C70" s="4"/>
      <c r="D70" s="4">
        <v>220</v>
      </c>
      <c r="E70" s="4">
        <v>779</v>
      </c>
      <c r="F70" s="4">
        <v>266</v>
      </c>
      <c r="G70" s="5">
        <v>16.5</v>
      </c>
      <c r="H70" s="5">
        <v>30</v>
      </c>
      <c r="I70" s="4">
        <v>28071.579722999999</v>
      </c>
      <c r="J70" s="4">
        <v>2782000000</v>
      </c>
      <c r="K70" s="4">
        <v>7143000</v>
      </c>
      <c r="L70" s="4">
        <v>8198000</v>
      </c>
      <c r="M70" s="4">
        <v>314.8</v>
      </c>
      <c r="N70" s="4">
        <v>13626.579723112551</v>
      </c>
      <c r="O70" s="4">
        <v>94400000</v>
      </c>
      <c r="P70" s="4">
        <v>709900</v>
      </c>
      <c r="Q70" s="4">
        <v>1113000</v>
      </c>
      <c r="R70" s="5">
        <v>58</v>
      </c>
      <c r="S70" s="4">
        <v>96.42</v>
      </c>
      <c r="T70" s="4">
        <v>6070000</v>
      </c>
      <c r="U70" s="4">
        <v>13239623600000</v>
      </c>
      <c r="V70" s="4">
        <v>16208.079723112551</v>
      </c>
      <c r="W70" s="4">
        <v>17</v>
      </c>
      <c r="X70" s="9" t="str">
        <f>IF(Calcul!$AG$2=460,"a0","a")</f>
        <v>a</v>
      </c>
      <c r="Y70" s="9" t="str">
        <f>IF(Calcul!$AG$2=460,"a0","b")</f>
        <v>b</v>
      </c>
      <c r="Z70" s="156">
        <f t="shared" si="2"/>
        <v>4098863.4834761806</v>
      </c>
      <c r="AA70" s="31">
        <f t="shared" si="3"/>
        <v>255771.5625</v>
      </c>
    </row>
  </sheetData>
  <phoneticPr fontId="3" type="noConversion"/>
  <pageMargins left="0.78740157480314965" right="0.78740157480314965" top="0.98425196850393704" bottom="0.98425196850393704" header="0.51181102362204722" footer="0.51181102362204722"/>
  <pageSetup paperSize="9" scale="88" fitToWidth="2" orientation="landscape" r:id="rId1"/>
  <headerFooter alignWithMargins="0">
    <oddFooter>&amp;R_x000D_&amp;1#&amp;"Aptos"&amp;10&amp;K000000 Data sensitivity - Public</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5"/>
  <dimension ref="A1:AC23"/>
  <sheetViews>
    <sheetView workbookViewId="0">
      <selection activeCell="J19" sqref="J19"/>
    </sheetView>
  </sheetViews>
  <sheetFormatPr defaultColWidth="10.90625" defaultRowHeight="12.5"/>
  <cols>
    <col min="1" max="1" width="11.453125" style="9"/>
    <col min="21" max="21" width="12.54296875" bestFit="1" customWidth="1"/>
    <col min="23" max="23" width="11.453125" style="52"/>
    <col min="27" max="29" width="11.453125" style="63"/>
  </cols>
  <sheetData>
    <row r="1" spans="1:29" ht="13">
      <c r="A1" s="9" t="s">
        <v>200</v>
      </c>
      <c r="B1" s="4" t="s">
        <v>170</v>
      </c>
      <c r="C1" s="4" t="s">
        <v>169</v>
      </c>
      <c r="D1" s="4" t="s">
        <v>11</v>
      </c>
      <c r="E1" s="4" t="s">
        <v>12</v>
      </c>
      <c r="F1" s="4" t="s">
        <v>13</v>
      </c>
      <c r="G1" s="5" t="s">
        <v>14</v>
      </c>
      <c r="H1" s="5" t="s">
        <v>15</v>
      </c>
      <c r="I1" s="4" t="s">
        <v>16</v>
      </c>
      <c r="J1" s="4" t="s">
        <v>2</v>
      </c>
      <c r="K1" s="4" t="s">
        <v>4</v>
      </c>
      <c r="L1" s="4" t="s">
        <v>17</v>
      </c>
      <c r="M1" s="4" t="s">
        <v>6</v>
      </c>
      <c r="N1" s="4" t="s">
        <v>18</v>
      </c>
      <c r="O1" s="4" t="s">
        <v>7</v>
      </c>
      <c r="P1" s="4" t="s">
        <v>8</v>
      </c>
      <c r="Q1" s="4" t="s">
        <v>19</v>
      </c>
      <c r="R1" s="5" t="s">
        <v>9</v>
      </c>
      <c r="S1" s="4" t="s">
        <v>20</v>
      </c>
      <c r="T1" s="4" t="s">
        <v>10</v>
      </c>
      <c r="U1" s="4" t="s">
        <v>21</v>
      </c>
      <c r="V1" s="4" t="s">
        <v>191</v>
      </c>
      <c r="W1" s="8" t="s">
        <v>211</v>
      </c>
      <c r="X1" s="4" t="s">
        <v>241</v>
      </c>
      <c r="Y1" s="4" t="s">
        <v>243</v>
      </c>
      <c r="Z1" s="31" t="s">
        <v>341</v>
      </c>
      <c r="AA1" s="31" t="s">
        <v>342</v>
      </c>
      <c r="AB1" s="153"/>
      <c r="AC1" s="153"/>
    </row>
    <row r="2" spans="1:29" ht="13">
      <c r="B2" s="4"/>
      <c r="C2" s="4"/>
      <c r="D2" s="4" t="s">
        <v>22</v>
      </c>
      <c r="E2" s="4" t="s">
        <v>0</v>
      </c>
      <c r="F2" s="4" t="s">
        <v>0</v>
      </c>
      <c r="G2" s="5" t="s">
        <v>0</v>
      </c>
      <c r="H2" s="5" t="s">
        <v>0</v>
      </c>
      <c r="I2" s="4" t="s">
        <v>1</v>
      </c>
      <c r="J2" s="4" t="s">
        <v>3</v>
      </c>
      <c r="K2" s="4" t="s">
        <v>5</v>
      </c>
      <c r="L2" s="4" t="s">
        <v>5</v>
      </c>
      <c r="M2" s="4" t="s">
        <v>0</v>
      </c>
      <c r="N2" s="4" t="s">
        <v>1</v>
      </c>
      <c r="O2" s="4" t="s">
        <v>3</v>
      </c>
      <c r="P2" s="4" t="s">
        <v>5</v>
      </c>
      <c r="Q2" s="4" t="s">
        <v>5</v>
      </c>
      <c r="R2" s="5" t="s">
        <v>0</v>
      </c>
      <c r="S2" s="4" t="s">
        <v>0</v>
      </c>
      <c r="T2" s="4" t="s">
        <v>3</v>
      </c>
      <c r="U2" s="4" t="s">
        <v>23</v>
      </c>
      <c r="V2" s="4" t="s">
        <v>1</v>
      </c>
      <c r="W2" s="8" t="s">
        <v>0</v>
      </c>
      <c r="X2" s="4" t="s">
        <v>242</v>
      </c>
      <c r="Y2" s="4" t="s">
        <v>244</v>
      </c>
      <c r="Z2" s="4" t="s">
        <v>5</v>
      </c>
      <c r="AA2" s="63" t="s">
        <v>5</v>
      </c>
      <c r="AB2" s="154"/>
      <c r="AC2" s="154"/>
    </row>
    <row r="3" spans="1:29" ht="13">
      <c r="A3" s="9">
        <v>1</v>
      </c>
      <c r="B3" s="4" t="s">
        <v>692</v>
      </c>
      <c r="C3" s="4"/>
      <c r="D3" s="4">
        <v>5.9</v>
      </c>
      <c r="E3" s="4">
        <v>80</v>
      </c>
      <c r="F3" s="4">
        <v>42</v>
      </c>
      <c r="G3" s="5">
        <v>3.9</v>
      </c>
      <c r="H3" s="5">
        <v>5.9</v>
      </c>
      <c r="I3" s="4">
        <v>760</v>
      </c>
      <c r="J3" s="4">
        <v>778000</v>
      </c>
      <c r="K3" s="4">
        <v>19500</v>
      </c>
      <c r="L3" s="4">
        <v>22800</v>
      </c>
      <c r="M3" s="4">
        <v>32</v>
      </c>
      <c r="N3" s="4"/>
      <c r="O3" s="4">
        <v>62900</v>
      </c>
      <c r="P3" s="4">
        <v>3000</v>
      </c>
      <c r="Q3" s="4">
        <v>5000</v>
      </c>
      <c r="R3" s="5">
        <v>9.1</v>
      </c>
      <c r="S3" s="4"/>
      <c r="T3" s="4">
        <v>8700</v>
      </c>
      <c r="U3" s="4">
        <f t="shared" ref="U3:U23" si="0">0.25*(E3-H3)^2*O3</f>
        <v>86342987.249999985</v>
      </c>
      <c r="V3" s="4">
        <f t="shared" ref="V3:V23" si="1">I3-((E3-2*H3)*G3)</f>
        <v>494.02</v>
      </c>
      <c r="W3" s="8">
        <v>3.9</v>
      </c>
      <c r="X3" s="9" t="str">
        <f>IF(Calcul!$AG$2=460,"a0","a")</f>
        <v>a</v>
      </c>
      <c r="Y3" s="9" t="str">
        <f>IF(Calcul!$AG$2=460,"a0","b")</f>
        <v>b</v>
      </c>
      <c r="Z3" s="156">
        <f t="shared" ref="Z3:Z23" si="2">G3*(0.5*E3-H3)^2/2+(2-PI()/2)*W3^2*((0.5*E3-H3-W3)+(((1-PI()/2*0.4244)*W3)/(2-PI()/2)))+(H3*F3)*(0.5*E3-0.5*H3)</f>
        <v>11665.395001891377</v>
      </c>
      <c r="AA3" s="31">
        <f t="shared" ref="AA3:AA23" si="3">(0.5*(0.5*F3-W3-0.5*G3)+W3+0.5*G3)*H3*(0.5*F3-W3-0.5*G3)</f>
        <v>1199.9936250000003</v>
      </c>
    </row>
    <row r="4" spans="1:29" ht="13">
      <c r="A4" s="9">
        <v>2</v>
      </c>
      <c r="B4" s="4" t="s">
        <v>171</v>
      </c>
      <c r="C4" s="4"/>
      <c r="D4" s="4">
        <v>8.3000000000000007</v>
      </c>
      <c r="E4" s="4">
        <v>100</v>
      </c>
      <c r="F4" s="4">
        <v>50</v>
      </c>
      <c r="G4" s="5">
        <v>4.5</v>
      </c>
      <c r="H4" s="5">
        <v>6.8</v>
      </c>
      <c r="I4" s="4">
        <v>1060</v>
      </c>
      <c r="J4" s="4">
        <v>1710000</v>
      </c>
      <c r="K4" s="4">
        <v>34200</v>
      </c>
      <c r="L4" s="4">
        <v>39800</v>
      </c>
      <c r="M4" s="4">
        <v>40.1</v>
      </c>
      <c r="N4" s="4"/>
      <c r="O4" s="4">
        <v>122000</v>
      </c>
      <c r="P4" s="4">
        <v>4880</v>
      </c>
      <c r="Q4" s="4">
        <v>8100</v>
      </c>
      <c r="R4" s="5">
        <v>10.7</v>
      </c>
      <c r="S4" s="4"/>
      <c r="T4" s="4">
        <v>16000</v>
      </c>
      <c r="U4" s="4">
        <f t="shared" si="0"/>
        <v>264930320</v>
      </c>
      <c r="V4" s="4">
        <f t="shared" si="1"/>
        <v>671.2</v>
      </c>
      <c r="W4" s="8">
        <v>4.5</v>
      </c>
      <c r="X4" s="9" t="str">
        <f>IF(Calcul!$AG$2=460,"a0","a")</f>
        <v>a</v>
      </c>
      <c r="Y4" s="9" t="str">
        <f>IF(Calcul!$AG$2=460,"a0","b")</f>
        <v>b</v>
      </c>
      <c r="Z4" s="156">
        <f t="shared" si="2"/>
        <v>20409.773075394525</v>
      </c>
      <c r="AA4" s="31">
        <f t="shared" si="3"/>
        <v>1970.0875000000001</v>
      </c>
    </row>
    <row r="5" spans="1:29" ht="13">
      <c r="A5" s="9">
        <v>3</v>
      </c>
      <c r="B5" s="4" t="s">
        <v>172</v>
      </c>
      <c r="C5" s="4"/>
      <c r="D5" s="4">
        <v>11.1</v>
      </c>
      <c r="E5" s="4">
        <v>120</v>
      </c>
      <c r="F5" s="4">
        <v>58</v>
      </c>
      <c r="G5" s="5">
        <v>5.0999999999999996</v>
      </c>
      <c r="H5" s="5">
        <v>7.7</v>
      </c>
      <c r="I5" s="4">
        <v>1420</v>
      </c>
      <c r="J5" s="4">
        <v>3280000</v>
      </c>
      <c r="K5" s="4">
        <v>54700</v>
      </c>
      <c r="L5" s="4">
        <v>63600</v>
      </c>
      <c r="M5" s="4">
        <v>48.1</v>
      </c>
      <c r="N5" s="4"/>
      <c r="O5" s="4">
        <v>215000</v>
      </c>
      <c r="P5" s="4">
        <v>7410</v>
      </c>
      <c r="Q5" s="4">
        <v>12400</v>
      </c>
      <c r="R5" s="5">
        <v>12.3</v>
      </c>
      <c r="S5" s="4"/>
      <c r="T5" s="4">
        <v>27100</v>
      </c>
      <c r="U5" s="4">
        <f t="shared" si="0"/>
        <v>677856837.5</v>
      </c>
      <c r="V5" s="4">
        <f t="shared" si="1"/>
        <v>886.54000000000008</v>
      </c>
      <c r="W5" s="8">
        <v>5.0999999999999996</v>
      </c>
      <c r="X5" s="9" t="str">
        <f>IF(Calcul!$AG$2=460,"a0","a")</f>
        <v>a</v>
      </c>
      <c r="Y5" s="9" t="str">
        <f>IF(Calcul!$AG$2=460,"a0","b")</f>
        <v>b</v>
      </c>
      <c r="Z5" s="156">
        <f t="shared" si="2"/>
        <v>32622.720578506272</v>
      </c>
      <c r="AA5" s="31">
        <f t="shared" si="3"/>
        <v>3012.5383749999996</v>
      </c>
    </row>
    <row r="6" spans="1:29" ht="13">
      <c r="A6" s="9">
        <v>4</v>
      </c>
      <c r="B6" s="4" t="s">
        <v>173</v>
      </c>
      <c r="C6" s="4"/>
      <c r="D6" s="4">
        <v>14.3</v>
      </c>
      <c r="E6" s="4">
        <v>140</v>
      </c>
      <c r="F6" s="4">
        <v>66</v>
      </c>
      <c r="G6" s="5">
        <v>5.7</v>
      </c>
      <c r="H6" s="5">
        <v>8.6</v>
      </c>
      <c r="I6" s="4">
        <v>1820</v>
      </c>
      <c r="J6" s="4">
        <v>5730000</v>
      </c>
      <c r="K6" s="4">
        <v>81900</v>
      </c>
      <c r="L6" s="4">
        <v>95400</v>
      </c>
      <c r="M6" s="4">
        <v>56.1</v>
      </c>
      <c r="N6" s="4"/>
      <c r="O6" s="4">
        <v>352000</v>
      </c>
      <c r="P6" s="4">
        <v>10700</v>
      </c>
      <c r="Q6" s="4">
        <v>17900</v>
      </c>
      <c r="R6" s="5">
        <v>14</v>
      </c>
      <c r="S6" s="4"/>
      <c r="T6" s="4">
        <v>43200</v>
      </c>
      <c r="U6" s="4">
        <f t="shared" si="0"/>
        <v>1519404480.0000002</v>
      </c>
      <c r="V6" s="4">
        <f t="shared" si="1"/>
        <v>1120.04</v>
      </c>
      <c r="W6" s="8">
        <v>5.7</v>
      </c>
      <c r="X6" s="9" t="str">
        <f>IF(Calcul!$AG$2=460,"a0","a")</f>
        <v>a</v>
      </c>
      <c r="Y6" s="9" t="str">
        <f>IF(Calcul!$AG$2=460,"a0","b")</f>
        <v>b</v>
      </c>
      <c r="Z6" s="156">
        <f t="shared" si="2"/>
        <v>48874.167717501099</v>
      </c>
      <c r="AA6" s="31">
        <f t="shared" si="3"/>
        <v>4368.3592500000004</v>
      </c>
    </row>
    <row r="7" spans="1:29" ht="13">
      <c r="A7" s="9">
        <v>5</v>
      </c>
      <c r="B7" s="4" t="s">
        <v>174</v>
      </c>
      <c r="C7" s="4"/>
      <c r="D7" s="4">
        <v>17.899999999999999</v>
      </c>
      <c r="E7" s="4">
        <v>160</v>
      </c>
      <c r="F7" s="4">
        <v>74</v>
      </c>
      <c r="G7" s="5">
        <v>6.3</v>
      </c>
      <c r="H7" s="5">
        <v>9.5</v>
      </c>
      <c r="I7" s="4">
        <v>2280</v>
      </c>
      <c r="J7" s="4">
        <v>9350000</v>
      </c>
      <c r="K7" s="4">
        <v>117000</v>
      </c>
      <c r="L7" s="4">
        <v>136000</v>
      </c>
      <c r="M7" s="4">
        <v>64</v>
      </c>
      <c r="N7" s="4"/>
      <c r="O7" s="4">
        <v>547000</v>
      </c>
      <c r="P7" s="4">
        <v>14800</v>
      </c>
      <c r="Q7" s="4">
        <v>24900</v>
      </c>
      <c r="R7" s="5">
        <v>15.5</v>
      </c>
      <c r="S7" s="4"/>
      <c r="T7" s="4">
        <v>65700</v>
      </c>
      <c r="U7" s="4">
        <f t="shared" si="0"/>
        <v>3097421687.5</v>
      </c>
      <c r="V7" s="4">
        <f t="shared" si="1"/>
        <v>1391.7</v>
      </c>
      <c r="W7" s="8">
        <v>6.3</v>
      </c>
      <c r="X7" s="9" t="str">
        <f>IF(Calcul!$AG$2=460,"a0","a")</f>
        <v>a</v>
      </c>
      <c r="Y7" s="9" t="str">
        <f>IF(Calcul!$AG$2=460,"a0","b")</f>
        <v>b</v>
      </c>
      <c r="Z7" s="156">
        <f t="shared" si="2"/>
        <v>69734.044698653466</v>
      </c>
      <c r="AA7" s="31">
        <f t="shared" si="3"/>
        <v>6078.5631249999997</v>
      </c>
    </row>
    <row r="8" spans="1:29" ht="13">
      <c r="A8" s="9">
        <v>6</v>
      </c>
      <c r="B8" s="4" t="s">
        <v>175</v>
      </c>
      <c r="C8" s="4"/>
      <c r="D8" s="4">
        <v>21.9</v>
      </c>
      <c r="E8" s="4">
        <v>180</v>
      </c>
      <c r="F8" s="4">
        <v>82</v>
      </c>
      <c r="G8" s="5">
        <v>6.9</v>
      </c>
      <c r="H8" s="5">
        <v>10.4</v>
      </c>
      <c r="I8" s="4">
        <v>2790</v>
      </c>
      <c r="J8" s="4">
        <v>14500000</v>
      </c>
      <c r="K8" s="4">
        <v>161000</v>
      </c>
      <c r="L8" s="4">
        <v>187000</v>
      </c>
      <c r="M8" s="4">
        <v>72</v>
      </c>
      <c r="N8" s="4"/>
      <c r="O8" s="4">
        <v>813000</v>
      </c>
      <c r="P8" s="4">
        <v>19800</v>
      </c>
      <c r="Q8" s="4">
        <v>33200</v>
      </c>
      <c r="R8" s="5">
        <v>17.100000000000001</v>
      </c>
      <c r="S8" s="4"/>
      <c r="T8" s="4">
        <v>95800</v>
      </c>
      <c r="U8" s="4">
        <f t="shared" si="0"/>
        <v>5846315520</v>
      </c>
      <c r="V8" s="4">
        <f t="shared" si="1"/>
        <v>1691.52</v>
      </c>
      <c r="W8" s="8">
        <v>6.9</v>
      </c>
      <c r="X8" s="9" t="str">
        <f>IF(Calcul!$AG$2=460,"a0","a")</f>
        <v>a</v>
      </c>
      <c r="Y8" s="9" t="str">
        <f>IF(Calcul!$AG$2=460,"a0","b")</f>
        <v>b</v>
      </c>
      <c r="Z8" s="156">
        <f t="shared" si="2"/>
        <v>95772.281728237853</v>
      </c>
      <c r="AA8" s="31">
        <f t="shared" si="3"/>
        <v>8184.1630000000014</v>
      </c>
    </row>
    <row r="9" spans="1:29" ht="13">
      <c r="A9" s="9">
        <v>7</v>
      </c>
      <c r="B9" s="4" t="s">
        <v>176</v>
      </c>
      <c r="C9" s="4"/>
      <c r="D9" s="4">
        <v>26.2</v>
      </c>
      <c r="E9" s="4">
        <v>200</v>
      </c>
      <c r="F9" s="4">
        <v>90</v>
      </c>
      <c r="G9" s="5">
        <v>7.5</v>
      </c>
      <c r="H9" s="5">
        <v>11.3</v>
      </c>
      <c r="I9" s="4">
        <v>3340</v>
      </c>
      <c r="J9" s="4">
        <v>21400000</v>
      </c>
      <c r="K9" s="4">
        <v>214000</v>
      </c>
      <c r="L9" s="4">
        <v>250000</v>
      </c>
      <c r="M9" s="4">
        <v>80</v>
      </c>
      <c r="N9" s="4"/>
      <c r="O9" s="4">
        <v>1170000</v>
      </c>
      <c r="P9" s="4">
        <v>26000</v>
      </c>
      <c r="Q9" s="4">
        <v>43500</v>
      </c>
      <c r="R9" s="5">
        <v>18.7</v>
      </c>
      <c r="S9" s="4"/>
      <c r="T9" s="4">
        <v>135000</v>
      </c>
      <c r="U9" s="4">
        <f t="shared" si="0"/>
        <v>10415249324.999998</v>
      </c>
      <c r="V9" s="4">
        <f t="shared" si="1"/>
        <v>2009.5</v>
      </c>
      <c r="W9" s="8">
        <v>7.5</v>
      </c>
      <c r="X9" s="9" t="str">
        <f>IF(Calcul!$AG$2=460,"a0","a")</f>
        <v>a</v>
      </c>
      <c r="Y9" s="9" t="str">
        <f>IF(Calcul!$AG$2=460,"a0","b")</f>
        <v>b</v>
      </c>
      <c r="Z9" s="156">
        <f t="shared" si="2"/>
        <v>127558.80901252874</v>
      </c>
      <c r="AA9" s="31">
        <f t="shared" si="3"/>
        <v>10726.171875</v>
      </c>
    </row>
    <row r="10" spans="1:29" ht="13">
      <c r="A10" s="9">
        <v>8</v>
      </c>
      <c r="B10" s="4" t="s">
        <v>177</v>
      </c>
      <c r="C10" s="4"/>
      <c r="D10" s="4">
        <v>31.1</v>
      </c>
      <c r="E10" s="4">
        <v>220</v>
      </c>
      <c r="F10" s="4">
        <v>98</v>
      </c>
      <c r="G10" s="5">
        <v>8.1</v>
      </c>
      <c r="H10" s="5">
        <v>12.2</v>
      </c>
      <c r="I10" s="4">
        <v>3950</v>
      </c>
      <c r="J10" s="4">
        <v>30600000</v>
      </c>
      <c r="K10" s="4">
        <v>278000</v>
      </c>
      <c r="L10" s="4">
        <v>324000</v>
      </c>
      <c r="M10" s="4">
        <v>88</v>
      </c>
      <c r="N10" s="4"/>
      <c r="O10" s="4">
        <v>1620000</v>
      </c>
      <c r="P10" s="4">
        <v>33100</v>
      </c>
      <c r="Q10" s="4">
        <v>55700</v>
      </c>
      <c r="R10" s="5">
        <v>20.2</v>
      </c>
      <c r="S10" s="4"/>
      <c r="T10" s="4">
        <v>186000</v>
      </c>
      <c r="U10" s="4">
        <f t="shared" si="0"/>
        <v>17488240200</v>
      </c>
      <c r="V10" s="4">
        <f t="shared" si="1"/>
        <v>2365.6400000000003</v>
      </c>
      <c r="W10" s="8">
        <v>8.1</v>
      </c>
      <c r="X10" s="9" t="str">
        <f>IF(Calcul!$AG$2=460,"a0","a")</f>
        <v>a</v>
      </c>
      <c r="Y10" s="9" t="str">
        <f>IF(Calcul!$AG$2=460,"a0","b")</f>
        <v>b</v>
      </c>
      <c r="Z10" s="156">
        <f t="shared" si="2"/>
        <v>165663.55675780054</v>
      </c>
      <c r="AA10" s="31">
        <f t="shared" si="3"/>
        <v>13745.60275</v>
      </c>
    </row>
    <row r="11" spans="1:29" ht="13">
      <c r="A11" s="9">
        <v>9</v>
      </c>
      <c r="B11" s="4" t="s">
        <v>178</v>
      </c>
      <c r="C11" s="4"/>
      <c r="D11" s="4">
        <v>36.200000000000003</v>
      </c>
      <c r="E11" s="4">
        <v>240</v>
      </c>
      <c r="F11" s="4">
        <v>106</v>
      </c>
      <c r="G11" s="5">
        <v>8.6999999999999993</v>
      </c>
      <c r="H11" s="5">
        <v>13.1</v>
      </c>
      <c r="I11" s="4">
        <v>4610</v>
      </c>
      <c r="J11" s="4">
        <v>42500000</v>
      </c>
      <c r="K11" s="4">
        <v>354000</v>
      </c>
      <c r="L11" s="4">
        <v>412000</v>
      </c>
      <c r="M11" s="4">
        <v>95.9</v>
      </c>
      <c r="N11" s="4"/>
      <c r="O11" s="4">
        <v>2210000</v>
      </c>
      <c r="P11" s="4">
        <v>41700</v>
      </c>
      <c r="Q11" s="4">
        <v>70000</v>
      </c>
      <c r="R11" s="5">
        <v>22</v>
      </c>
      <c r="S11" s="4"/>
      <c r="T11" s="4">
        <v>250000</v>
      </c>
      <c r="U11" s="4">
        <f t="shared" si="0"/>
        <v>28444694525</v>
      </c>
      <c r="V11" s="4">
        <f t="shared" si="1"/>
        <v>2749.94</v>
      </c>
      <c r="W11" s="8">
        <v>8.6999999999999993</v>
      </c>
      <c r="X11" s="9" t="str">
        <f>IF(Calcul!$AG$2=460,"a0","a")</f>
        <v>a</v>
      </c>
      <c r="Y11" s="9" t="str">
        <f>IF(Calcul!$AG$2=460,"a0","b")</f>
        <v>b</v>
      </c>
      <c r="Z11" s="156">
        <f t="shared" si="2"/>
        <v>210656.4551703278</v>
      </c>
      <c r="AA11" s="31">
        <f t="shared" si="3"/>
        <v>17283.468624999998</v>
      </c>
    </row>
    <row r="12" spans="1:29" ht="13">
      <c r="A12" s="9">
        <v>10</v>
      </c>
      <c r="B12" s="4" t="s">
        <v>179</v>
      </c>
      <c r="C12" s="4"/>
      <c r="D12" s="4">
        <v>41.9</v>
      </c>
      <c r="E12" s="4">
        <v>260</v>
      </c>
      <c r="F12" s="4">
        <v>113</v>
      </c>
      <c r="G12" s="5">
        <v>9.4</v>
      </c>
      <c r="H12" s="5">
        <v>14.1</v>
      </c>
      <c r="I12" s="4">
        <v>5330</v>
      </c>
      <c r="J12" s="4">
        <v>57400000</v>
      </c>
      <c r="K12" s="4">
        <v>442000</v>
      </c>
      <c r="L12" s="4">
        <v>514000</v>
      </c>
      <c r="M12" s="4">
        <v>104</v>
      </c>
      <c r="N12" s="4"/>
      <c r="O12" s="4">
        <v>2880000</v>
      </c>
      <c r="P12" s="4">
        <v>51000</v>
      </c>
      <c r="Q12" s="4">
        <v>85900</v>
      </c>
      <c r="R12" s="5">
        <v>23.2</v>
      </c>
      <c r="S12" s="4"/>
      <c r="T12" s="4">
        <v>335000</v>
      </c>
      <c r="U12" s="4">
        <f t="shared" si="0"/>
        <v>43536103200</v>
      </c>
      <c r="V12" s="4">
        <f t="shared" si="1"/>
        <v>3151.08</v>
      </c>
      <c r="W12" s="8">
        <v>9.4</v>
      </c>
      <c r="X12" s="9" t="str">
        <f>IF(Calcul!$AG$2=460,"a0","a")</f>
        <v>a</v>
      </c>
      <c r="Y12" s="9" t="str">
        <f>IF(Calcul!$AG$2=460,"a0","b")</f>
        <v>b</v>
      </c>
      <c r="Z12" s="156">
        <f t="shared" si="2"/>
        <v>263346.27302516147</v>
      </c>
      <c r="AA12" s="31">
        <f t="shared" si="3"/>
        <v>21103.752000000004</v>
      </c>
    </row>
    <row r="13" spans="1:29" ht="13">
      <c r="A13" s="9">
        <v>11</v>
      </c>
      <c r="B13" s="4" t="s">
        <v>180</v>
      </c>
      <c r="C13" s="4"/>
      <c r="D13" s="4">
        <v>47.9</v>
      </c>
      <c r="E13" s="4">
        <v>280</v>
      </c>
      <c r="F13" s="4">
        <v>119</v>
      </c>
      <c r="G13" s="5">
        <v>10.1</v>
      </c>
      <c r="H13" s="5">
        <v>15.2</v>
      </c>
      <c r="I13" s="4">
        <v>6100</v>
      </c>
      <c r="J13" s="4">
        <v>75900000</v>
      </c>
      <c r="K13" s="4">
        <v>542000</v>
      </c>
      <c r="L13" s="4">
        <v>632000</v>
      </c>
      <c r="M13" s="4">
        <v>111</v>
      </c>
      <c r="N13" s="4"/>
      <c r="O13" s="4">
        <v>3640000</v>
      </c>
      <c r="P13" s="4">
        <v>61200</v>
      </c>
      <c r="Q13" s="4">
        <v>103000</v>
      </c>
      <c r="R13" s="5">
        <v>24.5</v>
      </c>
      <c r="S13" s="4"/>
      <c r="T13" s="4">
        <v>442000</v>
      </c>
      <c r="U13" s="4">
        <f t="shared" si="0"/>
        <v>63808326400.000008</v>
      </c>
      <c r="V13" s="4">
        <f t="shared" si="1"/>
        <v>3579.04</v>
      </c>
      <c r="W13" s="8">
        <v>10.1</v>
      </c>
      <c r="X13" s="9" t="str">
        <f>IF(Calcul!$AG$2=460,"a0","a")</f>
        <v>a</v>
      </c>
      <c r="Y13" s="9" t="str">
        <f>IF(Calcul!$AG$2=460,"a0","b")</f>
        <v>b</v>
      </c>
      <c r="Z13" s="156">
        <f t="shared" si="2"/>
        <v>323504.44475055014</v>
      </c>
      <c r="AA13" s="31">
        <f t="shared" si="3"/>
        <v>25161.528999999999</v>
      </c>
    </row>
    <row r="14" spans="1:29" ht="13">
      <c r="A14" s="9">
        <v>12</v>
      </c>
      <c r="B14" s="4" t="s">
        <v>181</v>
      </c>
      <c r="C14" s="4"/>
      <c r="D14" s="4">
        <v>54.2</v>
      </c>
      <c r="E14" s="4">
        <v>300</v>
      </c>
      <c r="F14" s="4">
        <v>125</v>
      </c>
      <c r="G14" s="5">
        <v>10.8</v>
      </c>
      <c r="H14" s="5">
        <v>16.2</v>
      </c>
      <c r="I14" s="4">
        <v>6900</v>
      </c>
      <c r="J14" s="4">
        <v>98000000</v>
      </c>
      <c r="K14" s="4">
        <v>653000</v>
      </c>
      <c r="L14" s="4">
        <v>762000</v>
      </c>
      <c r="M14" s="4">
        <v>119</v>
      </c>
      <c r="N14" s="4"/>
      <c r="O14" s="4">
        <v>4510000</v>
      </c>
      <c r="P14" s="4">
        <v>72200</v>
      </c>
      <c r="Q14" s="4">
        <v>121000</v>
      </c>
      <c r="R14" s="5">
        <v>25.6</v>
      </c>
      <c r="S14" s="4"/>
      <c r="T14" s="4">
        <v>568000</v>
      </c>
      <c r="U14" s="4">
        <f t="shared" si="0"/>
        <v>90811601100</v>
      </c>
      <c r="V14" s="4">
        <f t="shared" si="1"/>
        <v>4009.9199999999996</v>
      </c>
      <c r="W14" s="8">
        <v>10.8</v>
      </c>
      <c r="X14" s="9" t="str">
        <f>IF(Calcul!$AG$2=460,"a0","a")</f>
        <v>a</v>
      </c>
      <c r="Y14" s="9" t="str">
        <f>IF(Calcul!$AG$2=460,"a0","b")</f>
        <v>b</v>
      </c>
      <c r="Z14" s="156">
        <f t="shared" si="2"/>
        <v>390598.27100550634</v>
      </c>
      <c r="AA14" s="31">
        <f t="shared" si="3"/>
        <v>29514.861000000004</v>
      </c>
    </row>
    <row r="15" spans="1:29" ht="13">
      <c r="A15" s="9">
        <v>13</v>
      </c>
      <c r="B15" s="4" t="s">
        <v>182</v>
      </c>
      <c r="C15" s="4"/>
      <c r="D15" s="4">
        <v>61</v>
      </c>
      <c r="E15" s="4">
        <v>320</v>
      </c>
      <c r="F15" s="4">
        <v>131</v>
      </c>
      <c r="G15" s="5">
        <v>11.5</v>
      </c>
      <c r="H15" s="5">
        <v>17.3</v>
      </c>
      <c r="I15" s="4">
        <v>7770</v>
      </c>
      <c r="J15" s="4">
        <v>125100000</v>
      </c>
      <c r="K15" s="4">
        <v>782000</v>
      </c>
      <c r="L15" s="4">
        <v>914000</v>
      </c>
      <c r="M15" s="4">
        <v>127</v>
      </c>
      <c r="N15" s="4"/>
      <c r="O15" s="4">
        <v>5550000</v>
      </c>
      <c r="P15" s="4">
        <v>84700</v>
      </c>
      <c r="Q15" s="4">
        <v>143000</v>
      </c>
      <c r="R15" s="5">
        <v>26.7</v>
      </c>
      <c r="S15" s="4"/>
      <c r="T15" s="4">
        <v>725000</v>
      </c>
      <c r="U15" s="4">
        <f t="shared" si="0"/>
        <v>127132864874.99998</v>
      </c>
      <c r="V15" s="4">
        <f t="shared" si="1"/>
        <v>4487.8999999999996</v>
      </c>
      <c r="W15" s="8">
        <v>11.5</v>
      </c>
      <c r="X15" s="9" t="str">
        <f>IF(Calcul!$AG$2=460,"a0","a")</f>
        <v>a</v>
      </c>
      <c r="Y15" s="9" t="str">
        <f>IF(Calcul!$AG$2=460,"a0","b")</f>
        <v>b</v>
      </c>
      <c r="Z15" s="156">
        <f t="shared" si="2"/>
        <v>468047.61109844095</v>
      </c>
      <c r="AA15" s="31">
        <f t="shared" si="3"/>
        <v>34536.746875000004</v>
      </c>
    </row>
    <row r="16" spans="1:29" ht="13">
      <c r="A16" s="9">
        <v>14</v>
      </c>
      <c r="B16" s="4" t="s">
        <v>183</v>
      </c>
      <c r="C16" s="4"/>
      <c r="D16" s="4">
        <v>68</v>
      </c>
      <c r="E16" s="4">
        <v>340</v>
      </c>
      <c r="F16" s="4">
        <v>137</v>
      </c>
      <c r="G16" s="5">
        <v>12.2</v>
      </c>
      <c r="H16" s="5">
        <v>18.3</v>
      </c>
      <c r="I16" s="4">
        <v>8670</v>
      </c>
      <c r="J16" s="4">
        <v>157000000</v>
      </c>
      <c r="K16" s="4">
        <v>923000</v>
      </c>
      <c r="L16" s="4">
        <v>1080000</v>
      </c>
      <c r="M16" s="4">
        <v>135</v>
      </c>
      <c r="N16" s="4"/>
      <c r="O16" s="4">
        <v>6740000</v>
      </c>
      <c r="P16" s="4">
        <v>98400</v>
      </c>
      <c r="Q16" s="4">
        <v>166000</v>
      </c>
      <c r="R16" s="5">
        <v>28</v>
      </c>
      <c r="S16" s="4"/>
      <c r="T16" s="4">
        <v>904000</v>
      </c>
      <c r="U16" s="4">
        <f t="shared" si="0"/>
        <v>174382149650</v>
      </c>
      <c r="V16" s="4">
        <f t="shared" si="1"/>
        <v>4968.5200000000004</v>
      </c>
      <c r="W16" s="8">
        <v>12.2</v>
      </c>
      <c r="X16" s="9" t="str">
        <f>IF(Calcul!$AG$2=460,"a0","a")</f>
        <v>a</v>
      </c>
      <c r="Y16" s="9" t="str">
        <f>IF(Calcul!$AG$2=460,"a0","b")</f>
        <v>b</v>
      </c>
      <c r="Z16" s="156">
        <f t="shared" si="2"/>
        <v>553162.61738826218</v>
      </c>
      <c r="AA16" s="31">
        <f t="shared" si="3"/>
        <v>39869.843999999997</v>
      </c>
    </row>
    <row r="17" spans="1:27" ht="13">
      <c r="A17" s="9">
        <v>15</v>
      </c>
      <c r="B17" s="4" t="s">
        <v>184</v>
      </c>
      <c r="C17" s="4"/>
      <c r="D17" s="4">
        <v>76.099999999999994</v>
      </c>
      <c r="E17" s="4">
        <v>360</v>
      </c>
      <c r="F17" s="4">
        <v>143</v>
      </c>
      <c r="G17" s="5">
        <v>13</v>
      </c>
      <c r="H17" s="5">
        <v>19.5</v>
      </c>
      <c r="I17" s="4">
        <v>9700</v>
      </c>
      <c r="J17" s="4">
        <v>196100000</v>
      </c>
      <c r="K17" s="4">
        <v>1090000</v>
      </c>
      <c r="L17" s="4">
        <v>1276000</v>
      </c>
      <c r="M17" s="4">
        <v>142</v>
      </c>
      <c r="N17" s="4"/>
      <c r="O17" s="4">
        <v>8180000</v>
      </c>
      <c r="P17" s="4">
        <v>114000</v>
      </c>
      <c r="Q17" s="4">
        <v>194000</v>
      </c>
      <c r="R17" s="5">
        <v>29</v>
      </c>
      <c r="S17" s="4"/>
      <c r="T17" s="4">
        <v>1150000</v>
      </c>
      <c r="U17" s="4">
        <f t="shared" si="0"/>
        <v>237097811250</v>
      </c>
      <c r="V17" s="4">
        <f t="shared" si="1"/>
        <v>5527</v>
      </c>
      <c r="W17" s="8">
        <v>13</v>
      </c>
      <c r="X17" s="9" t="str">
        <f>IF(Calcul!$AG$2=460,"a0","a")</f>
        <v>a</v>
      </c>
      <c r="Y17" s="9" t="str">
        <f>IF(Calcul!$AG$2=460,"a0","b")</f>
        <v>b</v>
      </c>
      <c r="Z17" s="156">
        <f t="shared" si="2"/>
        <v>653615.10338730167</v>
      </c>
      <c r="AA17" s="31">
        <f t="shared" si="3"/>
        <v>46137</v>
      </c>
    </row>
    <row r="18" spans="1:27" ht="13">
      <c r="A18" s="9">
        <v>16</v>
      </c>
      <c r="B18" s="4" t="s">
        <v>185</v>
      </c>
      <c r="C18" s="4"/>
      <c r="D18" s="4">
        <v>84</v>
      </c>
      <c r="E18" s="4">
        <v>380</v>
      </c>
      <c r="F18" s="4">
        <v>149</v>
      </c>
      <c r="G18" s="5">
        <v>13.7</v>
      </c>
      <c r="H18" s="5">
        <v>20.5</v>
      </c>
      <c r="I18" s="4">
        <v>10700</v>
      </c>
      <c r="J18" s="4">
        <v>240100000</v>
      </c>
      <c r="K18" s="4">
        <v>1260000</v>
      </c>
      <c r="L18" s="4">
        <v>1482000</v>
      </c>
      <c r="M18" s="4">
        <v>150</v>
      </c>
      <c r="N18" s="4"/>
      <c r="O18" s="4">
        <v>9750000</v>
      </c>
      <c r="P18" s="4">
        <v>131000</v>
      </c>
      <c r="Q18" s="4">
        <v>221000</v>
      </c>
      <c r="R18" s="5">
        <v>30.2</v>
      </c>
      <c r="S18" s="4"/>
      <c r="T18" s="4">
        <v>1410000</v>
      </c>
      <c r="U18" s="4">
        <f t="shared" si="0"/>
        <v>315023109375</v>
      </c>
      <c r="V18" s="4">
        <f t="shared" si="1"/>
        <v>6055.7</v>
      </c>
      <c r="W18" s="8">
        <v>13.7</v>
      </c>
      <c r="X18" s="9" t="str">
        <f>IF(Calcul!$AG$2=460,"a0","a")</f>
        <v>a</v>
      </c>
      <c r="Y18" s="9" t="str">
        <f>IF(Calcul!$AG$2=460,"a0","b")</f>
        <v>b</v>
      </c>
      <c r="Z18" s="156">
        <f t="shared" si="2"/>
        <v>759256.57599864714</v>
      </c>
      <c r="AA18" s="31">
        <f t="shared" si="3"/>
        <v>52561.461874999994</v>
      </c>
    </row>
    <row r="19" spans="1:27" ht="13">
      <c r="A19" s="9">
        <v>17</v>
      </c>
      <c r="B19" s="4" t="s">
        <v>186</v>
      </c>
      <c r="C19" s="4"/>
      <c r="D19" s="4">
        <v>92.4</v>
      </c>
      <c r="E19" s="4">
        <v>400</v>
      </c>
      <c r="F19" s="4">
        <v>155</v>
      </c>
      <c r="G19" s="5">
        <v>14.4</v>
      </c>
      <c r="H19" s="5">
        <v>21.6</v>
      </c>
      <c r="I19" s="4">
        <v>11770</v>
      </c>
      <c r="J19" s="4">
        <v>292100000</v>
      </c>
      <c r="K19" s="4">
        <v>1460000</v>
      </c>
      <c r="L19" s="4">
        <v>1714000</v>
      </c>
      <c r="M19" s="4">
        <v>157</v>
      </c>
      <c r="N19" s="4"/>
      <c r="O19" s="4">
        <v>11600000</v>
      </c>
      <c r="P19" s="4">
        <v>149000</v>
      </c>
      <c r="Q19" s="4">
        <v>253000</v>
      </c>
      <c r="R19" s="5">
        <v>31.3</v>
      </c>
      <c r="S19" s="4"/>
      <c r="T19" s="4">
        <v>1700000</v>
      </c>
      <c r="U19" s="4">
        <f t="shared" si="0"/>
        <v>415241023999.99994</v>
      </c>
      <c r="V19" s="4">
        <f t="shared" si="1"/>
        <v>6632.08</v>
      </c>
      <c r="W19" s="8">
        <v>14.4</v>
      </c>
      <c r="X19" s="9" t="str">
        <f>IF(Calcul!$AG$2=460,"a0","a")</f>
        <v>a</v>
      </c>
      <c r="Y19" s="9" t="str">
        <f>IF(Calcul!$AG$2=460,"a0","b")</f>
        <v>b</v>
      </c>
      <c r="Z19" s="156">
        <f t="shared" si="2"/>
        <v>878184.16830934829</v>
      </c>
      <c r="AA19" s="31">
        <f t="shared" si="3"/>
        <v>59828.652000000009</v>
      </c>
    </row>
    <row r="20" spans="1:27" ht="13">
      <c r="A20" s="9">
        <v>18</v>
      </c>
      <c r="B20" s="4" t="s">
        <v>187</v>
      </c>
      <c r="C20" s="4"/>
      <c r="D20" s="4">
        <v>115</v>
      </c>
      <c r="E20" s="4">
        <v>450</v>
      </c>
      <c r="F20" s="4">
        <v>170</v>
      </c>
      <c r="G20" s="5">
        <v>16.2</v>
      </c>
      <c r="H20" s="5">
        <v>24.3</v>
      </c>
      <c r="I20" s="4">
        <v>14690</v>
      </c>
      <c r="J20" s="4">
        <v>458500000</v>
      </c>
      <c r="K20" s="4">
        <v>2040000</v>
      </c>
      <c r="L20" s="4">
        <v>2400000</v>
      </c>
      <c r="M20" s="4">
        <v>177</v>
      </c>
      <c r="N20" s="4"/>
      <c r="O20" s="4">
        <v>17300000</v>
      </c>
      <c r="P20" s="4">
        <v>203000</v>
      </c>
      <c r="Q20" s="4">
        <v>345000</v>
      </c>
      <c r="R20" s="5">
        <v>34.299999999999997</v>
      </c>
      <c r="S20" s="4"/>
      <c r="T20" s="4">
        <v>2670000</v>
      </c>
      <c r="U20" s="4">
        <f t="shared" si="0"/>
        <v>783778619250</v>
      </c>
      <c r="V20" s="4">
        <f t="shared" si="1"/>
        <v>8187.3200000000006</v>
      </c>
      <c r="W20" s="8">
        <v>16.2</v>
      </c>
      <c r="X20" s="9" t="str">
        <f>IF(Calcul!$AG$2=460,"a0","a")</f>
        <v>a</v>
      </c>
      <c r="Y20" s="9" t="str">
        <f>IF(Calcul!$AG$2=460,"a0","b")</f>
        <v>b</v>
      </c>
      <c r="Z20" s="156">
        <f t="shared" si="2"/>
        <v>1227754.7021435837</v>
      </c>
      <c r="AA20" s="31">
        <f t="shared" si="3"/>
        <v>80609.296499999982</v>
      </c>
    </row>
    <row r="21" spans="1:27" ht="13">
      <c r="A21" s="9">
        <v>19</v>
      </c>
      <c r="B21" s="4" t="s">
        <v>188</v>
      </c>
      <c r="C21" s="4"/>
      <c r="D21" s="4">
        <v>141</v>
      </c>
      <c r="E21" s="4">
        <v>500</v>
      </c>
      <c r="F21" s="4">
        <v>185</v>
      </c>
      <c r="G21" s="5">
        <v>18</v>
      </c>
      <c r="H21" s="5">
        <v>27</v>
      </c>
      <c r="I21" s="4">
        <v>17940</v>
      </c>
      <c r="J21" s="4">
        <v>687400000</v>
      </c>
      <c r="K21" s="4">
        <v>2750000</v>
      </c>
      <c r="L21" s="4">
        <v>3240000</v>
      </c>
      <c r="M21" s="4">
        <v>196</v>
      </c>
      <c r="N21" s="4"/>
      <c r="O21" s="4">
        <v>24800000</v>
      </c>
      <c r="P21" s="4">
        <v>268000</v>
      </c>
      <c r="Q21" s="4">
        <v>456000</v>
      </c>
      <c r="R21" s="5">
        <v>37.200000000000003</v>
      </c>
      <c r="S21" s="4"/>
      <c r="T21" s="4">
        <v>4020000</v>
      </c>
      <c r="U21" s="4">
        <f t="shared" si="0"/>
        <v>1387119800000</v>
      </c>
      <c r="V21" s="4">
        <f t="shared" si="1"/>
        <v>9912</v>
      </c>
      <c r="W21" s="8">
        <v>18</v>
      </c>
      <c r="X21" s="9" t="str">
        <f>IF(Calcul!$AG$2=460,"a0","a")</f>
        <v>a</v>
      </c>
      <c r="Y21" s="9" t="str">
        <f>IF(Calcul!$AG$2=460,"a0","b")</f>
        <v>b</v>
      </c>
      <c r="Z21" s="156">
        <f t="shared" si="2"/>
        <v>1659330.328729196</v>
      </c>
      <c r="AA21" s="31">
        <f t="shared" si="3"/>
        <v>105667.875</v>
      </c>
    </row>
    <row r="22" spans="1:27" ht="13">
      <c r="A22" s="9">
        <v>20</v>
      </c>
      <c r="B22" s="4" t="s">
        <v>189</v>
      </c>
      <c r="C22" s="4"/>
      <c r="D22" s="4">
        <v>166</v>
      </c>
      <c r="E22" s="4">
        <v>550</v>
      </c>
      <c r="F22" s="4">
        <v>200</v>
      </c>
      <c r="G22" s="5">
        <v>19</v>
      </c>
      <c r="H22" s="5">
        <v>30</v>
      </c>
      <c r="I22" s="4">
        <v>21200</v>
      </c>
      <c r="J22" s="4">
        <v>991800000</v>
      </c>
      <c r="K22" s="4">
        <v>3610000</v>
      </c>
      <c r="L22" s="4">
        <v>4240000</v>
      </c>
      <c r="M22" s="4">
        <v>216</v>
      </c>
      <c r="N22" s="4"/>
      <c r="O22" s="4">
        <v>34900000</v>
      </c>
      <c r="P22" s="4">
        <v>349000</v>
      </c>
      <c r="Q22" s="4">
        <v>592000</v>
      </c>
      <c r="R22" s="5">
        <v>40.200000000000003</v>
      </c>
      <c r="S22" s="4"/>
      <c r="T22" s="4">
        <v>5440000</v>
      </c>
      <c r="U22" s="4">
        <f t="shared" si="0"/>
        <v>2359240000000</v>
      </c>
      <c r="V22" s="4">
        <f t="shared" si="1"/>
        <v>11890</v>
      </c>
      <c r="W22" s="8">
        <v>19</v>
      </c>
      <c r="X22" s="9" t="str">
        <f>IF(Calcul!$AG$2=460,"a0","a")</f>
        <v>a</v>
      </c>
      <c r="Y22" s="9" t="str">
        <f>IF(Calcul!$AG$2=460,"a0","b")</f>
        <v>b</v>
      </c>
      <c r="Z22" s="156">
        <f t="shared" si="2"/>
        <v>2167540.9862349834</v>
      </c>
      <c r="AA22" s="31">
        <f t="shared" si="3"/>
        <v>137816.25</v>
      </c>
    </row>
    <row r="23" spans="1:27" ht="13">
      <c r="A23" s="9">
        <v>21</v>
      </c>
      <c r="B23" s="4" t="s">
        <v>693</v>
      </c>
      <c r="C23" s="4"/>
      <c r="D23" s="4">
        <v>199</v>
      </c>
      <c r="E23" s="4">
        <v>600</v>
      </c>
      <c r="F23" s="4">
        <v>215</v>
      </c>
      <c r="G23" s="5">
        <v>21.6</v>
      </c>
      <c r="H23" s="5">
        <v>32.4</v>
      </c>
      <c r="I23" s="4">
        <v>25370</v>
      </c>
      <c r="J23" s="4">
        <v>1390000000</v>
      </c>
      <c r="K23" s="4">
        <v>4630000</v>
      </c>
      <c r="L23" s="4">
        <v>5452000</v>
      </c>
      <c r="M23" s="4">
        <v>234</v>
      </c>
      <c r="N23" s="4"/>
      <c r="O23" s="4">
        <v>46700000</v>
      </c>
      <c r="P23" s="4">
        <v>434000</v>
      </c>
      <c r="Q23" s="4">
        <v>752000</v>
      </c>
      <c r="R23" s="5">
        <v>43</v>
      </c>
      <c r="S23" s="4"/>
      <c r="T23" s="4">
        <v>7870000</v>
      </c>
      <c r="U23" s="4">
        <f t="shared" si="0"/>
        <v>3761331948000</v>
      </c>
      <c r="V23" s="4">
        <f t="shared" si="1"/>
        <v>13809.679999999998</v>
      </c>
      <c r="W23" s="8">
        <v>21.6</v>
      </c>
      <c r="X23" s="9" t="str">
        <f>IF(Calcul!$AG$2=460,"a0","a")</f>
        <v>a</v>
      </c>
      <c r="Y23" s="9" t="str">
        <f>IF(Calcul!$AG$2=460,"a0","b")</f>
        <v>b</v>
      </c>
      <c r="Z23" s="156">
        <f t="shared" si="2"/>
        <v>2802956.968044051</v>
      </c>
      <c r="AA23" s="31">
        <f t="shared" si="3"/>
        <v>170205.13800000004</v>
      </c>
    </row>
  </sheetData>
  <phoneticPr fontId="3" type="noConversion"/>
  <pageMargins left="0.78740157499999996" right="0.78740157499999996" top="0.984251969" bottom="0.984251969" header="0.4921259845" footer="0.4921259845"/>
  <headerFooter alignWithMargins="0">
    <oddFooter>&amp;R_x000D_&amp;1#&amp;"Aptos"&amp;10&amp;K000000 Data sensitivity - Public</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6"/>
  <dimension ref="A1:AE90"/>
  <sheetViews>
    <sheetView topLeftCell="A43" workbookViewId="0">
      <selection activeCell="J70" sqref="J70"/>
    </sheetView>
  </sheetViews>
  <sheetFormatPr defaultColWidth="10.90625" defaultRowHeight="12.5"/>
  <cols>
    <col min="2" max="2" width="16.453125" bestFit="1" customWidth="1"/>
    <col min="21" max="21" width="12" bestFit="1" customWidth="1"/>
    <col min="27" max="29" width="11.453125" style="63"/>
  </cols>
  <sheetData>
    <row r="1" spans="1:31" ht="13">
      <c r="A1" t="s">
        <v>200</v>
      </c>
      <c r="B1" s="3" t="s">
        <v>190</v>
      </c>
      <c r="C1" s="3" t="s">
        <v>250</v>
      </c>
      <c r="D1" s="3" t="s">
        <v>11</v>
      </c>
      <c r="E1" s="3" t="s">
        <v>12</v>
      </c>
      <c r="F1" s="3" t="s">
        <v>13</v>
      </c>
      <c r="G1" s="5" t="s">
        <v>14</v>
      </c>
      <c r="H1" s="5" t="s">
        <v>15</v>
      </c>
      <c r="I1" s="3" t="s">
        <v>16</v>
      </c>
      <c r="J1" s="3" t="s">
        <v>2</v>
      </c>
      <c r="K1" s="3" t="s">
        <v>4</v>
      </c>
      <c r="L1" s="3" t="s">
        <v>17</v>
      </c>
      <c r="M1" s="3" t="s">
        <v>6</v>
      </c>
      <c r="N1" s="3" t="s">
        <v>18</v>
      </c>
      <c r="O1" s="3" t="s">
        <v>7</v>
      </c>
      <c r="P1" s="3" t="s">
        <v>8</v>
      </c>
      <c r="Q1" s="3" t="s">
        <v>19</v>
      </c>
      <c r="R1" s="5" t="s">
        <v>9</v>
      </c>
      <c r="S1" s="3" t="s">
        <v>20</v>
      </c>
      <c r="T1" s="3" t="s">
        <v>10</v>
      </c>
      <c r="U1" s="4" t="s">
        <v>456</v>
      </c>
      <c r="V1" s="4" t="s">
        <v>191</v>
      </c>
      <c r="W1" s="4" t="s">
        <v>211</v>
      </c>
      <c r="X1" s="4" t="s">
        <v>241</v>
      </c>
      <c r="Y1" s="4" t="s">
        <v>243</v>
      </c>
      <c r="Z1" s="65" t="s">
        <v>333</v>
      </c>
      <c r="AB1" s="153"/>
      <c r="AC1" s="153"/>
      <c r="AD1" s="4"/>
      <c r="AE1" s="4"/>
    </row>
    <row r="2" spans="1:31" ht="13">
      <c r="B2" s="3"/>
      <c r="C2" s="3"/>
      <c r="D2" s="3" t="s">
        <v>22</v>
      </c>
      <c r="E2" s="3" t="s">
        <v>0</v>
      </c>
      <c r="F2" s="3" t="s">
        <v>0</v>
      </c>
      <c r="G2" s="5" t="s">
        <v>0</v>
      </c>
      <c r="H2" s="5" t="s">
        <v>0</v>
      </c>
      <c r="I2" s="3" t="s">
        <v>1</v>
      </c>
      <c r="J2" s="3" t="s">
        <v>3</v>
      </c>
      <c r="K2" s="3" t="s">
        <v>5</v>
      </c>
      <c r="L2" s="3" t="s">
        <v>5</v>
      </c>
      <c r="M2" s="3" t="s">
        <v>0</v>
      </c>
      <c r="N2" s="3" t="s">
        <v>1</v>
      </c>
      <c r="O2" s="3" t="s">
        <v>3</v>
      </c>
      <c r="P2" s="3" t="s">
        <v>5</v>
      </c>
      <c r="Q2" s="3" t="s">
        <v>5</v>
      </c>
      <c r="R2" s="5" t="s">
        <v>0</v>
      </c>
      <c r="S2" s="3" t="s">
        <v>0</v>
      </c>
      <c r="T2" s="3" t="s">
        <v>3</v>
      </c>
      <c r="U2" s="4" t="s">
        <v>23</v>
      </c>
      <c r="V2" s="4" t="s">
        <v>1</v>
      </c>
      <c r="W2" s="4" t="s">
        <v>0</v>
      </c>
      <c r="X2" s="4" t="s">
        <v>242</v>
      </c>
      <c r="Y2" s="4" t="s">
        <v>249</v>
      </c>
      <c r="Z2" s="31" t="s">
        <v>341</v>
      </c>
      <c r="AA2" s="31" t="s">
        <v>342</v>
      </c>
      <c r="AB2" s="154"/>
      <c r="AC2" s="154"/>
      <c r="AD2" s="4"/>
      <c r="AE2" s="4"/>
    </row>
    <row r="3" spans="1:31" ht="13">
      <c r="A3" s="9">
        <v>1</v>
      </c>
      <c r="B3" s="54" t="s">
        <v>694</v>
      </c>
      <c r="C3">
        <v>0.93846153846153846</v>
      </c>
      <c r="D3" s="55">
        <v>54.1</v>
      </c>
      <c r="E3" s="54">
        <v>244</v>
      </c>
      <c r="F3" s="54">
        <v>260</v>
      </c>
      <c r="G3" s="56">
        <v>6.5</v>
      </c>
      <c r="H3" s="56">
        <v>9.5</v>
      </c>
      <c r="I3" s="54">
        <v>6900</v>
      </c>
      <c r="J3" s="54">
        <v>79810000</v>
      </c>
      <c r="K3" s="54">
        <v>654100</v>
      </c>
      <c r="L3" s="54">
        <v>714500</v>
      </c>
      <c r="M3" s="54">
        <v>107.6</v>
      </c>
      <c r="N3" s="54">
        <v>2477.75</v>
      </c>
      <c r="O3" s="54">
        <v>27880000</v>
      </c>
      <c r="P3" s="54">
        <v>214500</v>
      </c>
      <c r="Q3" s="54">
        <v>327700</v>
      </c>
      <c r="R3" s="56">
        <v>63.6</v>
      </c>
      <c r="S3" s="54">
        <v>53.62</v>
      </c>
      <c r="T3" s="54">
        <v>301000</v>
      </c>
      <c r="U3" s="243">
        <v>383282042500</v>
      </c>
      <c r="V3" s="4">
        <v>5437.5</v>
      </c>
      <c r="W3" s="4">
        <v>24</v>
      </c>
      <c r="X3" s="31" t="str">
        <f>IF(C3&lt;=1.2,IF(H3&lt;=100,IF(Calcul!$AG$2=460,"a","b"),IF(Calcul!$AG$2=460,"c","d")),IF(H3&lt;=40,IF(Calcul!$AG$2=460,"a0","a"),IF(Calcul!$AG$2=460,"a","b")))</f>
        <v>b</v>
      </c>
      <c r="Y3" s="31" t="str">
        <f>IF(C3&lt;=1.2,IF(H3&lt;=100,IF(Calcul!$AG$2=460,"a","c"),IF(Calcul!$AG$2=460,"c","d")),IF(H3&lt;=40,IF(Calcul!$AG$2=460,"a0","b"),IF(Calcul!$AG$2=460,"a","c")))</f>
        <v>c</v>
      </c>
      <c r="Z3" s="156">
        <f t="shared" ref="Z3:Z34" si="0">G3*(0.5*E3-H3)^2/2+(2-PI()/2)*W3^2*((0.5*E3-H3-W3)+(((1-PI()/2*0.4244)*W3)/(2-PI()/2)))+(H3*F3)*(0.5*E3-0.5*H3)</f>
        <v>357227.68517917092</v>
      </c>
      <c r="AA3" s="31">
        <f t="shared" ref="AA3:AA34" si="1">(0.5*(0.5*F3-W3-0.5*G3)+W3+0.5*G3)*H3*(0.5*F3-W3-0.5*G3)</f>
        <v>76747.828125</v>
      </c>
    </row>
    <row r="4" spans="1:31" ht="13">
      <c r="A4" s="9">
        <v>2</v>
      </c>
      <c r="B4" s="54" t="s">
        <v>695</v>
      </c>
      <c r="C4">
        <v>0.96153846153846156</v>
      </c>
      <c r="D4" s="55">
        <v>68.2</v>
      </c>
      <c r="E4" s="54">
        <v>250</v>
      </c>
      <c r="F4" s="54">
        <v>260</v>
      </c>
      <c r="G4" s="56">
        <v>7.5</v>
      </c>
      <c r="H4" s="56">
        <v>12.5</v>
      </c>
      <c r="I4" s="54">
        <v>8680</v>
      </c>
      <c r="J4" s="54">
        <v>104500000</v>
      </c>
      <c r="K4" s="54">
        <v>836400</v>
      </c>
      <c r="L4" s="54">
        <v>919800</v>
      </c>
      <c r="M4" s="54">
        <v>109.7</v>
      </c>
      <c r="N4" s="54">
        <v>2873.75</v>
      </c>
      <c r="O4" s="54">
        <v>36680000</v>
      </c>
      <c r="P4" s="54">
        <v>282100</v>
      </c>
      <c r="Q4" s="54">
        <v>430200</v>
      </c>
      <c r="R4" s="56">
        <v>65</v>
      </c>
      <c r="S4" s="54">
        <v>60.62</v>
      </c>
      <c r="T4" s="54">
        <v>542000</v>
      </c>
      <c r="U4" s="243">
        <v>517245312500</v>
      </c>
      <c r="V4" s="4">
        <v>6992.5</v>
      </c>
      <c r="W4" s="4">
        <v>24</v>
      </c>
      <c r="X4" s="31" t="str">
        <f>IF(C4&lt;=1.2,IF(H4&lt;=100,IF(Calcul!$AG$2=460,"a","b"),IF(Calcul!$AG$2=460,"c","d")),IF(H4&lt;=40,IF(Calcul!$AG$2=460,"a0","a"),IF(Calcul!$AG$2=460,"a","b")))</f>
        <v>b</v>
      </c>
      <c r="Y4" s="31" t="str">
        <f>IF(C4&lt;=1.2,IF(H4&lt;=100,IF(Calcul!$AG$2=460,"a","c"),IF(Calcul!$AG$2=460,"c","d")),IF(H4&lt;=40,IF(Calcul!$AG$2=460,"a0","b"),IF(Calcul!$AG$2=460,"a","c")))</f>
        <v>c</v>
      </c>
      <c r="Z4" s="156">
        <f t="shared" si="0"/>
        <v>459885.81017917092</v>
      </c>
      <c r="AA4" s="31">
        <f t="shared" si="1"/>
        <v>100812.109375</v>
      </c>
    </row>
    <row r="5" spans="1:31" ht="13">
      <c r="A5" s="9">
        <v>3</v>
      </c>
      <c r="B5" s="54" t="s">
        <v>696</v>
      </c>
      <c r="C5">
        <v>1</v>
      </c>
      <c r="D5" s="55">
        <v>93</v>
      </c>
      <c r="E5" s="54">
        <v>260</v>
      </c>
      <c r="F5" s="54">
        <v>260</v>
      </c>
      <c r="G5" s="56">
        <v>10</v>
      </c>
      <c r="H5" s="56">
        <v>17.5</v>
      </c>
      <c r="I5" s="54">
        <v>11840</v>
      </c>
      <c r="J5" s="54">
        <v>149200000</v>
      </c>
      <c r="K5" s="54">
        <v>1148000</v>
      </c>
      <c r="L5" s="54">
        <v>1283000</v>
      </c>
      <c r="M5" s="54">
        <v>112.2</v>
      </c>
      <c r="N5" s="54">
        <v>3755</v>
      </c>
      <c r="O5" s="54">
        <v>51350000</v>
      </c>
      <c r="P5" s="54">
        <v>395000</v>
      </c>
      <c r="Q5" s="54">
        <v>602200</v>
      </c>
      <c r="R5" s="56">
        <v>65.8</v>
      </c>
      <c r="S5" s="54">
        <v>73.12</v>
      </c>
      <c r="T5" s="54">
        <v>1270000</v>
      </c>
      <c r="U5" s="243">
        <v>754925234375</v>
      </c>
      <c r="V5" s="4">
        <v>9590</v>
      </c>
      <c r="W5" s="4">
        <v>24</v>
      </c>
      <c r="X5" s="31" t="str">
        <f>IF(C5&lt;=1.2,IF(H5&lt;=100,IF(Calcul!$AG$2=460,"a","b"),IF(Calcul!$AG$2=460,"c","d")),IF(H5&lt;=40,IF(Calcul!$AG$2=460,"a0","a"),IF(Calcul!$AG$2=460,"a","b")))</f>
        <v>b</v>
      </c>
      <c r="Y5" s="31" t="str">
        <f>IF(C5&lt;=1.2,IF(H5&lt;=100,IF(Calcul!$AG$2=460,"a","c"),IF(Calcul!$AG$2=460,"c","d")),IF(H5&lt;=40,IF(Calcul!$AG$2=460,"a0","b"),IF(Calcul!$AG$2=460,"a","c")))</f>
        <v>c</v>
      </c>
      <c r="Z5" s="156">
        <f t="shared" si="0"/>
        <v>641456.12267917092</v>
      </c>
      <c r="AA5" s="31">
        <f t="shared" si="1"/>
        <v>140516.25</v>
      </c>
    </row>
    <row r="6" spans="1:31" ht="13">
      <c r="A6" s="9">
        <v>4</v>
      </c>
      <c r="B6" s="54" t="s">
        <v>697</v>
      </c>
      <c r="C6">
        <v>1.0229007633587786</v>
      </c>
      <c r="D6" s="55">
        <v>114</v>
      </c>
      <c r="E6" s="54">
        <v>268</v>
      </c>
      <c r="F6" s="54">
        <v>262</v>
      </c>
      <c r="G6" s="56">
        <v>12.5</v>
      </c>
      <c r="H6" s="56">
        <v>21.5</v>
      </c>
      <c r="I6" s="54">
        <v>14570</v>
      </c>
      <c r="J6" s="54">
        <v>189100000</v>
      </c>
      <c r="K6" s="54">
        <v>1411000</v>
      </c>
      <c r="L6" s="54">
        <v>1600000</v>
      </c>
      <c r="M6" s="54">
        <v>113.9</v>
      </c>
      <c r="N6" s="54">
        <v>4604.75</v>
      </c>
      <c r="O6" s="54">
        <v>64560000</v>
      </c>
      <c r="P6" s="54">
        <v>492800</v>
      </c>
      <c r="Q6" s="54">
        <v>752500</v>
      </c>
      <c r="R6" s="56">
        <v>66.599999999999994</v>
      </c>
      <c r="S6" s="54">
        <v>83.62</v>
      </c>
      <c r="T6" s="54">
        <v>2250000</v>
      </c>
      <c r="U6" s="243">
        <v>980702715000.00012</v>
      </c>
      <c r="V6" s="4">
        <v>11757.5</v>
      </c>
      <c r="W6" s="4">
        <v>24</v>
      </c>
      <c r="X6" s="31" t="str">
        <f>IF(C6&lt;=1.2,IF(H6&lt;=100,IF(Calcul!$AG$2=460,"a","b"),IF(Calcul!$AG$2=460,"c","d")),IF(H6&lt;=40,IF(Calcul!$AG$2=460,"a0","a"),IF(Calcul!$AG$2=460,"a","b")))</f>
        <v>b</v>
      </c>
      <c r="Y6" s="31" t="str">
        <f>IF(C6&lt;=1.2,IF(H6&lt;=100,IF(Calcul!$AG$2=460,"a","c"),IF(Calcul!$AG$2=460,"c","d")),IF(H6&lt;=40,IF(Calcul!$AG$2=460,"a0","b"),IF(Calcul!$AG$2=460,"a","c")))</f>
        <v>c</v>
      </c>
      <c r="Z6" s="156">
        <f t="shared" si="0"/>
        <v>799856.18517917092</v>
      </c>
      <c r="AA6" s="31">
        <f t="shared" si="1"/>
        <v>174643.828125</v>
      </c>
    </row>
    <row r="7" spans="1:31" ht="13">
      <c r="A7" s="9">
        <v>5</v>
      </c>
      <c r="B7" s="54" t="s">
        <v>698</v>
      </c>
      <c r="C7">
        <v>1.0490566037735849</v>
      </c>
      <c r="D7" s="55">
        <v>142</v>
      </c>
      <c r="E7" s="54">
        <v>278</v>
      </c>
      <c r="F7" s="54">
        <v>265</v>
      </c>
      <c r="G7" s="56">
        <v>15.5</v>
      </c>
      <c r="H7" s="56">
        <v>26.5</v>
      </c>
      <c r="I7" s="54">
        <v>18030</v>
      </c>
      <c r="J7" s="54">
        <v>243300000</v>
      </c>
      <c r="K7" s="54">
        <v>1750000</v>
      </c>
      <c r="L7" s="54">
        <v>2015000</v>
      </c>
      <c r="M7" s="54">
        <v>116.2</v>
      </c>
      <c r="N7" s="54">
        <v>5667.75</v>
      </c>
      <c r="O7" s="54">
        <v>82360000</v>
      </c>
      <c r="P7" s="54">
        <v>621600</v>
      </c>
      <c r="Q7" s="54">
        <v>950500</v>
      </c>
      <c r="R7" s="56">
        <v>67.599999999999994</v>
      </c>
      <c r="S7" s="54">
        <v>96.62</v>
      </c>
      <c r="T7" s="54">
        <v>4070000</v>
      </c>
      <c r="U7" s="243">
        <v>1302363827500</v>
      </c>
      <c r="V7" s="4">
        <v>14542.5</v>
      </c>
      <c r="W7" s="4">
        <v>24</v>
      </c>
      <c r="X7" s="31" t="str">
        <f>IF(C7&lt;=1.2,IF(H7&lt;=100,IF(Calcul!$AG$2=460,"a","b"),IF(Calcul!$AG$2=460,"c","d")),IF(H7&lt;=40,IF(Calcul!$AG$2=460,"a0","a"),IF(Calcul!$AG$2=460,"a","b")))</f>
        <v>b</v>
      </c>
      <c r="Y7" s="31" t="str">
        <f>IF(C7&lt;=1.2,IF(H7&lt;=100,IF(Calcul!$AG$2=460,"a","c"),IF(Calcul!$AG$2=460,"c","d")),IF(H7&lt;=40,IF(Calcul!$AG$2=460,"a0","b"),IF(Calcul!$AG$2=460,"a","c")))</f>
        <v>c</v>
      </c>
      <c r="Z7" s="156">
        <f t="shared" si="0"/>
        <v>1007652.6851791709</v>
      </c>
      <c r="AA7" s="31">
        <f t="shared" si="1"/>
        <v>219263.484375</v>
      </c>
    </row>
    <row r="8" spans="1:31" ht="13">
      <c r="A8" s="9">
        <v>6</v>
      </c>
      <c r="B8" s="54" t="s">
        <v>699</v>
      </c>
      <c r="C8">
        <v>1.0820895522388059</v>
      </c>
      <c r="D8" s="55">
        <v>172</v>
      </c>
      <c r="E8" s="54">
        <v>290</v>
      </c>
      <c r="F8" s="54">
        <v>268</v>
      </c>
      <c r="G8" s="56">
        <v>18</v>
      </c>
      <c r="H8" s="56">
        <v>32.5</v>
      </c>
      <c r="I8" s="54">
        <v>21960</v>
      </c>
      <c r="J8" s="54">
        <v>313100000</v>
      </c>
      <c r="K8" s="54">
        <v>2159000</v>
      </c>
      <c r="L8" s="54">
        <v>2524000</v>
      </c>
      <c r="M8" s="54">
        <v>119.4</v>
      </c>
      <c r="N8" s="54">
        <v>6685</v>
      </c>
      <c r="O8" s="54">
        <v>104500000</v>
      </c>
      <c r="P8" s="54">
        <v>779700</v>
      </c>
      <c r="Q8" s="54">
        <v>1192000</v>
      </c>
      <c r="R8" s="56">
        <v>69</v>
      </c>
      <c r="S8" s="54">
        <v>111.1</v>
      </c>
      <c r="T8" s="54">
        <v>7200000</v>
      </c>
      <c r="U8" s="243">
        <v>1732250781250</v>
      </c>
      <c r="V8" s="4">
        <v>17910</v>
      </c>
      <c r="W8" s="4">
        <v>24</v>
      </c>
      <c r="X8" s="31" t="str">
        <f>IF(C8&lt;=1.2,IF(H8&lt;=100,IF(Calcul!$AG$2=460,"a","b"),IF(Calcul!$AG$2=460,"c","d")),IF(H8&lt;=40,IF(Calcul!$AG$2=460,"a0","a"),IF(Calcul!$AG$2=460,"a","b")))</f>
        <v>b</v>
      </c>
      <c r="Y8" s="31" t="str">
        <f>IF(C8&lt;=1.2,IF(H8&lt;=100,IF(Calcul!$AG$2=460,"a","c"),IF(Calcul!$AG$2=460,"c","d")),IF(H8&lt;=40,IF(Calcul!$AG$2=460,"a0","b"),IF(Calcul!$AG$2=460,"a","c")))</f>
        <v>c</v>
      </c>
      <c r="Z8" s="156">
        <f t="shared" si="0"/>
        <v>1261806.1226791709</v>
      </c>
      <c r="AA8" s="31">
        <f t="shared" si="1"/>
        <v>274088.75</v>
      </c>
    </row>
    <row r="9" spans="1:31" ht="13">
      <c r="A9" s="9">
        <v>7</v>
      </c>
      <c r="B9" s="54" t="s">
        <v>700</v>
      </c>
      <c r="C9">
        <v>1.1402214022140222</v>
      </c>
      <c r="D9" s="55">
        <v>225</v>
      </c>
      <c r="E9" s="54">
        <v>309</v>
      </c>
      <c r="F9" s="54">
        <v>271</v>
      </c>
      <c r="G9" s="56">
        <v>24</v>
      </c>
      <c r="H9" s="56">
        <v>42</v>
      </c>
      <c r="I9" s="54">
        <v>28660</v>
      </c>
      <c r="J9" s="54">
        <v>437500000</v>
      </c>
      <c r="K9" s="54">
        <v>2832000</v>
      </c>
      <c r="L9" s="54">
        <v>3396000</v>
      </c>
      <c r="M9" s="54">
        <v>123.6</v>
      </c>
      <c r="N9" s="54">
        <v>8920</v>
      </c>
      <c r="O9" s="54">
        <v>139700000</v>
      </c>
      <c r="P9" s="54">
        <v>1031000</v>
      </c>
      <c r="Q9" s="54">
        <v>1583000</v>
      </c>
      <c r="R9" s="56">
        <v>69.8</v>
      </c>
      <c r="S9" s="54">
        <v>136.1</v>
      </c>
      <c r="T9" s="54">
        <v>15300000</v>
      </c>
      <c r="U9" s="243">
        <v>2489768325000</v>
      </c>
      <c r="V9" s="4">
        <v>23260</v>
      </c>
      <c r="W9" s="4">
        <v>24</v>
      </c>
      <c r="X9" s="31" t="str">
        <f>IF(C9&lt;=1.2,IF(H9&lt;=100,IF(Calcul!$AG$2=460,"a","b"),IF(Calcul!$AG$2=460,"c","d")),IF(H9&lt;=40,IF(Calcul!$AG$2=460,"a0","a"),IF(Calcul!$AG$2=460,"a","b")))</f>
        <v>b</v>
      </c>
      <c r="Y9" s="31" t="str">
        <f>IF(C9&lt;=1.2,IF(H9&lt;=100,IF(Calcul!$AG$2=460,"a","c"),IF(Calcul!$AG$2=460,"c","d")),IF(H9&lt;=40,IF(Calcul!$AG$2=460,"a0","b"),IF(Calcul!$AG$2=460,"a","c")))</f>
        <v>c</v>
      </c>
      <c r="Z9" s="156">
        <f t="shared" si="0"/>
        <v>1697859.3726791709</v>
      </c>
      <c r="AA9" s="31">
        <f t="shared" si="1"/>
        <v>358349.25</v>
      </c>
    </row>
    <row r="10" spans="1:31" ht="13">
      <c r="A10" s="9">
        <v>8</v>
      </c>
      <c r="B10" s="54" t="s">
        <v>701</v>
      </c>
      <c r="C10">
        <v>1.2050359712230216</v>
      </c>
      <c r="D10" s="55">
        <v>299</v>
      </c>
      <c r="E10" s="54">
        <v>335</v>
      </c>
      <c r="F10" s="54">
        <v>278</v>
      </c>
      <c r="G10" s="56">
        <v>31</v>
      </c>
      <c r="H10" s="56">
        <v>55</v>
      </c>
      <c r="I10" s="54">
        <v>38050</v>
      </c>
      <c r="J10" s="54">
        <v>642200000</v>
      </c>
      <c r="K10" s="54">
        <v>3834000</v>
      </c>
      <c r="L10" s="54">
        <v>4727000</v>
      </c>
      <c r="M10" s="54">
        <v>129.9</v>
      </c>
      <c r="N10" s="54">
        <v>11815</v>
      </c>
      <c r="O10" s="54">
        <v>197700000</v>
      </c>
      <c r="P10" s="54">
        <v>1423000</v>
      </c>
      <c r="Q10" s="54">
        <v>2190000</v>
      </c>
      <c r="R10" s="56">
        <v>72.099999999999994</v>
      </c>
      <c r="S10" s="54">
        <v>169.1</v>
      </c>
      <c r="T10" s="54">
        <v>33900000</v>
      </c>
      <c r="U10" s="243">
        <v>3874920000000</v>
      </c>
      <c r="V10" s="4">
        <v>31075</v>
      </c>
      <c r="W10" s="4">
        <v>24</v>
      </c>
      <c r="X10" s="31" t="str">
        <f>IF(C10&lt;=1.2,IF(H10&lt;=100,IF(Calcul!$AG$2=460,"a","b"),IF(Calcul!$AG$2=460,"c","d")),IF(H10&lt;=40,IF(Calcul!$AG$2=460,"a0","a"),IF(Calcul!$AG$2=460,"a","b")))</f>
        <v>b</v>
      </c>
      <c r="Y10" s="31" t="str">
        <f>IF(C10&lt;=1.2,IF(H10&lt;=100,IF(Calcul!$AG$2=460,"a","c"),IF(Calcul!$AG$2=460,"c","d")),IF(H10&lt;=40,IF(Calcul!$AG$2=460,"a0","b"),IF(Calcul!$AG$2=460,"a","c")))</f>
        <v>c</v>
      </c>
      <c r="Z10" s="156">
        <f t="shared" si="0"/>
        <v>2363259.2476791712</v>
      </c>
      <c r="AA10" s="31">
        <f t="shared" si="1"/>
        <v>488420.625</v>
      </c>
    </row>
    <row r="11" spans="1:31" ht="13">
      <c r="A11" s="9">
        <v>9</v>
      </c>
      <c r="B11" s="54" t="s">
        <v>702</v>
      </c>
      <c r="C11">
        <v>1.0033333333333334</v>
      </c>
      <c r="D11" s="55">
        <v>74.2</v>
      </c>
      <c r="E11" s="54">
        <v>301</v>
      </c>
      <c r="F11" s="54">
        <v>300</v>
      </c>
      <c r="G11" s="56">
        <v>8</v>
      </c>
      <c r="H11" s="56">
        <v>11</v>
      </c>
      <c r="I11" s="54">
        <v>9460</v>
      </c>
      <c r="J11" s="54">
        <v>164500000</v>
      </c>
      <c r="K11" s="54">
        <v>1093000</v>
      </c>
      <c r="L11" s="54">
        <v>1196000</v>
      </c>
      <c r="M11" s="54">
        <v>131.9</v>
      </c>
      <c r="N11" s="54">
        <v>3542</v>
      </c>
      <c r="O11" s="54">
        <v>49590000</v>
      </c>
      <c r="P11" s="54">
        <v>330600</v>
      </c>
      <c r="Q11" s="54">
        <v>505700</v>
      </c>
      <c r="R11" s="56">
        <v>72.400000000000006</v>
      </c>
      <c r="S11" s="54">
        <v>61.63</v>
      </c>
      <c r="T11" s="54">
        <v>536000</v>
      </c>
      <c r="U11" s="243">
        <v>1042629750000</v>
      </c>
      <c r="V11" s="4">
        <v>7228</v>
      </c>
      <c r="W11" s="4">
        <v>27</v>
      </c>
      <c r="X11" s="31" t="str">
        <f>IF(C11&lt;=1.2,IF(H11&lt;=100,IF(Calcul!$AG$2=460,"a","b"),IF(Calcul!$AG$2=460,"c","d")),IF(H11&lt;=40,IF(Calcul!$AG$2=460,"a0","a"),IF(Calcul!$AG$2=460,"a","b")))</f>
        <v>b</v>
      </c>
      <c r="Y11" s="31" t="str">
        <f>IF(C11&lt;=1.2,IF(H11&lt;=100,IF(Calcul!$AG$2=460,"a","c"),IF(Calcul!$AG$2=460,"c","d")),IF(H11&lt;=40,IF(Calcul!$AG$2=460,"a0","b"),IF(Calcul!$AG$2=460,"a","c")))</f>
        <v>c</v>
      </c>
      <c r="Z11" s="156">
        <f t="shared" si="0"/>
        <v>598102.47379656462</v>
      </c>
      <c r="AA11" s="31">
        <f t="shared" si="1"/>
        <v>118464.5</v>
      </c>
    </row>
    <row r="12" spans="1:31" ht="13">
      <c r="A12" s="9">
        <v>10</v>
      </c>
      <c r="B12" s="54" t="s">
        <v>703</v>
      </c>
      <c r="C12">
        <v>1.0333333333333334</v>
      </c>
      <c r="D12" s="55">
        <v>97.6</v>
      </c>
      <c r="E12" s="54">
        <v>310</v>
      </c>
      <c r="F12" s="54">
        <v>300</v>
      </c>
      <c r="G12" s="56">
        <v>9</v>
      </c>
      <c r="H12" s="56">
        <v>15.5</v>
      </c>
      <c r="I12" s="54">
        <v>12440</v>
      </c>
      <c r="J12" s="54">
        <v>229300000</v>
      </c>
      <c r="K12" s="54">
        <v>1479000</v>
      </c>
      <c r="L12" s="54">
        <v>1628000</v>
      </c>
      <c r="M12" s="54">
        <v>135.80000000000001</v>
      </c>
      <c r="N12" s="54">
        <v>4116.5</v>
      </c>
      <c r="O12" s="54">
        <v>69850000</v>
      </c>
      <c r="P12" s="54">
        <v>465700</v>
      </c>
      <c r="Q12" s="54">
        <v>709700</v>
      </c>
      <c r="R12" s="56">
        <v>74.900000000000006</v>
      </c>
      <c r="S12" s="54">
        <v>71.63</v>
      </c>
      <c r="T12" s="54">
        <v>1120000</v>
      </c>
      <c r="U12" s="243">
        <v>1514526990625</v>
      </c>
      <c r="V12" s="4">
        <v>9929</v>
      </c>
      <c r="W12" s="4">
        <v>27</v>
      </c>
      <c r="X12" s="31" t="str">
        <f>IF(C12&lt;=1.2,IF(H12&lt;=100,IF(Calcul!$AG$2=460,"a","b"),IF(Calcul!$AG$2=460,"c","d")),IF(H12&lt;=40,IF(Calcul!$AG$2=460,"a0","a"),IF(Calcul!$AG$2=460,"a","b")))</f>
        <v>b</v>
      </c>
      <c r="Y12" s="31" t="str">
        <f>IF(C12&lt;=1.2,IF(H12&lt;=100,IF(Calcul!$AG$2=460,"a","c"),IF(Calcul!$AG$2=460,"c","d")),IF(H12&lt;=40,IF(Calcul!$AG$2=460,"a0","b"),IF(Calcul!$AG$2=460,"a","c")))</f>
        <v>c</v>
      </c>
      <c r="Z12" s="156">
        <f t="shared" si="0"/>
        <v>814045.09879656462</v>
      </c>
      <c r="AA12" s="31">
        <f t="shared" si="1"/>
        <v>166685.0625</v>
      </c>
    </row>
    <row r="13" spans="1:31" ht="13">
      <c r="A13" s="9">
        <v>11</v>
      </c>
      <c r="B13" s="54" t="s">
        <v>704</v>
      </c>
      <c r="C13">
        <v>1.0666666666666667</v>
      </c>
      <c r="D13" s="55">
        <v>127</v>
      </c>
      <c r="E13" s="54">
        <v>320</v>
      </c>
      <c r="F13" s="54">
        <v>300</v>
      </c>
      <c r="G13" s="56">
        <v>11.5</v>
      </c>
      <c r="H13" s="56">
        <v>20.5</v>
      </c>
      <c r="I13" s="54">
        <v>16130</v>
      </c>
      <c r="J13" s="54">
        <v>308200000</v>
      </c>
      <c r="K13" s="54">
        <v>1926000</v>
      </c>
      <c r="L13" s="54">
        <v>2149000</v>
      </c>
      <c r="M13" s="54">
        <v>138.19999999999999</v>
      </c>
      <c r="N13" s="54">
        <v>5172.75</v>
      </c>
      <c r="O13" s="54">
        <v>92390000</v>
      </c>
      <c r="P13" s="54">
        <v>615900</v>
      </c>
      <c r="Q13" s="54">
        <v>939100</v>
      </c>
      <c r="R13" s="56">
        <v>75.7</v>
      </c>
      <c r="S13" s="54">
        <v>84.13</v>
      </c>
      <c r="T13" s="54">
        <v>2300000</v>
      </c>
      <c r="U13" s="243">
        <v>2071851524375</v>
      </c>
      <c r="V13" s="4">
        <v>12921.5</v>
      </c>
      <c r="W13" s="4">
        <v>27</v>
      </c>
      <c r="X13" s="31" t="str">
        <f>IF(C13&lt;=1.2,IF(H13&lt;=100,IF(Calcul!$AG$2=460,"a","b"),IF(Calcul!$AG$2=460,"c","d")),IF(H13&lt;=40,IF(Calcul!$AG$2=460,"a0","a"),IF(Calcul!$AG$2=460,"a","b")))</f>
        <v>b</v>
      </c>
      <c r="Y13" s="31" t="str">
        <f>IF(C13&lt;=1.2,IF(H13&lt;=100,IF(Calcul!$AG$2=460,"a","c"),IF(Calcul!$AG$2=460,"c","d")),IF(H13&lt;=40,IF(Calcul!$AG$2=460,"a0","b"),IF(Calcul!$AG$2=460,"a","c")))</f>
        <v>c</v>
      </c>
      <c r="Z13" s="156">
        <f t="shared" si="0"/>
        <v>1074620.4112965646</v>
      </c>
      <c r="AA13" s="31">
        <f t="shared" si="1"/>
        <v>219631.234375</v>
      </c>
    </row>
    <row r="14" spans="1:31" ht="13">
      <c r="A14" s="9">
        <v>12</v>
      </c>
      <c r="B14" s="54" t="s">
        <v>705</v>
      </c>
      <c r="C14">
        <v>1.0891089108910892</v>
      </c>
      <c r="D14" s="55">
        <v>158</v>
      </c>
      <c r="E14" s="54">
        <v>330</v>
      </c>
      <c r="F14" s="54">
        <v>303</v>
      </c>
      <c r="G14" s="56">
        <v>14.5</v>
      </c>
      <c r="H14" s="56">
        <v>25.5</v>
      </c>
      <c r="I14" s="54">
        <v>20120</v>
      </c>
      <c r="J14" s="54">
        <v>396400000</v>
      </c>
      <c r="K14" s="54">
        <v>2403000</v>
      </c>
      <c r="L14" s="54">
        <v>2718000</v>
      </c>
      <c r="M14" s="54">
        <v>140.4</v>
      </c>
      <c r="N14" s="54">
        <v>6413.75</v>
      </c>
      <c r="O14" s="54">
        <v>118400000</v>
      </c>
      <c r="P14" s="54">
        <v>781700</v>
      </c>
      <c r="Q14" s="54">
        <v>1194000</v>
      </c>
      <c r="R14" s="56">
        <v>76.7</v>
      </c>
      <c r="S14" s="54">
        <v>97.13</v>
      </c>
      <c r="T14" s="54">
        <v>4250000</v>
      </c>
      <c r="U14" s="243">
        <v>2744519400000</v>
      </c>
      <c r="V14" s="4">
        <v>16074.5</v>
      </c>
      <c r="W14" s="4">
        <v>27</v>
      </c>
      <c r="X14" s="31" t="str">
        <f>IF(C14&lt;=1.2,IF(H14&lt;=100,IF(Calcul!$AG$2=460,"a","b"),IF(Calcul!$AG$2=460,"c","d")),IF(H14&lt;=40,IF(Calcul!$AG$2=460,"a0","a"),IF(Calcul!$AG$2=460,"a","b")))</f>
        <v>b</v>
      </c>
      <c r="Y14" s="31" t="str">
        <f>IF(C14&lt;=1.2,IF(H14&lt;=100,IF(Calcul!$AG$2=460,"a","c"),IF(Calcul!$AG$2=460,"c","d")),IF(H14&lt;=40,IF(Calcul!$AG$2=460,"a0","b"),IF(Calcul!$AG$2=460,"a","c")))</f>
        <v>c</v>
      </c>
      <c r="Z14" s="156">
        <f t="shared" si="0"/>
        <v>1359207.9112965646</v>
      </c>
      <c r="AA14" s="31">
        <f t="shared" si="1"/>
        <v>277684.640625</v>
      </c>
    </row>
    <row r="15" spans="1:31" ht="13">
      <c r="A15" s="9">
        <v>13</v>
      </c>
      <c r="B15" s="54" t="s">
        <v>706</v>
      </c>
      <c r="C15">
        <v>1.1209150326797386</v>
      </c>
      <c r="D15" s="55">
        <v>198</v>
      </c>
      <c r="E15" s="54">
        <v>343</v>
      </c>
      <c r="F15" s="54">
        <v>306</v>
      </c>
      <c r="G15" s="56">
        <v>18</v>
      </c>
      <c r="H15" s="56">
        <v>32</v>
      </c>
      <c r="I15" s="54">
        <v>25230</v>
      </c>
      <c r="J15" s="54">
        <v>519000000</v>
      </c>
      <c r="K15" s="54">
        <v>3026000</v>
      </c>
      <c r="L15" s="54">
        <v>3479000</v>
      </c>
      <c r="M15" s="54">
        <v>143.4</v>
      </c>
      <c r="N15" s="54">
        <v>7950</v>
      </c>
      <c r="O15" s="54">
        <v>153100000</v>
      </c>
      <c r="P15" s="54">
        <v>1001000</v>
      </c>
      <c r="Q15" s="54">
        <v>1530000</v>
      </c>
      <c r="R15" s="56">
        <v>77.900000000000006</v>
      </c>
      <c r="S15" s="54">
        <v>113.6</v>
      </c>
      <c r="T15" s="54">
        <v>8090000</v>
      </c>
      <c r="U15" s="243">
        <v>3701996275000</v>
      </c>
      <c r="V15" s="4">
        <v>20208</v>
      </c>
      <c r="W15" s="4">
        <v>27</v>
      </c>
      <c r="X15" s="31" t="str">
        <f>IF(C15&lt;=1.2,IF(H15&lt;=100,IF(Calcul!$AG$2=460,"a","b"),IF(Calcul!$AG$2=460,"c","d")),IF(H15&lt;=40,IF(Calcul!$AG$2=460,"a0","a"),IF(Calcul!$AG$2=460,"a","b")))</f>
        <v>b</v>
      </c>
      <c r="Y15" s="31" t="str">
        <f>IF(C15&lt;=1.2,IF(H15&lt;=100,IF(Calcul!$AG$2=460,"a","c"),IF(Calcul!$AG$2=460,"c","d")),IF(H15&lt;=40,IF(Calcul!$AG$2=460,"a0","b"),IF(Calcul!$AG$2=460,"a","c")))</f>
        <v>c</v>
      </c>
      <c r="Z15" s="156">
        <f t="shared" si="0"/>
        <v>1739559.7237965646</v>
      </c>
      <c r="AA15" s="31">
        <f t="shared" si="1"/>
        <v>353808</v>
      </c>
    </row>
    <row r="16" spans="1:31" ht="13">
      <c r="A16" s="9">
        <v>14</v>
      </c>
      <c r="B16" s="54" t="s">
        <v>707</v>
      </c>
      <c r="C16">
        <v>1.1618122977346279</v>
      </c>
      <c r="D16" s="55">
        <v>245</v>
      </c>
      <c r="E16" s="54">
        <v>359</v>
      </c>
      <c r="F16" s="54">
        <v>309</v>
      </c>
      <c r="G16" s="56">
        <v>21</v>
      </c>
      <c r="H16" s="56">
        <v>40</v>
      </c>
      <c r="I16" s="54">
        <v>31200</v>
      </c>
      <c r="J16" s="54">
        <v>681300000</v>
      </c>
      <c r="K16" s="54">
        <v>3796000</v>
      </c>
      <c r="L16" s="54">
        <v>4435000</v>
      </c>
      <c r="M16" s="54">
        <v>147.80000000000001</v>
      </c>
      <c r="N16" s="54">
        <v>9480</v>
      </c>
      <c r="O16" s="54">
        <v>197100000</v>
      </c>
      <c r="P16" s="54">
        <v>1276000</v>
      </c>
      <c r="Q16" s="54">
        <v>1951000</v>
      </c>
      <c r="R16" s="56">
        <v>79.5</v>
      </c>
      <c r="S16" s="54">
        <v>132.6</v>
      </c>
      <c r="T16" s="54">
        <v>15100000</v>
      </c>
      <c r="U16" s="243">
        <v>5014273275000</v>
      </c>
      <c r="V16" s="4">
        <v>25341</v>
      </c>
      <c r="W16" s="4">
        <v>27</v>
      </c>
      <c r="X16" s="31" t="str">
        <f>IF(C16&lt;=1.2,IF(H16&lt;=100,IF(Calcul!$AG$2=460,"a","b"),IF(Calcul!$AG$2=460,"c","d")),IF(H16&lt;=40,IF(Calcul!$AG$2=460,"a0","a"),IF(Calcul!$AG$2=460,"a","b")))</f>
        <v>b</v>
      </c>
      <c r="Y16" s="31" t="str">
        <f>IF(C16&lt;=1.2,IF(H16&lt;=100,IF(Calcul!$AG$2=460,"a","c"),IF(Calcul!$AG$2=460,"c","d")),IF(H16&lt;=40,IF(Calcul!$AG$2=460,"a0","b"),IF(Calcul!$AG$2=460,"a","c")))</f>
        <v>c</v>
      </c>
      <c r="Z16" s="156">
        <f t="shared" si="0"/>
        <v>2217514.0987965646</v>
      </c>
      <c r="AA16" s="31">
        <f t="shared" si="1"/>
        <v>449280</v>
      </c>
    </row>
    <row r="17" spans="1:27" ht="13">
      <c r="A17" s="9">
        <v>15</v>
      </c>
      <c r="B17" s="54" t="s">
        <v>708</v>
      </c>
      <c r="C17">
        <v>1.1980830670926517</v>
      </c>
      <c r="D17" s="55">
        <v>300</v>
      </c>
      <c r="E17" s="54">
        <v>375</v>
      </c>
      <c r="F17" s="54">
        <v>313</v>
      </c>
      <c r="G17" s="56">
        <v>27</v>
      </c>
      <c r="H17" s="56">
        <v>48</v>
      </c>
      <c r="I17" s="54">
        <v>38210</v>
      </c>
      <c r="J17" s="54">
        <v>869000000</v>
      </c>
      <c r="K17" s="54">
        <v>4635000</v>
      </c>
      <c r="L17" s="54">
        <v>5522000</v>
      </c>
      <c r="M17" s="54">
        <v>150.80000000000001</v>
      </c>
      <c r="N17" s="54">
        <v>12050</v>
      </c>
      <c r="O17" s="54">
        <v>246000000</v>
      </c>
      <c r="P17" s="54">
        <v>1572000</v>
      </c>
      <c r="Q17" s="54">
        <v>2414000</v>
      </c>
      <c r="R17" s="56">
        <v>80.2</v>
      </c>
      <c r="S17" s="54">
        <v>154.6</v>
      </c>
      <c r="T17" s="54">
        <v>26300000</v>
      </c>
      <c r="U17" s="243">
        <v>6576133500000</v>
      </c>
      <c r="V17" s="4">
        <v>30677</v>
      </c>
      <c r="W17" s="4">
        <v>27</v>
      </c>
      <c r="X17" s="31" t="str">
        <f>IF(C17&lt;=1.2,IF(H17&lt;=100,IF(Calcul!$AG$2=460,"a","b"),IF(Calcul!$AG$2=460,"c","d")),IF(H17&lt;=40,IF(Calcul!$AG$2=460,"a0","a"),IF(Calcul!$AG$2=460,"a","b")))</f>
        <v>b</v>
      </c>
      <c r="Y17" s="31" t="str">
        <f>IF(C17&lt;=1.2,IF(H17&lt;=100,IF(Calcul!$AG$2=460,"a","c"),IF(Calcul!$AG$2=460,"c","d")),IF(H17&lt;=40,IF(Calcul!$AG$2=460,"a0","b"),IF(Calcul!$AG$2=460,"a","c")))</f>
        <v>c</v>
      </c>
      <c r="Z17" s="156">
        <f t="shared" si="0"/>
        <v>2760898.8487965646</v>
      </c>
      <c r="AA17" s="31">
        <f t="shared" si="1"/>
        <v>548448</v>
      </c>
    </row>
    <row r="18" spans="1:27" ht="13">
      <c r="A18" s="9">
        <v>16</v>
      </c>
      <c r="B18" s="54" t="s">
        <v>709</v>
      </c>
      <c r="C18">
        <v>0.964769647696477</v>
      </c>
      <c r="D18" s="55">
        <v>134</v>
      </c>
      <c r="E18" s="54">
        <v>356</v>
      </c>
      <c r="F18" s="54">
        <v>369</v>
      </c>
      <c r="G18" s="56">
        <v>11.2</v>
      </c>
      <c r="H18" s="56">
        <v>18</v>
      </c>
      <c r="I18" s="54">
        <v>17060</v>
      </c>
      <c r="J18" s="54">
        <v>415100000</v>
      </c>
      <c r="K18" s="54">
        <v>2332000</v>
      </c>
      <c r="L18" s="54">
        <v>2562000</v>
      </c>
      <c r="M18" s="54">
        <v>156</v>
      </c>
      <c r="N18" s="54">
        <v>4517.6000000000004</v>
      </c>
      <c r="O18" s="54">
        <v>150800000</v>
      </c>
      <c r="P18" s="54">
        <v>817300</v>
      </c>
      <c r="Q18" s="54">
        <v>1237000</v>
      </c>
      <c r="R18" s="56">
        <v>94</v>
      </c>
      <c r="S18" s="54">
        <v>64.77</v>
      </c>
      <c r="T18" s="54">
        <v>1680000</v>
      </c>
      <c r="U18" s="243">
        <v>4306998800000</v>
      </c>
      <c r="V18" s="4">
        <v>13476</v>
      </c>
      <c r="W18" s="4">
        <v>15</v>
      </c>
      <c r="X18" s="31" t="str">
        <f>IF(C18&lt;=1.2,IF(H18&lt;=100,IF(Calcul!$AG$2=460,"a","b"),IF(Calcul!$AG$2=460,"c","d")),IF(H18&lt;=40,IF(Calcul!$AG$2=460,"a0","a"),IF(Calcul!$AG$2=460,"a","b")))</f>
        <v>b</v>
      </c>
      <c r="Y18" s="31" t="str">
        <f>IF(C18&lt;=1.2,IF(H18&lt;=100,IF(Calcul!$AG$2=460,"a","c"),IF(Calcul!$AG$2=460,"c","d")),IF(H18&lt;=40,IF(Calcul!$AG$2=460,"a0","b"),IF(Calcul!$AG$2=460,"a","c")))</f>
        <v>c</v>
      </c>
      <c r="Z18" s="156">
        <f t="shared" si="0"/>
        <v>1280985.8397196317</v>
      </c>
      <c r="AA18" s="31">
        <f t="shared" si="1"/>
        <v>302543.01</v>
      </c>
    </row>
    <row r="19" spans="1:27" ht="13">
      <c r="A19" s="9">
        <v>17</v>
      </c>
      <c r="B19" s="54" t="s">
        <v>710</v>
      </c>
      <c r="C19">
        <v>0.97297297297297303</v>
      </c>
      <c r="D19" s="55">
        <v>147</v>
      </c>
      <c r="E19" s="54">
        <v>360</v>
      </c>
      <c r="F19" s="54">
        <v>370</v>
      </c>
      <c r="G19" s="56">
        <v>12.3</v>
      </c>
      <c r="H19" s="56">
        <v>19.8</v>
      </c>
      <c r="I19" s="54">
        <v>18790</v>
      </c>
      <c r="J19" s="54">
        <v>462900000</v>
      </c>
      <c r="K19" s="54">
        <v>2572000</v>
      </c>
      <c r="L19" s="54">
        <v>2838000</v>
      </c>
      <c r="M19" s="54">
        <v>157</v>
      </c>
      <c r="N19" s="54">
        <v>4975.54</v>
      </c>
      <c r="O19" s="54">
        <v>167200000</v>
      </c>
      <c r="P19" s="54">
        <v>903900</v>
      </c>
      <c r="Q19" s="54">
        <v>1369000</v>
      </c>
      <c r="R19" s="56">
        <v>94.3</v>
      </c>
      <c r="S19" s="54">
        <v>69.47</v>
      </c>
      <c r="T19" s="54">
        <v>2230000</v>
      </c>
      <c r="U19" s="243">
        <v>4837766472000</v>
      </c>
      <c r="V19" s="4">
        <v>14849.08</v>
      </c>
      <c r="W19" s="4">
        <v>15</v>
      </c>
      <c r="X19" s="31" t="str">
        <f>IF(C19&lt;=1.2,IF(H19&lt;=100,IF(Calcul!$AG$2=460,"a","b"),IF(Calcul!$AG$2=460,"c","d")),IF(H19&lt;=40,IF(Calcul!$AG$2=460,"a0","a"),IF(Calcul!$AG$2=460,"a","b")))</f>
        <v>b</v>
      </c>
      <c r="Y19" s="31" t="str">
        <f>IF(C19&lt;=1.2,IF(H19&lt;=100,IF(Calcul!$AG$2=460,"a","c"),IF(Calcul!$AG$2=460,"c","d")),IF(H19&lt;=40,IF(Calcul!$AG$2=460,"a0","b"),IF(Calcul!$AG$2=460,"a","c")))</f>
        <v>c</v>
      </c>
      <c r="Z19" s="156">
        <f t="shared" si="0"/>
        <v>1419133.5998849259</v>
      </c>
      <c r="AA19" s="31">
        <f t="shared" si="1"/>
        <v>334399.00725000002</v>
      </c>
    </row>
    <row r="20" spans="1:27" ht="13">
      <c r="A20" s="9">
        <v>18</v>
      </c>
      <c r="B20" s="54" t="s">
        <v>711</v>
      </c>
      <c r="C20">
        <v>0.98113207547169812</v>
      </c>
      <c r="D20" s="55">
        <v>162</v>
      </c>
      <c r="E20" s="54">
        <v>364</v>
      </c>
      <c r="F20" s="54">
        <v>371</v>
      </c>
      <c r="G20" s="56">
        <v>13.3</v>
      </c>
      <c r="H20" s="56">
        <v>21.8</v>
      </c>
      <c r="I20" s="54">
        <v>20630</v>
      </c>
      <c r="J20" s="54">
        <v>515400000</v>
      </c>
      <c r="K20" s="54">
        <v>2832000</v>
      </c>
      <c r="L20" s="54">
        <v>3139000</v>
      </c>
      <c r="M20" s="54">
        <v>158.1</v>
      </c>
      <c r="N20" s="54">
        <v>5398.3399999999992</v>
      </c>
      <c r="O20" s="54">
        <v>185600000</v>
      </c>
      <c r="P20" s="54">
        <v>1001000</v>
      </c>
      <c r="Q20" s="54">
        <v>1516000</v>
      </c>
      <c r="R20" s="56">
        <v>94.9</v>
      </c>
      <c r="S20" s="54">
        <v>74.47</v>
      </c>
      <c r="T20" s="54">
        <v>2940000</v>
      </c>
      <c r="U20" s="243">
        <v>5433478976000</v>
      </c>
      <c r="V20" s="4">
        <v>16368.68</v>
      </c>
      <c r="W20" s="4">
        <v>15</v>
      </c>
      <c r="X20" s="31" t="str">
        <f>IF(C20&lt;=1.2,IF(H20&lt;=100,IF(Calcul!$AG$2=460,"a","b"),IF(Calcul!$AG$2=460,"c","d")),IF(H20&lt;=40,IF(Calcul!$AG$2=460,"a0","a"),IF(Calcul!$AG$2=460,"a","b")))</f>
        <v>b</v>
      </c>
      <c r="Y20" s="31" t="str">
        <f>IF(C20&lt;=1.2,IF(H20&lt;=100,IF(Calcul!$AG$2=460,"a","c"),IF(Calcul!$AG$2=460,"c","d")),IF(H20&lt;=40,IF(Calcul!$AG$2=460,"a0","b"),IF(Calcul!$AG$2=460,"a","c")))</f>
        <v>c</v>
      </c>
      <c r="Z20" s="156">
        <f t="shared" si="0"/>
        <v>1569635.5998849261</v>
      </c>
      <c r="AA20" s="31">
        <f t="shared" si="1"/>
        <v>369962.64974999998</v>
      </c>
    </row>
    <row r="21" spans="1:27" ht="13">
      <c r="A21" s="9">
        <v>19</v>
      </c>
      <c r="B21" s="54" t="s">
        <v>712</v>
      </c>
      <c r="C21">
        <v>0.98659517426273458</v>
      </c>
      <c r="D21" s="55">
        <v>179</v>
      </c>
      <c r="E21" s="54">
        <v>368</v>
      </c>
      <c r="F21" s="54">
        <v>373</v>
      </c>
      <c r="G21" s="56">
        <v>15</v>
      </c>
      <c r="H21" s="56">
        <v>23.9</v>
      </c>
      <c r="I21" s="54">
        <v>22830</v>
      </c>
      <c r="J21" s="54">
        <v>574400000</v>
      </c>
      <c r="K21" s="54">
        <v>3122000</v>
      </c>
      <c r="L21" s="54">
        <v>3482000</v>
      </c>
      <c r="M21" s="54">
        <v>158.6</v>
      </c>
      <c r="N21" s="54">
        <v>6076.1000000000022</v>
      </c>
      <c r="O21" s="54">
        <v>206800000</v>
      </c>
      <c r="P21" s="54">
        <v>1109000</v>
      </c>
      <c r="Q21" s="54">
        <v>1683000</v>
      </c>
      <c r="R21" s="56">
        <v>95.2</v>
      </c>
      <c r="S21" s="54">
        <v>80.37</v>
      </c>
      <c r="T21" s="54">
        <v>3910000</v>
      </c>
      <c r="U21" s="243">
        <v>6121528677000.001</v>
      </c>
      <c r="V21" s="4">
        <v>18027</v>
      </c>
      <c r="W21" s="4">
        <v>15</v>
      </c>
      <c r="X21" s="31" t="str">
        <f>IF(C21&lt;=1.2,IF(H21&lt;=100,IF(Calcul!$AG$2=460,"a","b"),IF(Calcul!$AG$2=460,"c","d")),IF(H21&lt;=40,IF(Calcul!$AG$2=460,"a0","a"),IF(Calcul!$AG$2=460,"a","b")))</f>
        <v>b</v>
      </c>
      <c r="Y21" s="31" t="str">
        <f>IF(C21&lt;=1.2,IF(H21&lt;=100,IF(Calcul!$AG$2=460,"a","c"),IF(Calcul!$AG$2=460,"c","d")),IF(H21&lt;=40,IF(Calcul!$AG$2=460,"a0","b"),IF(Calcul!$AG$2=460,"a","c")))</f>
        <v>c</v>
      </c>
      <c r="Z21" s="156">
        <f t="shared" si="0"/>
        <v>1741151.706802279</v>
      </c>
      <c r="AA21" s="31">
        <f t="shared" si="1"/>
        <v>409598.19999999995</v>
      </c>
    </row>
    <row r="22" spans="1:27" ht="13">
      <c r="A22" s="9">
        <v>20</v>
      </c>
      <c r="B22" s="54" t="s">
        <v>713</v>
      </c>
      <c r="C22">
        <v>0.99465240641711228</v>
      </c>
      <c r="D22" s="55">
        <v>196</v>
      </c>
      <c r="E22" s="54">
        <v>372</v>
      </c>
      <c r="F22" s="54">
        <v>374</v>
      </c>
      <c r="G22" s="56">
        <v>16.399999999999999</v>
      </c>
      <c r="H22" s="56">
        <v>26.2</v>
      </c>
      <c r="I22" s="54">
        <v>25030</v>
      </c>
      <c r="J22" s="54">
        <v>636300000</v>
      </c>
      <c r="K22" s="54">
        <v>3421000</v>
      </c>
      <c r="L22" s="54">
        <v>3837000</v>
      </c>
      <c r="M22" s="54">
        <v>159.4</v>
      </c>
      <c r="N22" s="54">
        <v>6648.0800000000017</v>
      </c>
      <c r="O22" s="54">
        <v>228600000</v>
      </c>
      <c r="P22" s="54">
        <v>1222000</v>
      </c>
      <c r="Q22" s="54">
        <v>1856000</v>
      </c>
      <c r="R22" s="56">
        <v>95.6</v>
      </c>
      <c r="S22" s="54">
        <v>86.37</v>
      </c>
      <c r="T22" s="54">
        <v>5130000</v>
      </c>
      <c r="U22" s="243">
        <v>6833862126000.001</v>
      </c>
      <c r="V22" s="4">
        <v>19788.560000000001</v>
      </c>
      <c r="W22" s="4">
        <v>15</v>
      </c>
      <c r="X22" s="31" t="str">
        <f>IF(C22&lt;=1.2,IF(H22&lt;=100,IF(Calcul!$AG$2=460,"a","b"),IF(Calcul!$AG$2=460,"c","d")),IF(H22&lt;=40,IF(Calcul!$AG$2=460,"a0","a"),IF(Calcul!$AG$2=460,"a","b")))</f>
        <v>b</v>
      </c>
      <c r="Y22" s="31" t="str">
        <f>IF(C22&lt;=1.2,IF(H22&lt;=100,IF(Calcul!$AG$2=460,"a","c"),IF(Calcul!$AG$2=460,"c","d")),IF(H22&lt;=40,IF(Calcul!$AG$2=460,"a0","b"),IF(Calcul!$AG$2=460,"a","c")))</f>
        <v>c</v>
      </c>
      <c r="Z22" s="156">
        <f t="shared" si="0"/>
        <v>1918716.5735543377</v>
      </c>
      <c r="AA22" s="31">
        <f t="shared" si="1"/>
        <v>451042.95600000006</v>
      </c>
    </row>
    <row r="23" spans="1:27" ht="13">
      <c r="A23" s="9">
        <v>21</v>
      </c>
      <c r="B23" s="54" t="s">
        <v>714</v>
      </c>
      <c r="C23">
        <v>0.94117647058823528</v>
      </c>
      <c r="D23" s="55">
        <v>187</v>
      </c>
      <c r="E23" s="54">
        <v>368</v>
      </c>
      <c r="F23" s="54">
        <v>391</v>
      </c>
      <c r="G23" s="56">
        <v>15</v>
      </c>
      <c r="H23" s="56">
        <v>24</v>
      </c>
      <c r="I23" s="54">
        <v>23760</v>
      </c>
      <c r="J23" s="54">
        <v>601800000</v>
      </c>
      <c r="K23" s="54">
        <v>3271000</v>
      </c>
      <c r="L23" s="54">
        <v>3642000</v>
      </c>
      <c r="M23" s="54">
        <v>159.1</v>
      </c>
      <c r="N23" s="54">
        <v>6072</v>
      </c>
      <c r="O23" s="54">
        <v>239200000</v>
      </c>
      <c r="P23" s="54">
        <v>1224000</v>
      </c>
      <c r="Q23" s="54">
        <v>1855000</v>
      </c>
      <c r="R23" s="56">
        <v>100.3</v>
      </c>
      <c r="S23" s="54">
        <v>80.569999999999993</v>
      </c>
      <c r="T23" s="54">
        <v>4120000</v>
      </c>
      <c r="U23" s="243">
        <v>7076492800000</v>
      </c>
      <c r="V23" s="4">
        <v>18960</v>
      </c>
      <c r="W23" s="4">
        <v>15</v>
      </c>
      <c r="X23" s="31" t="str">
        <f>IF(C23&lt;=1.2,IF(H23&lt;=100,IF(Calcul!$AG$2=460,"a","b"),IF(Calcul!$AG$2=460,"c","d")),IF(H23&lt;=40,IF(Calcul!$AG$2=460,"a0","a"),IF(Calcul!$AG$2=460,"a","b")))</f>
        <v>b</v>
      </c>
      <c r="Y23" s="31" t="str">
        <f>IF(C23&lt;=1.2,IF(H23&lt;=100,IF(Calcul!$AG$2=460,"a","c"),IF(Calcul!$AG$2=460,"c","d")),IF(H23&lt;=40,IF(Calcul!$AG$2=460,"a0","b"),IF(Calcul!$AG$2=460,"a","c")))</f>
        <v>c</v>
      </c>
      <c r="Z23" s="156">
        <f t="shared" si="0"/>
        <v>1821175.8397196317</v>
      </c>
      <c r="AA23" s="31">
        <f t="shared" si="1"/>
        <v>452568</v>
      </c>
    </row>
    <row r="24" spans="1:27" ht="13">
      <c r="A24" s="9">
        <v>22</v>
      </c>
      <c r="B24" s="54" t="s">
        <v>715</v>
      </c>
      <c r="C24">
        <v>0.95177664974619292</v>
      </c>
      <c r="D24" s="55">
        <v>216</v>
      </c>
      <c r="E24" s="54">
        <v>375</v>
      </c>
      <c r="F24" s="54">
        <v>394</v>
      </c>
      <c r="G24" s="56">
        <v>17.3</v>
      </c>
      <c r="H24" s="56">
        <v>27.7</v>
      </c>
      <c r="I24" s="54">
        <v>27550</v>
      </c>
      <c r="J24" s="54">
        <v>711400000</v>
      </c>
      <c r="K24" s="54">
        <v>3794000</v>
      </c>
      <c r="L24" s="54">
        <v>4262000</v>
      </c>
      <c r="M24" s="54">
        <v>160.69999999999999</v>
      </c>
      <c r="N24" s="54">
        <v>7032.6100000000015</v>
      </c>
      <c r="O24" s="54">
        <v>282500000</v>
      </c>
      <c r="P24" s="54">
        <v>1434000</v>
      </c>
      <c r="Q24" s="54">
        <v>2176000</v>
      </c>
      <c r="R24" s="56">
        <v>101.3</v>
      </c>
      <c r="S24" s="54">
        <v>90.27</v>
      </c>
      <c r="T24" s="54">
        <v>6323000</v>
      </c>
      <c r="U24" s="243">
        <v>8518596106250.001</v>
      </c>
      <c r="V24" s="4">
        <v>22020.92</v>
      </c>
      <c r="W24" s="4">
        <v>15</v>
      </c>
      <c r="X24" s="31" t="str">
        <f>IF(C24&lt;=1.2,IF(H24&lt;=100,IF(Calcul!$AG$2=460,"a","b"),IF(Calcul!$AG$2=460,"c","d")),IF(H24&lt;=40,IF(Calcul!$AG$2=460,"a0","a"),IF(Calcul!$AG$2=460,"a","b")))</f>
        <v>b</v>
      </c>
      <c r="Y24" s="31" t="str">
        <f>IF(C24&lt;=1.2,IF(H24&lt;=100,IF(Calcul!$AG$2=460,"a","c"),IF(Calcul!$AG$2=460,"c","d")),IF(H24&lt;=40,IF(Calcul!$AG$2=460,"a0","b"),IF(Calcul!$AG$2=460,"a","c")))</f>
        <v>c</v>
      </c>
      <c r="Z24" s="156">
        <f t="shared" si="0"/>
        <v>2131176.6415543375</v>
      </c>
      <c r="AA24" s="31">
        <f t="shared" si="1"/>
        <v>529758.033375</v>
      </c>
    </row>
    <row r="25" spans="1:27" ht="13">
      <c r="A25" s="9">
        <v>23</v>
      </c>
      <c r="B25" s="54" t="s">
        <v>716</v>
      </c>
      <c r="C25">
        <v>0.96202531645569622</v>
      </c>
      <c r="D25" s="55">
        <v>237</v>
      </c>
      <c r="E25" s="54">
        <v>380</v>
      </c>
      <c r="F25" s="54">
        <v>395</v>
      </c>
      <c r="G25" s="56">
        <v>18.899999999999999</v>
      </c>
      <c r="H25" s="56">
        <v>30.2</v>
      </c>
      <c r="I25" s="54">
        <v>30090</v>
      </c>
      <c r="J25" s="54">
        <v>787800000</v>
      </c>
      <c r="K25" s="54">
        <v>4146000</v>
      </c>
      <c r="L25" s="54">
        <v>4686000</v>
      </c>
      <c r="M25" s="54">
        <v>161.80000000000001</v>
      </c>
      <c r="N25" s="54">
        <v>7708.78</v>
      </c>
      <c r="O25" s="54">
        <v>310400000</v>
      </c>
      <c r="P25" s="54">
        <v>1572000</v>
      </c>
      <c r="Q25" s="54">
        <v>2387000</v>
      </c>
      <c r="R25" s="56">
        <v>101.6</v>
      </c>
      <c r="S25" s="54">
        <v>96.87</v>
      </c>
      <c r="T25" s="54">
        <v>8183000</v>
      </c>
      <c r="U25" s="243">
        <v>9495139104000</v>
      </c>
      <c r="V25" s="4">
        <v>24049.56</v>
      </c>
      <c r="W25" s="4">
        <v>15</v>
      </c>
      <c r="X25" s="31" t="str">
        <f>IF(C25&lt;=1.2,IF(H25&lt;=100,IF(Calcul!$AG$2=460,"a","b"),IF(Calcul!$AG$2=460,"c","d")),IF(H25&lt;=40,IF(Calcul!$AG$2=460,"a0","a"),IF(Calcul!$AG$2=460,"a","b")))</f>
        <v>b</v>
      </c>
      <c r="Y25" s="31" t="str">
        <f>IF(C25&lt;=1.2,IF(H25&lt;=100,IF(Calcul!$AG$2=460,"a","c"),IF(Calcul!$AG$2=460,"c","d")),IF(H25&lt;=40,IF(Calcul!$AG$2=460,"a0","b"),IF(Calcul!$AG$2=460,"a","c")))</f>
        <v>c</v>
      </c>
      <c r="Z25" s="156">
        <f t="shared" si="0"/>
        <v>2342806.2035543378</v>
      </c>
      <c r="AA25" s="31">
        <f t="shared" si="1"/>
        <v>579967.55725000007</v>
      </c>
    </row>
    <row r="26" spans="1:27" ht="13">
      <c r="A26" s="9">
        <v>24</v>
      </c>
      <c r="B26" s="54" t="s">
        <v>717</v>
      </c>
      <c r="C26">
        <v>0.97236180904522618</v>
      </c>
      <c r="D26" s="55">
        <v>262</v>
      </c>
      <c r="E26" s="54">
        <v>387</v>
      </c>
      <c r="F26" s="54">
        <v>398</v>
      </c>
      <c r="G26" s="56">
        <v>21.1</v>
      </c>
      <c r="H26" s="56">
        <v>33.299999999999997</v>
      </c>
      <c r="I26" s="54">
        <v>33460</v>
      </c>
      <c r="J26" s="54">
        <v>894100000</v>
      </c>
      <c r="K26" s="54">
        <v>4620000</v>
      </c>
      <c r="L26" s="54">
        <v>5260000</v>
      </c>
      <c r="M26" s="54">
        <v>163.5</v>
      </c>
      <c r="N26" s="54">
        <v>8654.83</v>
      </c>
      <c r="O26" s="54">
        <v>350200000</v>
      </c>
      <c r="P26" s="54">
        <v>1760000</v>
      </c>
      <c r="Q26" s="54">
        <v>2676000</v>
      </c>
      <c r="R26" s="56">
        <v>102.3</v>
      </c>
      <c r="S26" s="54">
        <v>105.3</v>
      </c>
      <c r="T26" s="54">
        <v>11000000</v>
      </c>
      <c r="U26" s="243">
        <v>10952828059499.998</v>
      </c>
      <c r="V26" s="4">
        <v>26699.56</v>
      </c>
      <c r="W26" s="4">
        <v>15</v>
      </c>
      <c r="X26" s="31" t="str">
        <f>IF(C26&lt;=1.2,IF(H26&lt;=100,IF(Calcul!$AG$2=460,"a","b"),IF(Calcul!$AG$2=460,"c","d")),IF(H26&lt;=40,IF(Calcul!$AG$2=460,"a0","a"),IF(Calcul!$AG$2=460,"a","b")))</f>
        <v>b</v>
      </c>
      <c r="Y26" s="31" t="str">
        <f>IF(C26&lt;=1.2,IF(H26&lt;=100,IF(Calcul!$AG$2=460,"a","c"),IF(Calcul!$AG$2=460,"c","d")),IF(H26&lt;=40,IF(Calcul!$AG$2=460,"a0","b"),IF(Calcul!$AG$2=460,"a","c")))</f>
        <v>c</v>
      </c>
      <c r="Z26" s="156">
        <f t="shared" si="0"/>
        <v>2629766.5658849259</v>
      </c>
      <c r="AA26" s="31">
        <f t="shared" si="1"/>
        <v>648487.48837499984</v>
      </c>
    </row>
    <row r="27" spans="1:27" ht="13">
      <c r="A27" s="9">
        <v>25</v>
      </c>
      <c r="B27" s="54" t="s">
        <v>718</v>
      </c>
      <c r="C27">
        <v>0.98496240601503759</v>
      </c>
      <c r="D27" s="55">
        <v>287</v>
      </c>
      <c r="E27" s="54">
        <v>393</v>
      </c>
      <c r="F27" s="54">
        <v>399</v>
      </c>
      <c r="G27" s="56">
        <v>22.6</v>
      </c>
      <c r="H27" s="56">
        <v>36.6</v>
      </c>
      <c r="I27" s="54">
        <v>36630</v>
      </c>
      <c r="J27" s="54">
        <v>997100000</v>
      </c>
      <c r="K27" s="54">
        <v>5074000</v>
      </c>
      <c r="L27" s="54">
        <v>5813000</v>
      </c>
      <c r="M27" s="54">
        <v>165</v>
      </c>
      <c r="N27" s="54">
        <v>9348.3599999999969</v>
      </c>
      <c r="O27" s="54">
        <v>387800000</v>
      </c>
      <c r="P27" s="54">
        <v>1944000</v>
      </c>
      <c r="Q27" s="54">
        <v>2957000</v>
      </c>
      <c r="R27" s="56">
        <v>102.9</v>
      </c>
      <c r="S27" s="54">
        <v>113.4</v>
      </c>
      <c r="T27" s="54">
        <v>14500000</v>
      </c>
      <c r="U27" s="243">
        <v>12314682071999.998</v>
      </c>
      <c r="V27" s="4">
        <v>29402.52</v>
      </c>
      <c r="W27" s="4">
        <v>15</v>
      </c>
      <c r="X27" s="31" t="str">
        <f>IF(C27&lt;=1.2,IF(H27&lt;=100,IF(Calcul!$AG$2=460,"a","b"),IF(Calcul!$AG$2=460,"c","d")),IF(H27&lt;=40,IF(Calcul!$AG$2=460,"a0","a"),IF(Calcul!$AG$2=460,"a","b")))</f>
        <v>b</v>
      </c>
      <c r="Y27" s="31" t="str">
        <f>IF(C27&lt;=1.2,IF(H27&lt;=100,IF(Calcul!$AG$2=460,"a","c"),IF(Calcul!$AG$2=460,"c","d")),IF(H27&lt;=40,IF(Calcul!$AG$2=460,"a0","b"),IF(Calcul!$AG$2=460,"a","c")))</f>
        <v>c</v>
      </c>
      <c r="Z27" s="156">
        <f t="shared" si="0"/>
        <v>2906362.5756369848</v>
      </c>
      <c r="AA27" s="31">
        <f t="shared" si="1"/>
        <v>715686.64799999981</v>
      </c>
    </row>
    <row r="28" spans="1:27" ht="13">
      <c r="A28" s="9">
        <v>26</v>
      </c>
      <c r="B28" s="54" t="s">
        <v>719</v>
      </c>
      <c r="C28">
        <v>0.99501246882793015</v>
      </c>
      <c r="D28" s="55">
        <v>314</v>
      </c>
      <c r="E28" s="54">
        <v>399</v>
      </c>
      <c r="F28" s="54">
        <v>401</v>
      </c>
      <c r="G28" s="56">
        <v>24.9</v>
      </c>
      <c r="H28" s="56">
        <v>39.6</v>
      </c>
      <c r="I28" s="54">
        <v>39920</v>
      </c>
      <c r="J28" s="54">
        <v>1102000000</v>
      </c>
      <c r="K28" s="54">
        <v>5525000</v>
      </c>
      <c r="L28" s="54">
        <v>6374000</v>
      </c>
      <c r="M28" s="54">
        <v>166.2</v>
      </c>
      <c r="N28" s="54">
        <v>10334.84</v>
      </c>
      <c r="O28" s="54">
        <v>426000000</v>
      </c>
      <c r="P28" s="54">
        <v>2125000</v>
      </c>
      <c r="Q28" s="54">
        <v>3236000</v>
      </c>
      <c r="R28" s="56">
        <v>103.3</v>
      </c>
      <c r="S28" s="54">
        <v>121.7</v>
      </c>
      <c r="T28" s="54">
        <v>18500000</v>
      </c>
      <c r="U28" s="243">
        <v>13756430339999.998</v>
      </c>
      <c r="V28" s="4">
        <v>31956.98</v>
      </c>
      <c r="W28" s="4">
        <v>15</v>
      </c>
      <c r="X28" s="31" t="str">
        <f>IF(C28&lt;=1.2,IF(H28&lt;=100,IF(Calcul!$AG$2=460,"a","b"),IF(Calcul!$AG$2=460,"c","d")),IF(H28&lt;=40,IF(Calcul!$AG$2=460,"a0","a"),IF(Calcul!$AG$2=460,"a","b")))</f>
        <v>b</v>
      </c>
      <c r="Y28" s="31" t="str">
        <f>IF(C28&lt;=1.2,IF(H28&lt;=100,IF(Calcul!$AG$2=460,"a","c"),IF(Calcul!$AG$2=460,"c","d")),IF(H28&lt;=40,IF(Calcul!$AG$2=460,"a0","b"),IF(Calcul!$AG$2=460,"a","c")))</f>
        <v>c</v>
      </c>
      <c r="Z28" s="156">
        <f t="shared" si="0"/>
        <v>3187004.0271369847</v>
      </c>
      <c r="AA28" s="31">
        <f t="shared" si="1"/>
        <v>781045.60050000018</v>
      </c>
    </row>
    <row r="29" spans="1:27" ht="13">
      <c r="A29" s="9">
        <v>27</v>
      </c>
      <c r="B29" s="54" t="s">
        <v>720</v>
      </c>
      <c r="C29">
        <v>1.0074257425742574</v>
      </c>
      <c r="D29" s="55">
        <v>347</v>
      </c>
      <c r="E29" s="54">
        <v>407</v>
      </c>
      <c r="F29" s="54">
        <v>404</v>
      </c>
      <c r="G29" s="56">
        <v>27.2</v>
      </c>
      <c r="H29" s="56">
        <v>43.7</v>
      </c>
      <c r="I29" s="54">
        <v>44200</v>
      </c>
      <c r="J29" s="54">
        <v>1249000000</v>
      </c>
      <c r="K29" s="54">
        <v>6140000</v>
      </c>
      <c r="L29" s="54">
        <v>7139000</v>
      </c>
      <c r="M29" s="54">
        <v>168.1</v>
      </c>
      <c r="N29" s="54">
        <v>11390.039999999994</v>
      </c>
      <c r="O29" s="54">
        <v>480900000</v>
      </c>
      <c r="P29" s="54">
        <v>2380000</v>
      </c>
      <c r="Q29" s="54">
        <v>3629000</v>
      </c>
      <c r="R29" s="56">
        <v>104.3</v>
      </c>
      <c r="S29" s="54">
        <v>132.19999999999999</v>
      </c>
      <c r="T29" s="54">
        <v>24800000</v>
      </c>
      <c r="U29" s="243">
        <v>15868123850250.002</v>
      </c>
      <c r="V29" s="4">
        <v>35506.879999999997</v>
      </c>
      <c r="W29" s="4">
        <v>15</v>
      </c>
      <c r="X29" s="31" t="str">
        <f>IF(C29&lt;=1.2,IF(H29&lt;=100,IF(Calcul!$AG$2=460,"a","b"),IF(Calcul!$AG$2=460,"c","d")),IF(H29&lt;=40,IF(Calcul!$AG$2=460,"a0","a"),IF(Calcul!$AG$2=460,"a","b")))</f>
        <v>b</v>
      </c>
      <c r="Y29" s="31" t="str">
        <f>IF(C29&lt;=1.2,IF(H29&lt;=100,IF(Calcul!$AG$2=460,"a","c"),IF(Calcul!$AG$2=460,"c","d")),IF(H29&lt;=40,IF(Calcul!$AG$2=460,"a0","b"),IF(Calcul!$AG$2=460,"a","c")))</f>
        <v>c</v>
      </c>
      <c r="Z29" s="156">
        <f t="shared" si="0"/>
        <v>3569393.0895543387</v>
      </c>
      <c r="AA29" s="31">
        <f t="shared" si="1"/>
        <v>873694.97400000016</v>
      </c>
    </row>
    <row r="30" spans="1:27" ht="13">
      <c r="A30" s="9">
        <v>28</v>
      </c>
      <c r="B30" s="54" t="s">
        <v>721</v>
      </c>
      <c r="C30">
        <v>1.0246305418719213</v>
      </c>
      <c r="D30" s="55">
        <v>382</v>
      </c>
      <c r="E30" s="54">
        <v>416</v>
      </c>
      <c r="F30" s="54">
        <v>406</v>
      </c>
      <c r="G30" s="56">
        <v>29.8</v>
      </c>
      <c r="H30" s="56">
        <v>48</v>
      </c>
      <c r="I30" s="54">
        <v>48710</v>
      </c>
      <c r="J30" s="54">
        <v>1413000000</v>
      </c>
      <c r="K30" s="54">
        <v>6794000</v>
      </c>
      <c r="L30" s="54">
        <v>7965000</v>
      </c>
      <c r="M30" s="54">
        <v>170.3</v>
      </c>
      <c r="N30" s="54">
        <v>12604.4</v>
      </c>
      <c r="O30" s="54">
        <v>536200000</v>
      </c>
      <c r="P30" s="54">
        <v>2641000</v>
      </c>
      <c r="Q30" s="54">
        <v>4031000</v>
      </c>
      <c r="R30" s="56">
        <v>104.9</v>
      </c>
      <c r="S30" s="54">
        <v>143.4</v>
      </c>
      <c r="T30" s="54">
        <v>32800000</v>
      </c>
      <c r="U30" s="243">
        <v>18153587200000</v>
      </c>
      <c r="V30" s="4">
        <v>39174</v>
      </c>
      <c r="W30" s="4">
        <v>15</v>
      </c>
      <c r="X30" s="31" t="str">
        <f>IF(C30&lt;=1.2,IF(H30&lt;=100,IF(Calcul!$AG$2=460,"a","b"),IF(Calcul!$AG$2=460,"c","d")),IF(H30&lt;=40,IF(Calcul!$AG$2=460,"a0","a"),IF(Calcul!$AG$2=460,"a","b")))</f>
        <v>b</v>
      </c>
      <c r="Y30" s="31" t="str">
        <f>IF(C30&lt;=1.2,IF(H30&lt;=100,IF(Calcul!$AG$2=460,"a","c"),IF(Calcul!$AG$2=460,"c","d")),IF(H30&lt;=40,IF(Calcul!$AG$2=460,"a0","b"),IF(Calcul!$AG$2=460,"a","c")))</f>
        <v>c</v>
      </c>
      <c r="Z30" s="156">
        <f t="shared" si="0"/>
        <v>3982359.8397196317</v>
      </c>
      <c r="AA30" s="31">
        <f t="shared" si="1"/>
        <v>967559.76</v>
      </c>
    </row>
    <row r="31" spans="1:27" ht="13">
      <c r="A31" s="9">
        <v>29</v>
      </c>
      <c r="B31" s="54" t="s">
        <v>722</v>
      </c>
      <c r="C31">
        <v>1.039119804400978</v>
      </c>
      <c r="D31" s="55">
        <v>421</v>
      </c>
      <c r="E31" s="54">
        <v>425</v>
      </c>
      <c r="F31" s="54">
        <v>409</v>
      </c>
      <c r="G31" s="56">
        <v>32.799999999999997</v>
      </c>
      <c r="H31" s="56">
        <v>52.6</v>
      </c>
      <c r="I31" s="54">
        <v>53710</v>
      </c>
      <c r="J31" s="54">
        <v>1596000000</v>
      </c>
      <c r="K31" s="54">
        <v>7510000</v>
      </c>
      <c r="L31" s="54">
        <v>8880000</v>
      </c>
      <c r="M31" s="54">
        <v>172.4</v>
      </c>
      <c r="N31" s="54">
        <v>13986.479999999996</v>
      </c>
      <c r="O31" s="54">
        <v>600800000</v>
      </c>
      <c r="P31" s="54">
        <v>2938000</v>
      </c>
      <c r="Q31" s="54">
        <v>4489000</v>
      </c>
      <c r="R31" s="56">
        <v>105.8</v>
      </c>
      <c r="S31" s="54">
        <v>155.6</v>
      </c>
      <c r="T31" s="54">
        <v>43400000</v>
      </c>
      <c r="U31" s="243">
        <v>20830000351999.996</v>
      </c>
      <c r="V31" s="4">
        <v>43220.56</v>
      </c>
      <c r="W31" s="4">
        <v>15</v>
      </c>
      <c r="X31" s="31" t="str">
        <f>IF(C31&lt;=1.2,IF(H31&lt;=100,IF(Calcul!$AG$2=460,"a","b"),IF(Calcul!$AG$2=460,"c","d")),IF(H31&lt;=40,IF(Calcul!$AG$2=460,"a0","a"),IF(Calcul!$AG$2=460,"a","b")))</f>
        <v>b</v>
      </c>
      <c r="Y31" s="31" t="str">
        <f>IF(C31&lt;=1.2,IF(H31&lt;=100,IF(Calcul!$AG$2=460,"a","c"),IF(Calcul!$AG$2=460,"c","d")),IF(H31&lt;=40,IF(Calcul!$AG$2=460,"a0","b"),IF(Calcul!$AG$2=460,"a","c")))</f>
        <v>c</v>
      </c>
      <c r="Z31" s="156">
        <f t="shared" si="0"/>
        <v>4440228.6266369848</v>
      </c>
      <c r="AA31" s="31">
        <f t="shared" si="1"/>
        <v>1073941.8269999998</v>
      </c>
    </row>
    <row r="32" spans="1:27" ht="13">
      <c r="A32" s="9">
        <v>30</v>
      </c>
      <c r="B32" s="54" t="s">
        <v>723</v>
      </c>
      <c r="C32">
        <v>1.0558252427184467</v>
      </c>
      <c r="D32" s="55">
        <v>463</v>
      </c>
      <c r="E32" s="54">
        <v>435</v>
      </c>
      <c r="F32" s="54">
        <v>412</v>
      </c>
      <c r="G32" s="56">
        <v>35.799999999999997</v>
      </c>
      <c r="H32" s="56">
        <v>57.4</v>
      </c>
      <c r="I32" s="54">
        <v>58950</v>
      </c>
      <c r="J32" s="54">
        <v>1802000000</v>
      </c>
      <c r="K32" s="54">
        <v>8283000</v>
      </c>
      <c r="L32" s="54">
        <v>9878000</v>
      </c>
      <c r="M32" s="54">
        <v>174.8</v>
      </c>
      <c r="N32" s="54">
        <v>15429.320000000002</v>
      </c>
      <c r="O32" s="54">
        <v>670400000</v>
      </c>
      <c r="P32" s="54">
        <v>3254000</v>
      </c>
      <c r="Q32" s="54">
        <v>4978000</v>
      </c>
      <c r="R32" s="56">
        <v>106.6</v>
      </c>
      <c r="S32" s="54">
        <v>168.2</v>
      </c>
      <c r="T32" s="54">
        <v>56500000</v>
      </c>
      <c r="U32" s="243">
        <v>23896702976000</v>
      </c>
      <c r="V32" s="4">
        <v>47486.840000000004</v>
      </c>
      <c r="W32" s="4">
        <v>15</v>
      </c>
      <c r="X32" s="31" t="str">
        <f>IF(C32&lt;=1.2,IF(H32&lt;=100,IF(Calcul!$AG$2=460,"a","b"),IF(Calcul!$AG$2=460,"c","d")),IF(H32&lt;=40,IF(Calcul!$AG$2=460,"a0","a"),IF(Calcul!$AG$2=460,"a","b")))</f>
        <v>b</v>
      </c>
      <c r="Y32" s="31" t="str">
        <f>IF(C32&lt;=1.2,IF(H32&lt;=100,IF(Calcul!$AG$2=460,"a","c"),IF(Calcul!$AG$2=460,"c","d")),IF(H32&lt;=40,IF(Calcul!$AG$2=460,"a0","b"),IF(Calcul!$AG$2=460,"a","c")))</f>
        <v>c</v>
      </c>
      <c r="Z32" s="156">
        <f t="shared" si="0"/>
        <v>4938843.9158022795</v>
      </c>
      <c r="AA32" s="31">
        <f t="shared" si="1"/>
        <v>1186848.0329999998</v>
      </c>
    </row>
    <row r="33" spans="1:27" ht="13">
      <c r="A33" s="9">
        <v>31</v>
      </c>
      <c r="B33" s="54" t="s">
        <v>724</v>
      </c>
      <c r="C33">
        <v>1.0721153846153846</v>
      </c>
      <c r="D33" s="55">
        <v>509</v>
      </c>
      <c r="E33" s="54">
        <v>446</v>
      </c>
      <c r="F33" s="54">
        <v>416</v>
      </c>
      <c r="G33" s="56">
        <v>39.1</v>
      </c>
      <c r="H33" s="56">
        <v>62.7</v>
      </c>
      <c r="I33" s="54">
        <v>64900</v>
      </c>
      <c r="J33" s="54">
        <v>2045000000</v>
      </c>
      <c r="K33" s="54">
        <v>9172000</v>
      </c>
      <c r="L33" s="54">
        <v>11030000</v>
      </c>
      <c r="M33" s="54">
        <v>177.5</v>
      </c>
      <c r="N33" s="54">
        <v>17066.169999999998</v>
      </c>
      <c r="O33" s="54">
        <v>754000000</v>
      </c>
      <c r="P33" s="54">
        <v>3625000</v>
      </c>
      <c r="Q33" s="54">
        <v>5552000</v>
      </c>
      <c r="R33" s="56">
        <v>107.8</v>
      </c>
      <c r="S33" s="54">
        <v>182.1</v>
      </c>
      <c r="T33" s="54">
        <v>73900000</v>
      </c>
      <c r="U33" s="243">
        <v>27694210765000.004</v>
      </c>
      <c r="V33" s="4">
        <v>52364.54</v>
      </c>
      <c r="W33" s="4">
        <v>15</v>
      </c>
      <c r="X33" s="31" t="str">
        <f>IF(C33&lt;=1.2,IF(H33&lt;=100,IF(Calcul!$AG$2=460,"a","b"),IF(Calcul!$AG$2=460,"c","d")),IF(H33&lt;=40,IF(Calcul!$AG$2=460,"a0","a"),IF(Calcul!$AG$2=460,"a","b")))</f>
        <v>b</v>
      </c>
      <c r="Y33" s="31" t="str">
        <f>IF(C33&lt;=1.2,IF(H33&lt;=100,IF(Calcul!$AG$2=460,"a","c"),IF(Calcul!$AG$2=460,"c","d")),IF(H33&lt;=40,IF(Calcul!$AG$2=460,"a0","b"),IF(Calcul!$AG$2=460,"a","c")))</f>
        <v>c</v>
      </c>
      <c r="Z33" s="156">
        <f t="shared" si="0"/>
        <v>5516360.6504675737</v>
      </c>
      <c r="AA33" s="31">
        <f t="shared" si="1"/>
        <v>1318903.826625</v>
      </c>
    </row>
    <row r="34" spans="1:27" ht="13">
      <c r="A34" s="9">
        <v>32</v>
      </c>
      <c r="B34" s="54" t="s">
        <v>725</v>
      </c>
      <c r="C34">
        <v>1.0885167464114833</v>
      </c>
      <c r="D34" s="55">
        <v>551</v>
      </c>
      <c r="E34" s="54">
        <v>455</v>
      </c>
      <c r="F34" s="54">
        <v>418</v>
      </c>
      <c r="G34" s="56">
        <v>42</v>
      </c>
      <c r="H34" s="56">
        <v>67.599999999999994</v>
      </c>
      <c r="I34" s="54">
        <v>70140</v>
      </c>
      <c r="J34" s="54">
        <v>2261000000</v>
      </c>
      <c r="K34" s="54">
        <v>9939000</v>
      </c>
      <c r="L34" s="54">
        <v>12050000</v>
      </c>
      <c r="M34" s="54">
        <v>179.5</v>
      </c>
      <c r="N34" s="54">
        <v>18493.600000000002</v>
      </c>
      <c r="O34" s="54">
        <v>824900000</v>
      </c>
      <c r="P34" s="54">
        <v>3947000</v>
      </c>
      <c r="Q34" s="54">
        <v>6051000</v>
      </c>
      <c r="R34" s="56">
        <v>108.5</v>
      </c>
      <c r="S34" s="54">
        <v>194.8</v>
      </c>
      <c r="T34" s="54">
        <v>92500000</v>
      </c>
      <c r="U34" s="243">
        <v>30949992280999.996</v>
      </c>
      <c r="V34" s="4">
        <v>56708.4</v>
      </c>
      <c r="W34" s="4">
        <v>15</v>
      </c>
      <c r="X34" s="31" t="str">
        <f>IF(C34&lt;=1.2,IF(H34&lt;=100,IF(Calcul!$AG$2=460,"a","b"),IF(Calcul!$AG$2=460,"c","d")),IF(H34&lt;=40,IF(Calcul!$AG$2=460,"a0","a"),IF(Calcul!$AG$2=460,"a","b")))</f>
        <v>b</v>
      </c>
      <c r="Y34" s="31" t="str">
        <f>IF(C34&lt;=1.2,IF(H34&lt;=100,IF(Calcul!$AG$2=460,"a","c"),IF(Calcul!$AG$2=460,"c","d")),IF(H34&lt;=40,IF(Calcul!$AG$2=460,"a0","b"),IF(Calcul!$AG$2=460,"a","c")))</f>
        <v>c</v>
      </c>
      <c r="Z34" s="156">
        <f t="shared" si="0"/>
        <v>6025388.5526369838</v>
      </c>
      <c r="AA34" s="31">
        <f t="shared" si="1"/>
        <v>1432613</v>
      </c>
    </row>
    <row r="35" spans="1:27" ht="13">
      <c r="A35" s="9">
        <v>33</v>
      </c>
      <c r="B35" s="54" t="s">
        <v>726</v>
      </c>
      <c r="C35">
        <v>1.1045130641330165</v>
      </c>
      <c r="D35" s="55">
        <v>592</v>
      </c>
      <c r="E35" s="54">
        <v>465</v>
      </c>
      <c r="F35" s="54">
        <v>421</v>
      </c>
      <c r="G35" s="56">
        <v>45</v>
      </c>
      <c r="H35" s="56">
        <v>72.3</v>
      </c>
      <c r="I35" s="54">
        <v>75490</v>
      </c>
      <c r="J35" s="54">
        <v>2502000000</v>
      </c>
      <c r="K35" s="54">
        <v>10760000</v>
      </c>
      <c r="L35" s="54">
        <v>13140000</v>
      </c>
      <c r="M35" s="54">
        <v>182</v>
      </c>
      <c r="N35" s="54">
        <v>20035.900000000001</v>
      </c>
      <c r="O35" s="54">
        <v>901700000</v>
      </c>
      <c r="P35" s="54">
        <v>4284000</v>
      </c>
      <c r="Q35" s="54">
        <v>6574000</v>
      </c>
      <c r="R35" s="56">
        <v>109.3</v>
      </c>
      <c r="S35" s="54">
        <v>207.2</v>
      </c>
      <c r="T35" s="54">
        <v>113542000</v>
      </c>
      <c r="U35" s="243">
        <v>34763530898249.996</v>
      </c>
      <c r="V35" s="4">
        <v>61072</v>
      </c>
      <c r="W35" s="4">
        <v>15</v>
      </c>
      <c r="X35" s="31" t="str">
        <f>IF(C35&lt;=1.2,IF(H35&lt;=100,IF(Calcul!$AG$2=460,"a","b"),IF(Calcul!$AG$2=460,"c","d")),IF(H35&lt;=40,IF(Calcul!$AG$2=460,"a0","a"),IF(Calcul!$AG$2=460,"a","b")))</f>
        <v>b</v>
      </c>
      <c r="Y35" s="31" t="str">
        <f>IF(C35&lt;=1.2,IF(H35&lt;=100,IF(Calcul!$AG$2=460,"a","c"),IF(Calcul!$AG$2=460,"c","d")),IF(H35&lt;=40,IF(Calcul!$AG$2=460,"a0","b"),IF(Calcul!$AG$2=460,"a","c")))</f>
        <v>c</v>
      </c>
      <c r="Z35" s="156">
        <f t="shared" ref="Z35:Z66" si="2">G35*(0.5*E35-H35)^2/2+(2-PI()/2)*W35^2*((0.5*E35-H35-W35)+(((1-PI()/2*0.4244)*W35)/(2-PI()/2)))+(H35*F35)*(0.5*E35-0.5*H35)</f>
        <v>6569148.2588849263</v>
      </c>
      <c r="AA35" s="31">
        <f t="shared" ref="AA35:AA66" si="3">(0.5*(0.5*F35-W35-0.5*G35)+W35+0.5*G35)*H35*(0.5*F35-W35-0.5*G35)</f>
        <v>1550979.5999999999</v>
      </c>
    </row>
    <row r="36" spans="1:27" ht="13">
      <c r="A36" s="9">
        <v>34</v>
      </c>
      <c r="B36" s="54" t="s">
        <v>727</v>
      </c>
      <c r="C36">
        <v>1.1179245283018868</v>
      </c>
      <c r="D36" s="55">
        <v>634</v>
      </c>
      <c r="E36" s="54">
        <v>474</v>
      </c>
      <c r="F36" s="54">
        <v>424</v>
      </c>
      <c r="G36" s="56">
        <v>47.6</v>
      </c>
      <c r="H36" s="56">
        <v>77.099999999999994</v>
      </c>
      <c r="I36" s="54">
        <v>80800</v>
      </c>
      <c r="J36" s="54">
        <v>2742000000</v>
      </c>
      <c r="K36" s="54">
        <v>11570000</v>
      </c>
      <c r="L36" s="54">
        <v>14220000</v>
      </c>
      <c r="M36" s="54">
        <v>184.2</v>
      </c>
      <c r="N36" s="54">
        <v>21402.159999999989</v>
      </c>
      <c r="O36" s="54">
        <v>982500000</v>
      </c>
      <c r="P36" s="54">
        <v>4634000</v>
      </c>
      <c r="Q36" s="54">
        <v>7117000</v>
      </c>
      <c r="R36" s="56">
        <v>110.3</v>
      </c>
      <c r="S36" s="54">
        <v>219.4</v>
      </c>
      <c r="T36" s="54">
        <v>137586000</v>
      </c>
      <c r="U36" s="243">
        <v>38693210456250</v>
      </c>
      <c r="V36" s="4">
        <v>65577.52</v>
      </c>
      <c r="W36" s="4">
        <v>15</v>
      </c>
      <c r="X36" s="31" t="str">
        <f>IF(C36&lt;=1.2,IF(H36&lt;=100,IF(Calcul!$AG$2=460,"a","b"),IF(Calcul!$AG$2=460,"c","d")),IF(H36&lt;=40,IF(Calcul!$AG$2=460,"a0","a"),IF(Calcul!$AG$2=460,"a","b")))</f>
        <v>b</v>
      </c>
      <c r="Y36" s="31" t="str">
        <f>IF(C36&lt;=1.2,IF(H36&lt;=100,IF(Calcul!$AG$2=460,"a","c"),IF(Calcul!$AG$2=460,"c","d")),IF(H36&lt;=40,IF(Calcul!$AG$2=460,"a0","b"),IF(Calcul!$AG$2=460,"a","c")))</f>
        <v>c</v>
      </c>
      <c r="Z36" s="156">
        <f t="shared" si="2"/>
        <v>7111046.7006369838</v>
      </c>
      <c r="AA36" s="31">
        <f t="shared" si="3"/>
        <v>1674556.4879999997</v>
      </c>
    </row>
    <row r="37" spans="1:27" ht="13">
      <c r="A37" s="9">
        <v>35</v>
      </c>
      <c r="B37" s="54" t="s">
        <v>728</v>
      </c>
      <c r="C37">
        <v>1.1285046728971964</v>
      </c>
      <c r="D37" s="55">
        <v>677</v>
      </c>
      <c r="E37" s="54">
        <v>483</v>
      </c>
      <c r="F37" s="54">
        <v>428</v>
      </c>
      <c r="G37" s="56">
        <v>51.2</v>
      </c>
      <c r="H37" s="56">
        <v>81.5</v>
      </c>
      <c r="I37" s="54">
        <v>86340</v>
      </c>
      <c r="J37" s="54">
        <v>2995000000</v>
      </c>
      <c r="K37" s="54">
        <v>12400000</v>
      </c>
      <c r="L37" s="54">
        <v>15350000</v>
      </c>
      <c r="M37" s="54">
        <v>186.2</v>
      </c>
      <c r="N37" s="54">
        <v>23193.8</v>
      </c>
      <c r="O37" s="54">
        <v>1069000000</v>
      </c>
      <c r="P37" s="54">
        <v>4994000</v>
      </c>
      <c r="Q37" s="54">
        <v>7680000</v>
      </c>
      <c r="R37" s="56">
        <v>111.3</v>
      </c>
      <c r="S37" s="54">
        <v>231.8</v>
      </c>
      <c r="T37" s="54">
        <v>164479000</v>
      </c>
      <c r="U37" s="243">
        <v>43081301312500</v>
      </c>
      <c r="V37" s="4">
        <v>69956</v>
      </c>
      <c r="W37" s="4">
        <v>15</v>
      </c>
      <c r="X37" s="31" t="str">
        <f>IF(C37&lt;=1.2,IF(H37&lt;=100,IF(Calcul!$AG$2=460,"a","b"),IF(Calcul!$AG$2=460,"c","d")),IF(H37&lt;=40,IF(Calcul!$AG$2=460,"a0","a"),IF(Calcul!$AG$2=460,"a","b")))</f>
        <v>b</v>
      </c>
      <c r="Y37" s="31" t="str">
        <f>IF(C37&lt;=1.2,IF(H37&lt;=100,IF(Calcul!$AG$2=460,"a","c"),IF(Calcul!$AG$2=460,"c","d")),IF(H37&lt;=40,IF(Calcul!$AG$2=460,"a0","b"),IF(Calcul!$AG$2=460,"a","c")))</f>
        <v>c</v>
      </c>
      <c r="Z37" s="156">
        <f t="shared" si="2"/>
        <v>7673049.3397196317</v>
      </c>
      <c r="AA37" s="31">
        <f t="shared" si="3"/>
        <v>1799016.33</v>
      </c>
    </row>
    <row r="38" spans="1:27" ht="13">
      <c r="A38" s="9">
        <v>36</v>
      </c>
      <c r="B38" s="54" t="s">
        <v>729</v>
      </c>
      <c r="C38">
        <v>1.1527777777777777</v>
      </c>
      <c r="D38" s="55">
        <v>744</v>
      </c>
      <c r="E38" s="54">
        <v>498</v>
      </c>
      <c r="F38" s="54">
        <v>432</v>
      </c>
      <c r="G38" s="56">
        <v>55.6</v>
      </c>
      <c r="H38" s="56">
        <v>88.9</v>
      </c>
      <c r="I38" s="54">
        <v>94810</v>
      </c>
      <c r="J38" s="54">
        <v>3421000000</v>
      </c>
      <c r="K38" s="54">
        <v>13740000</v>
      </c>
      <c r="L38" s="54">
        <v>17170000</v>
      </c>
      <c r="M38" s="54">
        <v>190</v>
      </c>
      <c r="N38" s="54">
        <v>25610.239999999994</v>
      </c>
      <c r="O38" s="54">
        <v>1199000000</v>
      </c>
      <c r="P38" s="54">
        <v>5552000</v>
      </c>
      <c r="Q38" s="54">
        <v>8549000</v>
      </c>
      <c r="R38" s="56">
        <v>112.5</v>
      </c>
      <c r="S38" s="54">
        <v>251</v>
      </c>
      <c r="T38" s="54">
        <v>213687000</v>
      </c>
      <c r="U38" s="243">
        <v>50167002297500.008</v>
      </c>
      <c r="V38" s="4">
        <v>77006.880000000005</v>
      </c>
      <c r="W38" s="4">
        <v>15</v>
      </c>
      <c r="X38" s="31" t="str">
        <f>IF(C38&lt;=1.2,IF(H38&lt;=100,IF(Calcul!$AG$2=460,"a","b"),IF(Calcul!$AG$2=460,"c","d")),IF(H38&lt;=40,IF(Calcul!$AG$2=460,"a0","a"),IF(Calcul!$AG$2=460,"a","b")))</f>
        <v>b</v>
      </c>
      <c r="Y38" s="31" t="str">
        <f>IF(C38&lt;=1.2,IF(H38&lt;=100,IF(Calcul!$AG$2=460,"a","c"),IF(Calcul!$AG$2=460,"c","d")),IF(H38&lt;=40,IF(Calcul!$AG$2=460,"a0","b"),IF(Calcul!$AG$2=460,"a","c")))</f>
        <v>c</v>
      </c>
      <c r="Z38" s="156">
        <f t="shared" si="2"/>
        <v>8583409.2148022801</v>
      </c>
      <c r="AA38" s="31">
        <f t="shared" si="3"/>
        <v>1992433.9120000002</v>
      </c>
    </row>
    <row r="39" spans="1:27" ht="13">
      <c r="A39" s="9">
        <v>37</v>
      </c>
      <c r="B39" s="54" t="s">
        <v>730</v>
      </c>
      <c r="C39">
        <v>1.1762013729977117</v>
      </c>
      <c r="D39" s="55">
        <v>818</v>
      </c>
      <c r="E39" s="54">
        <v>514</v>
      </c>
      <c r="F39" s="54">
        <v>437</v>
      </c>
      <c r="G39" s="56">
        <v>60.5</v>
      </c>
      <c r="H39" s="56">
        <v>97</v>
      </c>
      <c r="I39" s="54">
        <v>104330</v>
      </c>
      <c r="J39" s="54">
        <v>3922000000</v>
      </c>
      <c r="K39" s="54">
        <v>15260000</v>
      </c>
      <c r="L39" s="54">
        <v>19260000</v>
      </c>
      <c r="M39" s="54">
        <v>193.9</v>
      </c>
      <c r="N39" s="54">
        <v>28330.5</v>
      </c>
      <c r="O39" s="54">
        <v>1355000000</v>
      </c>
      <c r="P39" s="54">
        <v>6203000</v>
      </c>
      <c r="Q39" s="54">
        <v>9561000</v>
      </c>
      <c r="R39" s="56">
        <v>114</v>
      </c>
      <c r="S39" s="54">
        <v>272.10000000000002</v>
      </c>
      <c r="T39" s="54">
        <v>278490000</v>
      </c>
      <c r="U39" s="243">
        <v>58904898750000</v>
      </c>
      <c r="V39" s="4">
        <v>84970</v>
      </c>
      <c r="W39" s="4">
        <v>15</v>
      </c>
      <c r="X39" s="31" t="str">
        <f>IF(C39&lt;=1.2,IF(H39&lt;=100,IF(Calcul!$AG$2=460,"a","b"),IF(Calcul!$AG$2=460,"c","d")),IF(H39&lt;=40,IF(Calcul!$AG$2=460,"a0","a"),IF(Calcul!$AG$2=460,"a","b")))</f>
        <v>b</v>
      </c>
      <c r="Y39" s="31" t="str">
        <f>IF(C39&lt;=1.2,IF(H39&lt;=100,IF(Calcul!$AG$2=460,"a","c"),IF(Calcul!$AG$2=460,"c","d")),IF(H39&lt;=40,IF(Calcul!$AG$2=460,"a0","b"),IF(Calcul!$AG$2=460,"a","c")))</f>
        <v>c</v>
      </c>
      <c r="Z39" s="156">
        <f t="shared" si="2"/>
        <v>9627634.3397196326</v>
      </c>
      <c r="AA39" s="31">
        <f t="shared" si="3"/>
        <v>2216192.34375</v>
      </c>
    </row>
    <row r="40" spans="1:27" ht="13">
      <c r="A40" s="9">
        <v>38</v>
      </c>
      <c r="B40" s="54" t="s">
        <v>731</v>
      </c>
      <c r="C40">
        <v>1.2013574660633484</v>
      </c>
      <c r="D40" s="55">
        <v>900</v>
      </c>
      <c r="E40" s="54">
        <v>531</v>
      </c>
      <c r="F40" s="54">
        <v>442</v>
      </c>
      <c r="G40" s="56">
        <v>65.900000000000006</v>
      </c>
      <c r="H40" s="56">
        <v>106</v>
      </c>
      <c r="I40" s="54">
        <v>114920</v>
      </c>
      <c r="J40" s="54">
        <v>4502000000</v>
      </c>
      <c r="K40" s="54">
        <v>16960000</v>
      </c>
      <c r="L40" s="54">
        <v>21620000</v>
      </c>
      <c r="M40" s="54">
        <v>197.9</v>
      </c>
      <c r="N40" s="54">
        <v>31381.4</v>
      </c>
      <c r="O40" s="54">
        <v>1533000000</v>
      </c>
      <c r="P40" s="54">
        <v>6938000</v>
      </c>
      <c r="Q40" s="54">
        <v>10710000</v>
      </c>
      <c r="R40" s="56">
        <v>115.5</v>
      </c>
      <c r="S40" s="54">
        <v>295.5</v>
      </c>
      <c r="T40" s="54">
        <v>364215000</v>
      </c>
      <c r="U40" s="243">
        <v>69224531250000</v>
      </c>
      <c r="V40" s="4">
        <v>93897.9</v>
      </c>
      <c r="W40" s="4">
        <v>15</v>
      </c>
      <c r="X40" s="31" t="str">
        <f>IF(C40&lt;=1.2,IF(H40&lt;=100,IF(Calcul!$AG$2=460,"a","b"),IF(Calcul!$AG$2=460,"c","d")),IF(H40&lt;=40,IF(Calcul!$AG$2=460,"a0","a"),IF(Calcul!$AG$2=460,"a","b")))</f>
        <v>b</v>
      </c>
      <c r="Y40" s="31" t="str">
        <f>IF(C40&lt;=1.2,IF(H40&lt;=100,IF(Calcul!$AG$2=460,"a","c"),IF(Calcul!$AG$2=460,"c","d")),IF(H40&lt;=40,IF(Calcul!$AG$2=460,"a0","b"),IF(Calcul!$AG$2=460,"a","c")))</f>
        <v>c</v>
      </c>
      <c r="Z40" s="156">
        <f t="shared" si="2"/>
        <v>10809385.791806396</v>
      </c>
      <c r="AA40" s="31">
        <f t="shared" si="3"/>
        <v>2466715.2675000005</v>
      </c>
    </row>
    <row r="41" spans="1:27" ht="13">
      <c r="A41" s="9">
        <v>39</v>
      </c>
      <c r="B41" s="54" t="s">
        <v>732</v>
      </c>
      <c r="C41">
        <v>1.2276785714285714</v>
      </c>
      <c r="D41" s="55">
        <v>990</v>
      </c>
      <c r="E41" s="54">
        <v>550</v>
      </c>
      <c r="F41" s="54">
        <v>448</v>
      </c>
      <c r="G41" s="56">
        <v>71.900000000000006</v>
      </c>
      <c r="H41" s="56">
        <v>115</v>
      </c>
      <c r="I41" s="54">
        <v>126240</v>
      </c>
      <c r="J41" s="54">
        <v>5189000000</v>
      </c>
      <c r="K41" s="54">
        <v>18870000</v>
      </c>
      <c r="L41" s="54">
        <v>24280000</v>
      </c>
      <c r="M41" s="54">
        <v>202.7</v>
      </c>
      <c r="N41" s="54">
        <v>34918.5</v>
      </c>
      <c r="O41" s="54">
        <v>1734000000</v>
      </c>
      <c r="P41" s="54">
        <v>7739000</v>
      </c>
      <c r="Q41" s="54">
        <v>11960000</v>
      </c>
      <c r="R41" s="56">
        <v>117.2</v>
      </c>
      <c r="S41" s="54">
        <v>319.5</v>
      </c>
      <c r="T41" s="54">
        <v>469142000</v>
      </c>
      <c r="U41" s="243">
        <v>82029037500000</v>
      </c>
      <c r="V41" s="4">
        <v>103232</v>
      </c>
      <c r="W41" s="4">
        <v>15</v>
      </c>
      <c r="X41" s="31" t="str">
        <f>IF(C41&lt;=1.2,IF(H41&lt;=100,IF(Calcul!$AG$2=460,"a","b"),IF(Calcul!$AG$2=460,"c","d")),IF(H41&lt;=40,IF(Calcul!$AG$2=460,"a0","a"),IF(Calcul!$AG$2=460,"a","b")))</f>
        <v>b</v>
      </c>
      <c r="Y41" s="31" t="str">
        <f>IF(C41&lt;=1.2,IF(H41&lt;=100,IF(Calcul!$AG$2=460,"a","c"),IF(Calcul!$AG$2=460,"c","d")),IF(H41&lt;=40,IF(Calcul!$AG$2=460,"a0","b"),IF(Calcul!$AG$2=460,"a","c")))</f>
        <v>c</v>
      </c>
      <c r="Z41" s="156">
        <f t="shared" si="2"/>
        <v>12141047.839719633</v>
      </c>
      <c r="AA41" s="31">
        <f t="shared" si="3"/>
        <v>2735855.6062500007</v>
      </c>
    </row>
    <row r="42" spans="1:27" ht="13">
      <c r="A42" s="9">
        <v>40</v>
      </c>
      <c r="B42" s="54" t="s">
        <v>733</v>
      </c>
      <c r="C42">
        <v>1.2533039647577093</v>
      </c>
      <c r="D42" s="55">
        <v>1086</v>
      </c>
      <c r="E42" s="54">
        <v>569</v>
      </c>
      <c r="F42" s="54">
        <v>454</v>
      </c>
      <c r="G42" s="56">
        <v>78</v>
      </c>
      <c r="H42" s="56">
        <v>125</v>
      </c>
      <c r="I42" s="54">
        <v>138580</v>
      </c>
      <c r="J42" s="54">
        <v>5957000000</v>
      </c>
      <c r="K42" s="54">
        <v>20940000</v>
      </c>
      <c r="L42" s="54">
        <v>27210000</v>
      </c>
      <c r="M42" s="54">
        <v>207.3</v>
      </c>
      <c r="N42" s="54">
        <v>38580</v>
      </c>
      <c r="O42" s="54">
        <v>1962000000</v>
      </c>
      <c r="P42" s="54">
        <v>8645000</v>
      </c>
      <c r="Q42" s="54">
        <v>13380000</v>
      </c>
      <c r="R42" s="56">
        <v>119</v>
      </c>
      <c r="S42" s="54">
        <v>345.6</v>
      </c>
      <c r="T42" s="54">
        <v>605012000</v>
      </c>
      <c r="U42" s="243">
        <v>96695208000000</v>
      </c>
      <c r="V42" s="4">
        <v>113698</v>
      </c>
      <c r="W42" s="4">
        <v>15</v>
      </c>
      <c r="X42" s="31" t="str">
        <f>IF(C42&lt;=1.2,IF(H42&lt;=100,IF(Calcul!$AG$2=460,"a","b"),IF(Calcul!$AG$2=460,"c","d")),IF(H42&lt;=40,IF(Calcul!$AG$2=460,"a0","a"),IF(Calcul!$AG$2=460,"a","b")))</f>
        <v>b</v>
      </c>
      <c r="Y42" s="31" t="str">
        <f>IF(C42&lt;=1.2,IF(H42&lt;=100,IF(Calcul!$AG$2=460,"a","c"),IF(Calcul!$AG$2=460,"c","d")),IF(H42&lt;=40,IF(Calcul!$AG$2=460,"a0","b"),IF(Calcul!$AG$2=460,"a","c")))</f>
        <v>c</v>
      </c>
      <c r="Z42" s="156">
        <f t="shared" si="2"/>
        <v>13605749.304306395</v>
      </c>
      <c r="AA42" s="31">
        <f t="shared" si="3"/>
        <v>3038312.5</v>
      </c>
    </row>
    <row r="43" spans="1:27" ht="13">
      <c r="A43" s="9">
        <v>41</v>
      </c>
      <c r="B43" s="54" t="s">
        <v>734</v>
      </c>
      <c r="C43">
        <v>1.2314225053078556</v>
      </c>
      <c r="D43" s="55">
        <v>1202</v>
      </c>
      <c r="E43" s="54">
        <v>580</v>
      </c>
      <c r="F43" s="54">
        <v>471</v>
      </c>
      <c r="G43" s="56">
        <v>95</v>
      </c>
      <c r="H43" s="56">
        <v>130</v>
      </c>
      <c r="I43" s="54">
        <v>153050</v>
      </c>
      <c r="J43" s="54">
        <v>6636000000</v>
      </c>
      <c r="K43" s="54">
        <v>22880000</v>
      </c>
      <c r="L43" s="54">
        <v>30020000</v>
      </c>
      <c r="M43" s="54">
        <v>208.2</v>
      </c>
      <c r="N43" s="54">
        <v>46840</v>
      </c>
      <c r="O43" s="54">
        <v>2287000000</v>
      </c>
      <c r="P43" s="54">
        <v>9712000</v>
      </c>
      <c r="Q43" s="54">
        <v>15150000</v>
      </c>
      <c r="R43" s="56">
        <v>122.2</v>
      </c>
      <c r="S43" s="54">
        <v>373</v>
      </c>
      <c r="T43" s="54">
        <v>762195000</v>
      </c>
      <c r="U43" s="243">
        <v>115779375000000</v>
      </c>
      <c r="V43" s="4">
        <v>122650</v>
      </c>
      <c r="W43" s="4">
        <v>15</v>
      </c>
      <c r="X43" s="31" t="str">
        <f>IF(C43&lt;=1.2,IF(H43&lt;=100,IF(Calcul!$AG$2=460,"a","b"),IF(Calcul!$AG$2=460,"c","d")),IF(H43&lt;=40,IF(Calcul!$AG$2=460,"a0","a"),IF(Calcul!$AG$2=460,"a","b")))</f>
        <v>b</v>
      </c>
      <c r="Y43" s="31" t="str">
        <f>IF(C43&lt;=1.2,IF(H43&lt;=100,IF(Calcul!$AG$2=460,"a","c"),IF(Calcul!$AG$2=460,"c","d")),IF(H43&lt;=40,IF(Calcul!$AG$2=460,"a0","b"),IF(Calcul!$AG$2=460,"a","c")))</f>
        <v>c</v>
      </c>
      <c r="Z43" s="156">
        <f t="shared" si="2"/>
        <v>15007877.839719633</v>
      </c>
      <c r="AA43" s="31">
        <f t="shared" si="3"/>
        <v>3351010</v>
      </c>
    </row>
    <row r="44" spans="1:27" ht="13">
      <c r="A44" s="9">
        <v>42</v>
      </c>
      <c r="B44" s="54" t="s">
        <v>735</v>
      </c>
      <c r="C44">
        <v>1.2605042016806722</v>
      </c>
      <c r="D44" s="55">
        <v>1299</v>
      </c>
      <c r="E44" s="54">
        <v>600</v>
      </c>
      <c r="F44" s="54">
        <v>476</v>
      </c>
      <c r="G44" s="56">
        <v>100</v>
      </c>
      <c r="H44" s="56">
        <v>140</v>
      </c>
      <c r="I44" s="54">
        <v>165470</v>
      </c>
      <c r="J44" s="54">
        <v>7546000000</v>
      </c>
      <c r="K44" s="54">
        <v>25150000</v>
      </c>
      <c r="L44" s="54">
        <v>33250000</v>
      </c>
      <c r="M44" s="54">
        <v>213.5</v>
      </c>
      <c r="N44" s="54">
        <v>50390</v>
      </c>
      <c r="O44" s="54">
        <v>2544000000</v>
      </c>
      <c r="P44" s="54">
        <v>10690000</v>
      </c>
      <c r="Q44" s="54">
        <v>16670000</v>
      </c>
      <c r="R44" s="56">
        <v>124</v>
      </c>
      <c r="S44" s="54">
        <v>398</v>
      </c>
      <c r="T44" s="54">
        <v>943612000</v>
      </c>
      <c r="U44" s="243">
        <v>134577600000000</v>
      </c>
      <c r="V44" s="4">
        <v>133470</v>
      </c>
      <c r="W44" s="4">
        <v>15</v>
      </c>
      <c r="X44" s="31" t="str">
        <f>IF(C44&lt;=1.2,IF(H44&lt;=100,IF(Calcul!$AG$2=460,"a","b"),IF(Calcul!$AG$2=460,"c","d")),IF(H44&lt;=40,IF(Calcul!$AG$2=460,"a0","a"),IF(Calcul!$AG$2=460,"a","b")))</f>
        <v>b</v>
      </c>
      <c r="Y44" s="31" t="str">
        <f>IF(C44&lt;=1.2,IF(H44&lt;=100,IF(Calcul!$AG$2=460,"a","c"),IF(Calcul!$AG$2=460,"c","d")),IF(H44&lt;=40,IF(Calcul!$AG$2=460,"a0","b"),IF(Calcul!$AG$2=460,"a","c")))</f>
        <v>c</v>
      </c>
      <c r="Z44" s="156">
        <f t="shared" si="2"/>
        <v>16622327.839719633</v>
      </c>
      <c r="AA44" s="31">
        <f t="shared" si="3"/>
        <v>3669330</v>
      </c>
    </row>
    <row r="45" spans="1:27" ht="13">
      <c r="A45" s="9">
        <v>43</v>
      </c>
      <c r="B45" s="54" t="s">
        <v>736</v>
      </c>
      <c r="C45">
        <v>1.0013140604467807</v>
      </c>
      <c r="D45" s="55">
        <v>23</v>
      </c>
      <c r="E45" s="54">
        <v>152.4</v>
      </c>
      <c r="F45" s="54">
        <v>152.19999999999999</v>
      </c>
      <c r="G45" s="56">
        <v>5.8</v>
      </c>
      <c r="H45" s="56">
        <v>6.8</v>
      </c>
      <c r="I45" s="54">
        <v>2920</v>
      </c>
      <c r="J45" s="54">
        <v>12500000</v>
      </c>
      <c r="K45" s="54">
        <v>164000</v>
      </c>
      <c r="L45" s="54">
        <v>182000</v>
      </c>
      <c r="M45" s="54">
        <v>65.400000000000006</v>
      </c>
      <c r="N45" s="54">
        <v>998.32000000000039</v>
      </c>
      <c r="O45" s="54">
        <v>3999000</v>
      </c>
      <c r="P45" s="54">
        <v>52550</v>
      </c>
      <c r="Q45" s="54">
        <v>80160</v>
      </c>
      <c r="R45" s="56">
        <v>37</v>
      </c>
      <c r="S45" s="54"/>
      <c r="T45" s="54">
        <v>46900</v>
      </c>
      <c r="U45" s="243">
        <v>21194060159.999996</v>
      </c>
      <c r="V45" s="4">
        <v>2114.96</v>
      </c>
      <c r="W45" s="4">
        <v>8</v>
      </c>
      <c r="X45" s="31" t="str">
        <f>IF(C45&lt;=1.2,IF(H45&lt;=100,IF(Calcul!$AG$2=460,"a","b"),IF(Calcul!$AG$2=460,"c","d")),IF(H45&lt;=40,IF(Calcul!$AG$2=460,"a0","a"),IF(Calcul!$AG$2=460,"a","b")))</f>
        <v>b</v>
      </c>
      <c r="Y45" s="31" t="str">
        <f>IF(C45&lt;=1.2,IF(H45&lt;=100,IF(Calcul!$AG$2=460,"a","c"),IF(Calcul!$AG$2=460,"c","d")),IF(H45&lt;=40,IF(Calcul!$AG$2=460,"a0","b"),IF(Calcul!$AG$2=460,"a","c")))</f>
        <v>c</v>
      </c>
      <c r="Z45" s="156">
        <f t="shared" si="2"/>
        <v>91169.808022147787</v>
      </c>
      <c r="AA45" s="31">
        <f t="shared" si="3"/>
        <v>19286.159999999993</v>
      </c>
    </row>
    <row r="46" spans="1:27" ht="13">
      <c r="A46" s="9">
        <v>44</v>
      </c>
      <c r="B46" s="54" t="s">
        <v>737</v>
      </c>
      <c r="C46">
        <v>1.0307390451275342</v>
      </c>
      <c r="D46" s="55">
        <v>30</v>
      </c>
      <c r="E46" s="54">
        <v>157.6</v>
      </c>
      <c r="F46" s="54">
        <v>152.9</v>
      </c>
      <c r="G46" s="56">
        <v>6.5</v>
      </c>
      <c r="H46" s="56">
        <v>9.4</v>
      </c>
      <c r="I46" s="54">
        <v>3830</v>
      </c>
      <c r="J46" s="54">
        <v>17480000</v>
      </c>
      <c r="K46" s="54">
        <v>221800</v>
      </c>
      <c r="L46" s="54">
        <v>247700</v>
      </c>
      <c r="M46" s="54">
        <v>67.599999999999994</v>
      </c>
      <c r="N46" s="54">
        <v>1166.9799999999996</v>
      </c>
      <c r="O46" s="54">
        <v>5605000</v>
      </c>
      <c r="P46" s="54">
        <v>73310</v>
      </c>
      <c r="Q46" s="54">
        <v>111600</v>
      </c>
      <c r="R46" s="56">
        <v>38.299999999999997</v>
      </c>
      <c r="S46" s="54"/>
      <c r="T46" s="54">
        <v>106000</v>
      </c>
      <c r="U46" s="243">
        <v>30775990049.999996</v>
      </c>
      <c r="V46" s="4">
        <v>2927.8</v>
      </c>
      <c r="W46" s="4">
        <v>8</v>
      </c>
      <c r="X46" s="31" t="str">
        <f>IF(C46&lt;=1.2,IF(H46&lt;=100,IF(Calcul!$AG$2=460,"a","b"),IF(Calcul!$AG$2=460,"c","d")),IF(H46&lt;=40,IF(Calcul!$AG$2=460,"a0","a"),IF(Calcul!$AG$2=460,"a","b")))</f>
        <v>b</v>
      </c>
      <c r="Y46" s="31" t="str">
        <f>IF(C46&lt;=1.2,IF(H46&lt;=100,IF(Calcul!$AG$2=460,"a","c"),IF(Calcul!$AG$2=460,"c","d")),IF(H46&lt;=40,IF(Calcul!$AG$2=460,"a0","b"),IF(Calcul!$AG$2=460,"a","c")))</f>
        <v>c</v>
      </c>
      <c r="Z46" s="156">
        <f t="shared" si="2"/>
        <v>124011.41202214781</v>
      </c>
      <c r="AA46" s="31">
        <f t="shared" si="3"/>
        <v>26874.788000000004</v>
      </c>
    </row>
    <row r="47" spans="1:27" ht="13">
      <c r="A47" s="9">
        <v>45</v>
      </c>
      <c r="B47" s="54" t="s">
        <v>738</v>
      </c>
      <c r="C47">
        <v>1.0479274611398963</v>
      </c>
      <c r="D47" s="55">
        <v>37</v>
      </c>
      <c r="E47" s="54">
        <v>161.80000000000001</v>
      </c>
      <c r="F47" s="54">
        <v>154.4</v>
      </c>
      <c r="G47" s="56">
        <v>8</v>
      </c>
      <c r="H47" s="56">
        <v>11.5</v>
      </c>
      <c r="I47" s="54">
        <v>4710</v>
      </c>
      <c r="J47" s="54">
        <v>22100000</v>
      </c>
      <c r="K47" s="54">
        <v>273200</v>
      </c>
      <c r="L47" s="54">
        <v>308800</v>
      </c>
      <c r="M47" s="54">
        <v>68.5</v>
      </c>
      <c r="N47" s="54">
        <v>1434.7999999999997</v>
      </c>
      <c r="O47" s="54">
        <v>7062000</v>
      </c>
      <c r="P47" s="54">
        <v>91480</v>
      </c>
      <c r="Q47" s="54">
        <v>139600</v>
      </c>
      <c r="R47" s="56">
        <v>38.700000000000003</v>
      </c>
      <c r="S47" s="54"/>
      <c r="T47" s="54">
        <v>193000</v>
      </c>
      <c r="U47" s="243">
        <v>39882803895.000008</v>
      </c>
      <c r="V47" s="4">
        <v>3599.6</v>
      </c>
      <c r="W47" s="4">
        <v>8</v>
      </c>
      <c r="X47" s="31" t="str">
        <f>IF(C47&lt;=1.2,IF(H47&lt;=100,IF(Calcul!$AG$2=460,"a","b"),IF(Calcul!$AG$2=460,"c","d")),IF(H47&lt;=40,IF(Calcul!$AG$2=460,"a0","a"),IF(Calcul!$AG$2=460,"a","b")))</f>
        <v>b</v>
      </c>
      <c r="Y47" s="31" t="str">
        <f>IF(C47&lt;=1.2,IF(H47&lt;=100,IF(Calcul!$AG$2=460,"a","c"),IF(Calcul!$AG$2=460,"c","d")),IF(H47&lt;=40,IF(Calcul!$AG$2=460,"a0","b"),IF(Calcul!$AG$2=460,"a","c")))</f>
        <v>c</v>
      </c>
      <c r="Z47" s="156">
        <f t="shared" si="2"/>
        <v>154559.05602214782</v>
      </c>
      <c r="AA47" s="31">
        <f t="shared" si="3"/>
        <v>33441.08</v>
      </c>
    </row>
    <row r="48" spans="1:27" ht="13">
      <c r="A48" s="9">
        <v>46</v>
      </c>
      <c r="B48" s="54" t="s">
        <v>739</v>
      </c>
      <c r="C48">
        <v>1.0647851186658113</v>
      </c>
      <c r="D48" s="55">
        <v>44</v>
      </c>
      <c r="E48" s="54">
        <v>166</v>
      </c>
      <c r="F48" s="54">
        <v>155.9</v>
      </c>
      <c r="G48" s="56">
        <v>9.5</v>
      </c>
      <c r="H48" s="56">
        <v>13.6</v>
      </c>
      <c r="I48" s="54">
        <v>5610</v>
      </c>
      <c r="J48" s="54">
        <v>27060000</v>
      </c>
      <c r="K48" s="54">
        <v>326000</v>
      </c>
      <c r="L48" s="54">
        <v>372600</v>
      </c>
      <c r="M48" s="54">
        <v>69.400000000000006</v>
      </c>
      <c r="N48" s="54">
        <v>1716.3199999999995</v>
      </c>
      <c r="O48" s="54">
        <v>8601000</v>
      </c>
      <c r="P48" s="54">
        <v>110300</v>
      </c>
      <c r="Q48" s="54">
        <v>168800</v>
      </c>
      <c r="R48" s="56">
        <v>39.1</v>
      </c>
      <c r="S48" s="54"/>
      <c r="T48" s="54">
        <v>325000</v>
      </c>
      <c r="U48" s="243">
        <v>49941190440.000008</v>
      </c>
      <c r="V48" s="4">
        <v>4291.3999999999996</v>
      </c>
      <c r="W48" s="4">
        <v>8</v>
      </c>
      <c r="X48" s="31" t="str">
        <f>IF(C48&lt;=1.2,IF(H48&lt;=100,IF(Calcul!$AG$2=460,"a","b"),IF(Calcul!$AG$2=460,"c","d")),IF(H48&lt;=40,IF(Calcul!$AG$2=460,"a0","a"),IF(Calcul!$AG$2=460,"a","b")))</f>
        <v>b</v>
      </c>
      <c r="Y48" s="31" t="str">
        <f>IF(C48&lt;=1.2,IF(H48&lt;=100,IF(Calcul!$AG$2=460,"a","c"),IF(Calcul!$AG$2=460,"c","d")),IF(H48&lt;=40,IF(Calcul!$AG$2=460,"a0","b"),IF(Calcul!$AG$2=460,"a","c")))</f>
        <v>c</v>
      </c>
      <c r="Z48" s="156">
        <f t="shared" si="2"/>
        <v>186297.27402214782</v>
      </c>
      <c r="AA48" s="31">
        <f t="shared" si="3"/>
        <v>40212.752</v>
      </c>
    </row>
    <row r="49" spans="1:27" ht="13">
      <c r="A49" s="9">
        <v>47</v>
      </c>
      <c r="B49" s="54" t="s">
        <v>740</v>
      </c>
      <c r="C49">
        <v>1.0813214739517152</v>
      </c>
      <c r="D49" s="55">
        <v>51</v>
      </c>
      <c r="E49" s="54">
        <v>170.2</v>
      </c>
      <c r="F49" s="54">
        <v>157.4</v>
      </c>
      <c r="G49" s="56">
        <v>11</v>
      </c>
      <c r="H49" s="56">
        <v>15.7</v>
      </c>
      <c r="I49" s="54">
        <v>6520</v>
      </c>
      <c r="J49" s="54">
        <v>32300000</v>
      </c>
      <c r="K49" s="54">
        <v>379500</v>
      </c>
      <c r="L49" s="54">
        <v>438500</v>
      </c>
      <c r="M49" s="54">
        <v>70.400000000000006</v>
      </c>
      <c r="N49" s="54">
        <v>2001.5400000000004</v>
      </c>
      <c r="O49" s="54">
        <v>10220000</v>
      </c>
      <c r="P49" s="54">
        <v>129900</v>
      </c>
      <c r="Q49" s="54">
        <v>199100</v>
      </c>
      <c r="R49" s="56">
        <v>39.6</v>
      </c>
      <c r="S49" s="54"/>
      <c r="T49" s="54">
        <v>500000</v>
      </c>
      <c r="U49" s="243">
        <v>60988488750</v>
      </c>
      <c r="V49" s="4">
        <v>4993.2000000000007</v>
      </c>
      <c r="W49" s="4">
        <v>8</v>
      </c>
      <c r="X49" s="31" t="str">
        <f>IF(C49&lt;=1.2,IF(H49&lt;=100,IF(Calcul!$AG$2=460,"a","b"),IF(Calcul!$AG$2=460,"c","d")),IF(H49&lt;=40,IF(Calcul!$AG$2=460,"a0","a"),IF(Calcul!$AG$2=460,"a","b")))</f>
        <v>b</v>
      </c>
      <c r="Y49" s="31" t="str">
        <f>IF(C49&lt;=1.2,IF(H49&lt;=100,IF(Calcul!$AG$2=460,"a","c"),IF(Calcul!$AG$2=460,"c","d")),IF(H49&lt;=40,IF(Calcul!$AG$2=460,"a0","b"),IF(Calcul!$AG$2=460,"a","c")))</f>
        <v>c</v>
      </c>
      <c r="Z49" s="156">
        <f t="shared" si="2"/>
        <v>219245.91102214777</v>
      </c>
      <c r="AA49" s="31">
        <f t="shared" si="3"/>
        <v>47189.804000000004</v>
      </c>
    </row>
    <row r="50" spans="1:27" ht="13">
      <c r="A50" s="9">
        <v>48</v>
      </c>
      <c r="B50" s="54" t="s">
        <v>741</v>
      </c>
      <c r="C50">
        <v>0.99803536345776034</v>
      </c>
      <c r="D50" s="55">
        <v>46.1</v>
      </c>
      <c r="E50" s="54">
        <v>203.2</v>
      </c>
      <c r="F50" s="54">
        <v>203.6</v>
      </c>
      <c r="G50" s="56">
        <v>7.2</v>
      </c>
      <c r="H50" s="56">
        <v>11</v>
      </c>
      <c r="I50" s="54">
        <v>5870</v>
      </c>
      <c r="J50" s="54">
        <v>45680000</v>
      </c>
      <c r="K50" s="54">
        <v>449600</v>
      </c>
      <c r="L50" s="54">
        <v>497400</v>
      </c>
      <c r="M50" s="54">
        <v>88.2</v>
      </c>
      <c r="N50" s="54">
        <v>1690.0000000000002</v>
      </c>
      <c r="O50" s="54">
        <v>15480000</v>
      </c>
      <c r="P50" s="54">
        <v>152100</v>
      </c>
      <c r="Q50" s="54">
        <v>230900</v>
      </c>
      <c r="R50" s="56">
        <v>51.3</v>
      </c>
      <c r="S50" s="54"/>
      <c r="T50" s="54">
        <v>221000</v>
      </c>
      <c r="U50" s="243">
        <v>142961050800</v>
      </c>
      <c r="V50" s="4">
        <v>4565.3600000000006</v>
      </c>
      <c r="W50" s="4">
        <v>10</v>
      </c>
      <c r="X50" s="31" t="str">
        <f>IF(C50&lt;=1.2,IF(H50&lt;=100,IF(Calcul!$AG$2=460,"a","b"),IF(Calcul!$AG$2=460,"c","d")),IF(H50&lt;=40,IF(Calcul!$AG$2=460,"a0","a"),IF(Calcul!$AG$2=460,"a","b")))</f>
        <v>b</v>
      </c>
      <c r="Y50" s="31" t="str">
        <f>IF(C50&lt;=1.2,IF(H50&lt;=100,IF(Calcul!$AG$2=460,"a","c"),IF(Calcul!$AG$2=460,"c","d")),IF(H50&lt;=40,IF(Calcul!$AG$2=460,"a0","b"),IF(Calcul!$AG$2=460,"a","c")))</f>
        <v>c</v>
      </c>
      <c r="Z50" s="156">
        <f t="shared" si="2"/>
        <v>248568.39164494135</v>
      </c>
      <c r="AA50" s="31">
        <f t="shared" si="3"/>
        <v>55980.540000000008</v>
      </c>
    </row>
    <row r="51" spans="1:27" ht="13">
      <c r="A51" s="9">
        <v>49</v>
      </c>
      <c r="B51" s="54" t="s">
        <v>742</v>
      </c>
      <c r="C51">
        <v>1.009300048947626</v>
      </c>
      <c r="D51" s="55">
        <v>52</v>
      </c>
      <c r="E51" s="54">
        <v>206.2</v>
      </c>
      <c r="F51" s="54">
        <v>204.3</v>
      </c>
      <c r="G51" s="56">
        <v>7.9</v>
      </c>
      <c r="H51" s="56">
        <v>12.5</v>
      </c>
      <c r="I51" s="54">
        <v>6630</v>
      </c>
      <c r="J51" s="54">
        <v>52590000</v>
      </c>
      <c r="K51" s="54">
        <v>510100</v>
      </c>
      <c r="L51" s="54">
        <v>567400</v>
      </c>
      <c r="M51" s="54">
        <v>89.1</v>
      </c>
      <c r="N51" s="54">
        <v>1871.25</v>
      </c>
      <c r="O51" s="54">
        <v>17780000</v>
      </c>
      <c r="P51" s="54">
        <v>174000</v>
      </c>
      <c r="Q51" s="54">
        <v>264200</v>
      </c>
      <c r="R51" s="56">
        <v>51.8</v>
      </c>
      <c r="S51" s="54"/>
      <c r="T51" s="54">
        <v>317000</v>
      </c>
      <c r="U51" s="243">
        <v>166775022049.99997</v>
      </c>
      <c r="V51" s="4">
        <v>5198.5200000000004</v>
      </c>
      <c r="W51" s="4">
        <v>10</v>
      </c>
      <c r="X51" s="31" t="str">
        <f>IF(C51&lt;=1.2,IF(H51&lt;=100,IF(Calcul!$AG$2=460,"a","b"),IF(Calcul!$AG$2=460,"c","d")),IF(H51&lt;=40,IF(Calcul!$AG$2=460,"a0","a"),IF(Calcul!$AG$2=460,"a","b")))</f>
        <v>b</v>
      </c>
      <c r="Y51" s="31" t="str">
        <f>IF(C51&lt;=1.2,IF(H51&lt;=100,IF(Calcul!$AG$2=460,"a","c"),IF(Calcul!$AG$2=460,"c","d")),IF(H51&lt;=40,IF(Calcul!$AG$2=460,"a0","b"),IF(Calcul!$AG$2=460,"a","c")))</f>
        <v>c</v>
      </c>
      <c r="Z51" s="156">
        <f t="shared" si="2"/>
        <v>283546.44514494139</v>
      </c>
      <c r="AA51" s="31">
        <f t="shared" si="3"/>
        <v>64000.125</v>
      </c>
    </row>
    <row r="52" spans="1:27" ht="13">
      <c r="A52" s="9">
        <v>50</v>
      </c>
      <c r="B52" s="54" t="s">
        <v>743</v>
      </c>
      <c r="C52">
        <v>1.0184645286686103</v>
      </c>
      <c r="D52" s="55">
        <v>60</v>
      </c>
      <c r="E52" s="54">
        <v>209.6</v>
      </c>
      <c r="F52" s="54">
        <v>205.8</v>
      </c>
      <c r="G52" s="56">
        <v>9.4</v>
      </c>
      <c r="H52" s="56">
        <v>14.2</v>
      </c>
      <c r="I52" s="54">
        <v>7640</v>
      </c>
      <c r="J52" s="54">
        <v>61250000</v>
      </c>
      <c r="K52" s="54">
        <v>584400</v>
      </c>
      <c r="L52" s="54">
        <v>656100</v>
      </c>
      <c r="M52" s="54">
        <v>89.6</v>
      </c>
      <c r="N52" s="54">
        <v>2212.7599999999998</v>
      </c>
      <c r="O52" s="54">
        <v>20650000</v>
      </c>
      <c r="P52" s="54">
        <v>200600</v>
      </c>
      <c r="Q52" s="54">
        <v>305300</v>
      </c>
      <c r="R52" s="56">
        <v>52</v>
      </c>
      <c r="S52" s="54"/>
      <c r="T52" s="54">
        <v>471000</v>
      </c>
      <c r="U52" s="243">
        <v>197110238500.00003</v>
      </c>
      <c r="V52" s="4">
        <v>5936.72</v>
      </c>
      <c r="W52" s="4">
        <v>10</v>
      </c>
      <c r="X52" s="31" t="str">
        <f>IF(C52&lt;=1.2,IF(H52&lt;=100,IF(Calcul!$AG$2=460,"a","b"),IF(Calcul!$AG$2=460,"c","d")),IF(H52&lt;=40,IF(Calcul!$AG$2=460,"a0","a"),IF(Calcul!$AG$2=460,"a","b")))</f>
        <v>b</v>
      </c>
      <c r="Y52" s="31" t="str">
        <f>IF(C52&lt;=1.2,IF(H52&lt;=100,IF(Calcul!$AG$2=460,"a","c"),IF(Calcul!$AG$2=460,"c","d")),IF(H52&lt;=40,IF(Calcul!$AG$2=460,"a0","b"),IF(Calcul!$AG$2=460,"a","c")))</f>
        <v>c</v>
      </c>
      <c r="Z52" s="156">
        <f t="shared" si="2"/>
        <v>327886.59964494139</v>
      </c>
      <c r="AA52" s="31">
        <f t="shared" si="3"/>
        <v>73643.472000000009</v>
      </c>
    </row>
    <row r="53" spans="1:27" ht="13">
      <c r="A53" s="9">
        <v>51</v>
      </c>
      <c r="B53" s="54" t="s">
        <v>744</v>
      </c>
      <c r="C53">
        <v>1.0455426356589148</v>
      </c>
      <c r="D53" s="55">
        <v>71</v>
      </c>
      <c r="E53" s="54">
        <v>215.8</v>
      </c>
      <c r="F53" s="54">
        <v>206.4</v>
      </c>
      <c r="G53" s="56">
        <v>10</v>
      </c>
      <c r="H53" s="56">
        <v>17.3</v>
      </c>
      <c r="I53" s="54">
        <v>9040</v>
      </c>
      <c r="J53" s="54">
        <v>76180000</v>
      </c>
      <c r="K53" s="54">
        <v>706000</v>
      </c>
      <c r="L53" s="54">
        <v>798800</v>
      </c>
      <c r="M53" s="54">
        <v>91.8</v>
      </c>
      <c r="N53" s="54">
        <v>2417.5599999999995</v>
      </c>
      <c r="O53" s="54">
        <v>25370000</v>
      </c>
      <c r="P53" s="54">
        <v>245900</v>
      </c>
      <c r="Q53" s="54">
        <v>373700</v>
      </c>
      <c r="R53" s="56">
        <v>53</v>
      </c>
      <c r="S53" s="54"/>
      <c r="T53" s="54">
        <v>801000</v>
      </c>
      <c r="U53" s="243">
        <v>249908770625</v>
      </c>
      <c r="V53" s="4">
        <v>7228</v>
      </c>
      <c r="W53" s="4">
        <v>10</v>
      </c>
      <c r="X53" s="31" t="str">
        <f>IF(C53&lt;=1.2,IF(H53&lt;=100,IF(Calcul!$AG$2=460,"a","b"),IF(Calcul!$AG$2=460,"c","d")),IF(H53&lt;=40,IF(Calcul!$AG$2=460,"a0","a"),IF(Calcul!$AG$2=460,"a","b")))</f>
        <v>b</v>
      </c>
      <c r="Y53" s="31" t="str">
        <f>IF(C53&lt;=1.2,IF(H53&lt;=100,IF(Calcul!$AG$2=460,"a","c"),IF(Calcul!$AG$2=460,"c","d")),IF(H53&lt;=40,IF(Calcul!$AG$2=460,"a0","b"),IF(Calcul!$AG$2=460,"a","c")))</f>
        <v>c</v>
      </c>
      <c r="Z53" s="156">
        <f t="shared" si="2"/>
        <v>399228.4956449414</v>
      </c>
      <c r="AA53" s="31">
        <f t="shared" si="3"/>
        <v>90178.326000000015</v>
      </c>
    </row>
    <row r="54" spans="1:27" ht="13">
      <c r="A54" s="9">
        <v>52</v>
      </c>
      <c r="B54" s="54" t="s">
        <v>745</v>
      </c>
      <c r="C54">
        <v>1.0626494500239119</v>
      </c>
      <c r="D54" s="55">
        <v>86.1</v>
      </c>
      <c r="E54" s="54">
        <v>222.2</v>
      </c>
      <c r="F54" s="54">
        <v>209.1</v>
      </c>
      <c r="G54" s="56">
        <v>12.7</v>
      </c>
      <c r="H54" s="56">
        <v>20.5</v>
      </c>
      <c r="I54" s="54">
        <v>10960</v>
      </c>
      <c r="J54" s="54">
        <v>94490000</v>
      </c>
      <c r="K54" s="54">
        <v>850500</v>
      </c>
      <c r="L54" s="54">
        <v>976700</v>
      </c>
      <c r="M54" s="54">
        <v>92.8</v>
      </c>
      <c r="N54" s="54">
        <v>3057.2499999999995</v>
      </c>
      <c r="O54" s="54">
        <v>31270000</v>
      </c>
      <c r="P54" s="54">
        <v>299100</v>
      </c>
      <c r="Q54" s="54">
        <v>456200</v>
      </c>
      <c r="R54" s="56">
        <v>53.4</v>
      </c>
      <c r="S54" s="54"/>
      <c r="T54" s="54">
        <v>1370000</v>
      </c>
      <c r="U54" s="243">
        <v>318038492574.99994</v>
      </c>
      <c r="V54" s="4">
        <v>8658.76</v>
      </c>
      <c r="W54" s="4">
        <v>10</v>
      </c>
      <c r="X54" s="31" t="str">
        <f>IF(C54&lt;=1.2,IF(H54&lt;=100,IF(Calcul!$AG$2=460,"a","b"),IF(Calcul!$AG$2=460,"c","d")),IF(H54&lt;=40,IF(Calcul!$AG$2=460,"a0","a"),IF(Calcul!$AG$2=460,"a","b")))</f>
        <v>b</v>
      </c>
      <c r="Y54" s="31" t="str">
        <f>IF(C54&lt;=1.2,IF(H54&lt;=100,IF(Calcul!$AG$2=460,"a","c"),IF(Calcul!$AG$2=460,"c","d")),IF(H54&lt;=40,IF(Calcul!$AG$2=460,"a0","b"),IF(Calcul!$AG$2=460,"a","c")))</f>
        <v>c</v>
      </c>
      <c r="Z54" s="156">
        <f t="shared" si="2"/>
        <v>488214.38914494135</v>
      </c>
      <c r="AA54" s="31">
        <f t="shared" si="3"/>
        <v>109299.64500000002</v>
      </c>
    </row>
    <row r="55" spans="1:27" ht="13">
      <c r="A55" s="9">
        <v>53</v>
      </c>
      <c r="B55" s="54" t="s">
        <v>746</v>
      </c>
      <c r="C55">
        <v>1.0904761904761904</v>
      </c>
      <c r="D55" s="55">
        <v>100</v>
      </c>
      <c r="E55" s="54">
        <v>229</v>
      </c>
      <c r="F55" s="54">
        <v>210</v>
      </c>
      <c r="G55" s="56">
        <v>14.5</v>
      </c>
      <c r="H55" s="56">
        <v>23.7</v>
      </c>
      <c r="I55" s="54">
        <v>12670</v>
      </c>
      <c r="J55" s="54">
        <v>113300000</v>
      </c>
      <c r="K55" s="54">
        <v>989100</v>
      </c>
      <c r="L55" s="54">
        <v>1149000</v>
      </c>
      <c r="M55" s="54">
        <v>94.5</v>
      </c>
      <c r="N55" s="54">
        <v>3533.65</v>
      </c>
      <c r="O55" s="54">
        <v>36630000</v>
      </c>
      <c r="P55" s="54">
        <v>348900</v>
      </c>
      <c r="Q55" s="54">
        <v>532900</v>
      </c>
      <c r="R55" s="56">
        <v>53.8</v>
      </c>
      <c r="S55" s="54"/>
      <c r="T55" s="54">
        <v>2090000</v>
      </c>
      <c r="U55" s="243">
        <v>385971134175.00006</v>
      </c>
      <c r="V55" s="4">
        <v>10036.799999999999</v>
      </c>
      <c r="W55" s="4">
        <v>10</v>
      </c>
      <c r="X55" s="31" t="str">
        <f>IF(C55&lt;=1.2,IF(H55&lt;=100,IF(Calcul!$AG$2=460,"a","b"),IF(Calcul!$AG$2=460,"c","d")),IF(H55&lt;=40,IF(Calcul!$AG$2=460,"a0","a"),IF(Calcul!$AG$2=460,"a","b")))</f>
        <v>b</v>
      </c>
      <c r="Y55" s="31" t="str">
        <f>IF(C55&lt;=1.2,IF(H55&lt;=100,IF(Calcul!$AG$2=460,"a","c"),IF(Calcul!$AG$2=460,"c","d")),IF(H55&lt;=40,IF(Calcul!$AG$2=460,"a0","b"),IF(Calcul!$AG$2=460,"a","c")))</f>
        <v>c</v>
      </c>
      <c r="Z55" s="156">
        <f t="shared" si="2"/>
        <v>574464.00971840555</v>
      </c>
      <c r="AA55" s="31">
        <f t="shared" si="3"/>
        <v>127120.13437499999</v>
      </c>
    </row>
    <row r="56" spans="1:27" ht="13">
      <c r="A56" s="9">
        <v>54</v>
      </c>
      <c r="B56" s="54" t="s">
        <v>747</v>
      </c>
      <c r="C56">
        <v>0.99803613511390421</v>
      </c>
      <c r="D56" s="55">
        <v>73.099999999999994</v>
      </c>
      <c r="E56" s="54">
        <v>254.1</v>
      </c>
      <c r="F56" s="54">
        <v>254.6</v>
      </c>
      <c r="G56" s="56">
        <v>8.6</v>
      </c>
      <c r="H56" s="56">
        <v>14.2</v>
      </c>
      <c r="I56" s="54">
        <v>9310</v>
      </c>
      <c r="J56" s="54">
        <v>114100000</v>
      </c>
      <c r="K56" s="54">
        <v>897900</v>
      </c>
      <c r="L56" s="54">
        <v>992100</v>
      </c>
      <c r="M56" s="54">
        <v>110.7</v>
      </c>
      <c r="N56" s="54">
        <v>2570.6800000000007</v>
      </c>
      <c r="O56" s="54">
        <v>39080000</v>
      </c>
      <c r="P56" s="54">
        <v>307000</v>
      </c>
      <c r="Q56" s="54">
        <v>465400</v>
      </c>
      <c r="R56" s="56">
        <v>64.8</v>
      </c>
      <c r="S56" s="54"/>
      <c r="T56" s="54">
        <v>579000</v>
      </c>
      <c r="U56" s="243">
        <v>562283137700</v>
      </c>
      <c r="V56" s="4">
        <v>7368.9800000000005</v>
      </c>
      <c r="W56" s="4">
        <v>13</v>
      </c>
      <c r="X56" s="31" t="str">
        <f>IF(C56&lt;=1.2,IF(H56&lt;=100,IF(Calcul!$AG$2=460,"a","b"),IF(Calcul!$AG$2=460,"c","d")),IF(H56&lt;=40,IF(Calcul!$AG$2=460,"a0","a"),IF(Calcul!$AG$2=460,"a","b")))</f>
        <v>b</v>
      </c>
      <c r="Y56" s="31" t="str">
        <f>IF(C56&lt;=1.2,IF(H56&lt;=100,IF(Calcul!$AG$2=460,"a","c"),IF(Calcul!$AG$2=460,"c","d")),IF(H56&lt;=40,IF(Calcul!$AG$2=460,"a0","b"),IF(Calcul!$AG$2=460,"a","c")))</f>
        <v>c</v>
      </c>
      <c r="Z56" s="156">
        <f t="shared" si="2"/>
        <v>496393.70133753185</v>
      </c>
      <c r="AA56" s="31">
        <f t="shared" si="3"/>
        <v>112932.59999999998</v>
      </c>
    </row>
    <row r="57" spans="1:27" ht="13">
      <c r="A57" s="9">
        <v>55</v>
      </c>
      <c r="B57" s="54" t="s">
        <v>748</v>
      </c>
      <c r="C57">
        <v>1.0156067108856808</v>
      </c>
      <c r="D57" s="55">
        <v>88.9</v>
      </c>
      <c r="E57" s="54">
        <v>260.3</v>
      </c>
      <c r="F57" s="54">
        <v>256.3</v>
      </c>
      <c r="G57" s="56">
        <v>10.3</v>
      </c>
      <c r="H57" s="56">
        <v>17.3</v>
      </c>
      <c r="I57" s="54">
        <v>11330</v>
      </c>
      <c r="J57" s="54">
        <v>142700000</v>
      </c>
      <c r="K57" s="54">
        <v>1096000</v>
      </c>
      <c r="L57" s="54">
        <v>1224000</v>
      </c>
      <c r="M57" s="54">
        <v>112.2</v>
      </c>
      <c r="N57" s="54">
        <v>3090.0099999999984</v>
      </c>
      <c r="O57" s="54">
        <v>48570000</v>
      </c>
      <c r="P57" s="54">
        <v>379000</v>
      </c>
      <c r="Q57" s="54">
        <v>575300</v>
      </c>
      <c r="R57" s="56">
        <v>65.5</v>
      </c>
      <c r="S57" s="54"/>
      <c r="T57" s="54">
        <v>1030000</v>
      </c>
      <c r="U57" s="243">
        <v>717002482500</v>
      </c>
      <c r="V57" s="4">
        <v>9005.2899999999991</v>
      </c>
      <c r="W57" s="4">
        <v>13</v>
      </c>
      <c r="X57" s="31" t="str">
        <f>IF(C57&lt;=1.2,IF(H57&lt;=100,IF(Calcul!$AG$2=460,"a","b"),IF(Calcul!$AG$2=460,"c","d")),IF(H57&lt;=40,IF(Calcul!$AG$2=460,"a0","a"),IF(Calcul!$AG$2=460,"a","b")))</f>
        <v>b</v>
      </c>
      <c r="Y57" s="31" t="str">
        <f>IF(C57&lt;=1.2,IF(H57&lt;=100,IF(Calcul!$AG$2=460,"a","c"),IF(Calcul!$AG$2=460,"c","d")),IF(H57&lt;=40,IF(Calcul!$AG$2=460,"a0","b"),IF(Calcul!$AG$2=460,"a","c")))</f>
        <v>c</v>
      </c>
      <c r="Z57" s="156">
        <f t="shared" si="2"/>
        <v>612290.70646253193</v>
      </c>
      <c r="AA57" s="31">
        <f t="shared" si="3"/>
        <v>139204.45000000001</v>
      </c>
    </row>
    <row r="58" spans="1:27" ht="13">
      <c r="A58" s="9">
        <v>56</v>
      </c>
      <c r="B58" s="54" t="s">
        <v>749</v>
      </c>
      <c r="C58">
        <v>1.0305255023183926</v>
      </c>
      <c r="D58" s="55">
        <v>107</v>
      </c>
      <c r="E58" s="54">
        <v>266.7</v>
      </c>
      <c r="F58" s="54">
        <v>258.8</v>
      </c>
      <c r="G58" s="56">
        <v>12.8</v>
      </c>
      <c r="H58" s="56">
        <v>20.5</v>
      </c>
      <c r="I58" s="54">
        <v>13640</v>
      </c>
      <c r="J58" s="54">
        <v>175100000</v>
      </c>
      <c r="K58" s="54">
        <v>1313000</v>
      </c>
      <c r="L58" s="54">
        <v>1484000</v>
      </c>
      <c r="M58" s="54">
        <v>113.3</v>
      </c>
      <c r="N58" s="54">
        <v>3824.599999999999</v>
      </c>
      <c r="O58" s="54">
        <v>59280000</v>
      </c>
      <c r="P58" s="54">
        <v>458100</v>
      </c>
      <c r="Q58" s="54">
        <v>697000</v>
      </c>
      <c r="R58" s="56">
        <v>65.900000000000006</v>
      </c>
      <c r="S58" s="54"/>
      <c r="T58" s="54">
        <v>1730000</v>
      </c>
      <c r="U58" s="243">
        <v>898306000799.99988</v>
      </c>
      <c r="V58" s="4">
        <v>10751.04</v>
      </c>
      <c r="W58" s="4">
        <v>13</v>
      </c>
      <c r="X58" s="31" t="str">
        <f>IF(C58&lt;=1.2,IF(H58&lt;=100,IF(Calcul!$AG$2=460,"a","b"),IF(Calcul!$AG$2=460,"c","d")),IF(H58&lt;=40,IF(Calcul!$AG$2=460,"a0","a"),IF(Calcul!$AG$2=460,"a","b")))</f>
        <v>b</v>
      </c>
      <c r="Y58" s="31" t="str">
        <f>IF(C58&lt;=1.2,IF(H58&lt;=100,IF(Calcul!$AG$2=460,"a","c"),IF(Calcul!$AG$2=460,"c","d")),IF(H58&lt;=40,IF(Calcul!$AG$2=460,"a0","b"),IF(Calcul!$AG$2=460,"a","c")))</f>
        <v>c</v>
      </c>
      <c r="Z58" s="156">
        <f t="shared" si="2"/>
        <v>742574.56458753184</v>
      </c>
      <c r="AA58" s="31">
        <f t="shared" si="3"/>
        <v>167772</v>
      </c>
    </row>
    <row r="59" spans="1:27" ht="13">
      <c r="A59" s="9">
        <v>57</v>
      </c>
      <c r="B59" s="54" t="s">
        <v>750</v>
      </c>
      <c r="C59">
        <v>1.0574052812858783</v>
      </c>
      <c r="D59" s="55">
        <v>132</v>
      </c>
      <c r="E59" s="54">
        <v>276.3</v>
      </c>
      <c r="F59" s="54">
        <v>261.3</v>
      </c>
      <c r="G59" s="56">
        <v>15.3</v>
      </c>
      <c r="H59" s="56">
        <v>25.3</v>
      </c>
      <c r="I59" s="54">
        <v>16810</v>
      </c>
      <c r="J59" s="54">
        <v>225300000</v>
      </c>
      <c r="K59" s="54">
        <v>1631000</v>
      </c>
      <c r="L59" s="54">
        <v>1869000</v>
      </c>
      <c r="M59" s="54">
        <v>115.8</v>
      </c>
      <c r="N59" s="54">
        <v>4633.1099999999988</v>
      </c>
      <c r="O59" s="54">
        <v>75310000</v>
      </c>
      <c r="P59" s="54">
        <v>576400</v>
      </c>
      <c r="Q59" s="54">
        <v>878400</v>
      </c>
      <c r="R59" s="56">
        <v>66.900000000000006</v>
      </c>
      <c r="S59" s="54"/>
      <c r="T59" s="54">
        <v>3190000</v>
      </c>
      <c r="U59" s="243">
        <v>1186151327500</v>
      </c>
      <c r="V59" s="4">
        <v>13356.789999999999</v>
      </c>
      <c r="W59" s="4">
        <v>13</v>
      </c>
      <c r="X59" s="31" t="str">
        <f>IF(C59&lt;=1.2,IF(H59&lt;=100,IF(Calcul!$AG$2=460,"a","b"),IF(Calcul!$AG$2=460,"c","d")),IF(H59&lt;=40,IF(Calcul!$AG$2=460,"a0","a"),IF(Calcul!$AG$2=460,"a","b")))</f>
        <v>b</v>
      </c>
      <c r="Y59" s="31" t="str">
        <f>IF(C59&lt;=1.2,IF(H59&lt;=100,IF(Calcul!$AG$2=460,"a","c"),IF(Calcul!$AG$2=460,"c","d")),IF(H59&lt;=40,IF(Calcul!$AG$2=460,"a0","b"),IF(Calcul!$AG$2=460,"a","c")))</f>
        <v>c</v>
      </c>
      <c r="Z59" s="156">
        <f t="shared" si="2"/>
        <v>935065.42271253199</v>
      </c>
      <c r="AA59" s="31">
        <f t="shared" si="3"/>
        <v>210533.95</v>
      </c>
    </row>
    <row r="60" spans="1:27" ht="13">
      <c r="A60" s="9">
        <v>58</v>
      </c>
      <c r="B60" s="54" t="s">
        <v>751</v>
      </c>
      <c r="C60">
        <v>1.0901206636500755</v>
      </c>
      <c r="D60" s="55">
        <v>167</v>
      </c>
      <c r="E60" s="54">
        <v>289.10000000000002</v>
      </c>
      <c r="F60" s="54">
        <v>265.2</v>
      </c>
      <c r="G60" s="56">
        <v>19.2</v>
      </c>
      <c r="H60" s="56">
        <v>31.7</v>
      </c>
      <c r="I60" s="54">
        <v>21290</v>
      </c>
      <c r="J60" s="54">
        <v>300000000</v>
      </c>
      <c r="K60" s="54">
        <v>2075000</v>
      </c>
      <c r="L60" s="54">
        <v>2424000</v>
      </c>
      <c r="M60" s="54">
        <v>118.7</v>
      </c>
      <c r="N60" s="54">
        <v>5909.16</v>
      </c>
      <c r="O60" s="54">
        <v>98700000</v>
      </c>
      <c r="P60" s="54">
        <v>744300</v>
      </c>
      <c r="Q60" s="54">
        <v>1137000</v>
      </c>
      <c r="R60" s="56">
        <v>68.099999999999994</v>
      </c>
      <c r="S60" s="54"/>
      <c r="T60" s="54">
        <v>6280000</v>
      </c>
      <c r="U60" s="243">
        <v>1634836203000.0005</v>
      </c>
      <c r="V60" s="4">
        <v>16956.559999999998</v>
      </c>
      <c r="W60" s="4">
        <v>13</v>
      </c>
      <c r="X60" s="31" t="str">
        <f>IF(C60&lt;=1.2,IF(H60&lt;=100,IF(Calcul!$AG$2=460,"a","b"),IF(Calcul!$AG$2=460,"c","d")),IF(H60&lt;=40,IF(Calcul!$AG$2=460,"a0","a"),IF(Calcul!$AG$2=460,"a","b")))</f>
        <v>b</v>
      </c>
      <c r="Y60" s="31" t="str">
        <f>IF(C60&lt;=1.2,IF(H60&lt;=100,IF(Calcul!$AG$2=460,"a","c"),IF(Calcul!$AG$2=460,"c","d")),IF(H60&lt;=40,IF(Calcul!$AG$2=460,"a0","b"),IF(Calcul!$AG$2=460,"a","c")))</f>
        <v>c</v>
      </c>
      <c r="Z60" s="156">
        <f t="shared" si="2"/>
        <v>1212192.524587532</v>
      </c>
      <c r="AA60" s="31">
        <f t="shared" si="3"/>
        <v>270591.19999999995</v>
      </c>
    </row>
    <row r="61" spans="1:27" ht="13">
      <c r="A61" s="9">
        <v>59</v>
      </c>
      <c r="B61" s="54" t="s">
        <v>752</v>
      </c>
      <c r="C61">
        <v>1.0085162135604322</v>
      </c>
      <c r="D61" s="55">
        <v>96.9</v>
      </c>
      <c r="E61" s="54">
        <v>307.89999999999998</v>
      </c>
      <c r="F61" s="54">
        <v>305.3</v>
      </c>
      <c r="G61" s="56">
        <v>9.9</v>
      </c>
      <c r="H61" s="56">
        <v>15.4</v>
      </c>
      <c r="I61" s="54">
        <v>12340</v>
      </c>
      <c r="J61" s="54">
        <v>222500000</v>
      </c>
      <c r="K61" s="54">
        <v>1445000</v>
      </c>
      <c r="L61" s="54">
        <v>1592000</v>
      </c>
      <c r="M61" s="54">
        <v>134.19999999999999</v>
      </c>
      <c r="N61" s="54">
        <v>3551.2200000000003</v>
      </c>
      <c r="O61" s="54">
        <v>73080000</v>
      </c>
      <c r="P61" s="54">
        <v>478700</v>
      </c>
      <c r="Q61" s="54">
        <v>726100</v>
      </c>
      <c r="R61" s="56">
        <v>76.900000000000006</v>
      </c>
      <c r="S61" s="54"/>
      <c r="T61" s="54">
        <v>910000</v>
      </c>
      <c r="U61" s="243">
        <v>1563112687500</v>
      </c>
      <c r="V61" s="4">
        <v>9596.7099999999991</v>
      </c>
      <c r="W61" s="4">
        <v>15</v>
      </c>
      <c r="X61" s="31" t="str">
        <f>IF(C61&lt;=1.2,IF(H61&lt;=100,IF(Calcul!$AG$2=460,"a","b"),IF(Calcul!$AG$2=460,"c","d")),IF(H61&lt;=40,IF(Calcul!$AG$2=460,"a0","a"),IF(Calcul!$AG$2=460,"a","b")))</f>
        <v>b</v>
      </c>
      <c r="Y61" s="31" t="str">
        <f>IF(C61&lt;=1.2,IF(H61&lt;=100,IF(Calcul!$AG$2=460,"a","c"),IF(Calcul!$AG$2=460,"c","d")),IF(H61&lt;=40,IF(Calcul!$AG$2=460,"a0","b"),IF(Calcul!$AG$2=460,"a","c")))</f>
        <v>c</v>
      </c>
      <c r="Z61" s="156">
        <f t="shared" si="2"/>
        <v>795689.02786682558</v>
      </c>
      <c r="AA61" s="31">
        <f t="shared" si="3"/>
        <v>176360.95400000006</v>
      </c>
    </row>
    <row r="62" spans="1:27" ht="13">
      <c r="A62" s="9">
        <v>60</v>
      </c>
      <c r="B62" s="54" t="s">
        <v>753</v>
      </c>
      <c r="C62">
        <v>1.0230969420949902</v>
      </c>
      <c r="D62" s="55">
        <v>118</v>
      </c>
      <c r="E62" s="54">
        <v>314.5</v>
      </c>
      <c r="F62" s="54">
        <v>307.39999999999998</v>
      </c>
      <c r="G62" s="56">
        <v>12</v>
      </c>
      <c r="H62" s="56">
        <v>18.7</v>
      </c>
      <c r="I62" s="54">
        <v>15020</v>
      </c>
      <c r="J62" s="54">
        <v>276700000</v>
      </c>
      <c r="K62" s="54">
        <v>1760000</v>
      </c>
      <c r="L62" s="54">
        <v>1958000</v>
      </c>
      <c r="M62" s="54">
        <v>135.69999999999999</v>
      </c>
      <c r="N62" s="54">
        <v>4308.6400000000012</v>
      </c>
      <c r="O62" s="54">
        <v>90590000</v>
      </c>
      <c r="P62" s="54">
        <v>589400</v>
      </c>
      <c r="Q62" s="54">
        <v>895400</v>
      </c>
      <c r="R62" s="56">
        <v>77.7</v>
      </c>
      <c r="S62" s="54"/>
      <c r="T62" s="54">
        <v>1610000</v>
      </c>
      <c r="U62" s="243">
        <v>1981602801900.0002</v>
      </c>
      <c r="V62" s="4">
        <v>11694.8</v>
      </c>
      <c r="W62" s="4">
        <v>15</v>
      </c>
      <c r="X62" s="31" t="str">
        <f>IF(C62&lt;=1.2,IF(H62&lt;=100,IF(Calcul!$AG$2=460,"a","b"),IF(Calcul!$AG$2=460,"c","d")),IF(H62&lt;=40,IF(Calcul!$AG$2=460,"a0","a"),IF(Calcul!$AG$2=460,"a","b")))</f>
        <v>b</v>
      </c>
      <c r="Y62" s="31" t="str">
        <f>IF(C62&lt;=1.2,IF(H62&lt;=100,IF(Calcul!$AG$2=460,"a","c"),IF(Calcul!$AG$2=460,"c","d")),IF(H62&lt;=40,IF(Calcul!$AG$2=460,"a0","b"),IF(Calcul!$AG$2=460,"a","c")))</f>
        <v>c</v>
      </c>
      <c r="Z62" s="156">
        <f t="shared" si="2"/>
        <v>978418.41249182564</v>
      </c>
      <c r="AA62" s="31">
        <f t="shared" si="3"/>
        <v>216758.15149999998</v>
      </c>
    </row>
    <row r="63" spans="1:27" ht="13">
      <c r="A63" s="9">
        <v>61</v>
      </c>
      <c r="B63" s="54" t="s">
        <v>754</v>
      </c>
      <c r="C63">
        <v>1.0365459249676585</v>
      </c>
      <c r="D63" s="55">
        <v>137</v>
      </c>
      <c r="E63" s="54">
        <v>320.5</v>
      </c>
      <c r="F63" s="54">
        <v>309.2</v>
      </c>
      <c r="G63" s="56">
        <v>13.8</v>
      </c>
      <c r="H63" s="56">
        <v>21.7</v>
      </c>
      <c r="I63" s="54">
        <v>17440</v>
      </c>
      <c r="J63" s="54">
        <v>328100000</v>
      </c>
      <c r="K63" s="54">
        <v>2048000</v>
      </c>
      <c r="L63" s="54">
        <v>2297000</v>
      </c>
      <c r="M63" s="54">
        <v>137.19999999999999</v>
      </c>
      <c r="N63" s="54">
        <v>4971.1800000000012</v>
      </c>
      <c r="O63" s="54">
        <v>107000000</v>
      </c>
      <c r="P63" s="54">
        <v>692100</v>
      </c>
      <c r="Q63" s="54">
        <v>1053000</v>
      </c>
      <c r="R63" s="56">
        <v>78.3</v>
      </c>
      <c r="S63" s="54"/>
      <c r="T63" s="54">
        <v>2490000</v>
      </c>
      <c r="U63" s="243">
        <v>2388278520000</v>
      </c>
      <c r="V63" s="4">
        <v>13616.02</v>
      </c>
      <c r="W63" s="4">
        <v>15</v>
      </c>
      <c r="X63" s="31" t="str">
        <f>IF(C63&lt;=1.2,IF(H63&lt;=100,IF(Calcul!$AG$2=460,"a","b"),IF(Calcul!$AG$2=460,"c","d")),IF(H63&lt;=40,IF(Calcul!$AG$2=460,"a0","a"),IF(Calcul!$AG$2=460,"a","b")))</f>
        <v>b</v>
      </c>
      <c r="Y63" s="31" t="str">
        <f>IF(C63&lt;=1.2,IF(H63&lt;=100,IF(Calcul!$AG$2=460,"a","c"),IF(Calcul!$AG$2=460,"c","d")),IF(H63&lt;=40,IF(Calcul!$AG$2=460,"a0","b"),IF(Calcul!$AG$2=460,"a","c")))</f>
        <v>c</v>
      </c>
      <c r="Z63" s="156">
        <f t="shared" si="2"/>
        <v>1147929.7187418255</v>
      </c>
      <c r="AA63" s="31">
        <f t="shared" si="3"/>
        <v>254123.81749999995</v>
      </c>
    </row>
    <row r="64" spans="1:27" ht="13">
      <c r="A64" s="9">
        <v>62</v>
      </c>
      <c r="B64" s="54" t="s">
        <v>755</v>
      </c>
      <c r="C64">
        <v>1.0510925449871467</v>
      </c>
      <c r="D64" s="55">
        <v>158</v>
      </c>
      <c r="E64" s="54">
        <v>327.10000000000002</v>
      </c>
      <c r="F64" s="54">
        <v>311.2</v>
      </c>
      <c r="G64" s="56">
        <v>15.8</v>
      </c>
      <c r="H64" s="56">
        <v>25</v>
      </c>
      <c r="I64" s="54">
        <v>20140</v>
      </c>
      <c r="J64" s="54">
        <v>387500000</v>
      </c>
      <c r="K64" s="54">
        <v>2369000</v>
      </c>
      <c r="L64" s="54">
        <v>2680000</v>
      </c>
      <c r="M64" s="54">
        <v>138.69999999999999</v>
      </c>
      <c r="N64" s="54">
        <v>5725</v>
      </c>
      <c r="O64" s="54">
        <v>125700000</v>
      </c>
      <c r="P64" s="54">
        <v>807800</v>
      </c>
      <c r="Q64" s="54">
        <v>1230000</v>
      </c>
      <c r="R64" s="56">
        <v>79</v>
      </c>
      <c r="S64" s="54"/>
      <c r="T64" s="54">
        <v>3770000</v>
      </c>
      <c r="U64" s="243">
        <v>2867984084250.0005</v>
      </c>
      <c r="V64" s="4">
        <v>15761.82</v>
      </c>
      <c r="W64" s="4">
        <v>15</v>
      </c>
      <c r="X64" s="31" t="str">
        <f>IF(C64&lt;=1.2,IF(H64&lt;=100,IF(Calcul!$AG$2=460,"a","b"),IF(Calcul!$AG$2=460,"c","d")),IF(H64&lt;=40,IF(Calcul!$AG$2=460,"a0","a"),IF(Calcul!$AG$2=460,"a","b")))</f>
        <v>b</v>
      </c>
      <c r="Y64" s="31" t="str">
        <f>IF(C64&lt;=1.2,IF(H64&lt;=100,IF(Calcul!$AG$2=460,"a","c"),IF(Calcul!$AG$2=460,"c","d")),IF(H64&lt;=40,IF(Calcul!$AG$2=460,"a0","b"),IF(Calcul!$AG$2=460,"a","c")))</f>
        <v>c</v>
      </c>
      <c r="Z64" s="156">
        <f t="shared" si="2"/>
        <v>1339874.6052418258</v>
      </c>
      <c r="AA64" s="31">
        <f t="shared" si="3"/>
        <v>296086.875</v>
      </c>
    </row>
    <row r="65" spans="1:27" ht="13">
      <c r="A65" s="9">
        <v>63</v>
      </c>
      <c r="B65" s="54" t="s">
        <v>756</v>
      </c>
      <c r="C65">
        <v>1.0807631160572337</v>
      </c>
      <c r="D65" s="55">
        <v>198</v>
      </c>
      <c r="E65" s="54">
        <v>339.9</v>
      </c>
      <c r="F65" s="54">
        <v>314.5</v>
      </c>
      <c r="G65" s="56">
        <v>19.100000000000001</v>
      </c>
      <c r="H65" s="56">
        <v>31.4</v>
      </c>
      <c r="I65" s="54">
        <v>25240</v>
      </c>
      <c r="J65" s="54">
        <v>509000000</v>
      </c>
      <c r="K65" s="54">
        <v>2995000</v>
      </c>
      <c r="L65" s="54">
        <v>3440000</v>
      </c>
      <c r="M65" s="54">
        <v>142</v>
      </c>
      <c r="N65" s="54">
        <v>7031.1400000000012</v>
      </c>
      <c r="O65" s="54">
        <v>163000000</v>
      </c>
      <c r="P65" s="54">
        <v>1037000</v>
      </c>
      <c r="Q65" s="54">
        <v>1581000</v>
      </c>
      <c r="R65" s="56">
        <v>80.400000000000006</v>
      </c>
      <c r="S65" s="54"/>
      <c r="T65" s="54">
        <v>7330000</v>
      </c>
      <c r="U65" s="243">
        <v>3878269187500</v>
      </c>
      <c r="V65" s="4">
        <v>19947.39</v>
      </c>
      <c r="W65" s="4">
        <v>15</v>
      </c>
      <c r="X65" s="31" t="str">
        <f>IF(C65&lt;=1.2,IF(H65&lt;=100,IF(Calcul!$AG$2=460,"a","b"),IF(Calcul!$AG$2=460,"c","d")),IF(H65&lt;=40,IF(Calcul!$AG$2=460,"a0","a"),IF(Calcul!$AG$2=460,"a","b")))</f>
        <v>b</v>
      </c>
      <c r="Y65" s="31" t="str">
        <f>IF(C65&lt;=1.2,IF(H65&lt;=100,IF(Calcul!$AG$2=460,"a","c"),IF(Calcul!$AG$2=460,"c","d")),IF(H65&lt;=40,IF(Calcul!$AG$2=460,"a0","b"),IF(Calcul!$AG$2=460,"a","c")))</f>
        <v>c</v>
      </c>
      <c r="Z65" s="156">
        <f t="shared" si="2"/>
        <v>1719644.1993668256</v>
      </c>
      <c r="AA65" s="31">
        <f t="shared" si="3"/>
        <v>378760.30199999991</v>
      </c>
    </row>
    <row r="66" spans="1:27" ht="13">
      <c r="A66" s="9">
        <v>64</v>
      </c>
      <c r="B66" s="54" t="s">
        <v>757</v>
      </c>
      <c r="C66">
        <v>1.1070979899497488</v>
      </c>
      <c r="D66" s="55">
        <v>240</v>
      </c>
      <c r="E66" s="54">
        <v>352.5</v>
      </c>
      <c r="F66" s="54">
        <v>318.39999999999998</v>
      </c>
      <c r="G66" s="56">
        <v>23</v>
      </c>
      <c r="H66" s="56">
        <v>37.700000000000003</v>
      </c>
      <c r="I66" s="54">
        <v>30580</v>
      </c>
      <c r="J66" s="54">
        <v>642000000</v>
      </c>
      <c r="K66" s="54">
        <v>3643000</v>
      </c>
      <c r="L66" s="54">
        <v>4247000</v>
      </c>
      <c r="M66" s="54">
        <v>144.9</v>
      </c>
      <c r="N66" s="54">
        <v>8570.74</v>
      </c>
      <c r="O66" s="54">
        <v>203100000</v>
      </c>
      <c r="P66" s="54">
        <v>1276000</v>
      </c>
      <c r="Q66" s="54">
        <v>1951000</v>
      </c>
      <c r="R66" s="56">
        <v>81.5</v>
      </c>
      <c r="S66" s="54"/>
      <c r="T66" s="54">
        <v>12700000</v>
      </c>
      <c r="U66" s="243">
        <v>5031753756000</v>
      </c>
      <c r="V66" s="4">
        <v>24206.7</v>
      </c>
      <c r="W66" s="4">
        <v>15</v>
      </c>
      <c r="X66" s="31" t="str">
        <f>IF(C66&lt;=1.2,IF(H66&lt;=100,IF(Calcul!$AG$2=460,"a","b"),IF(Calcul!$AG$2=460,"c","d")),IF(H66&lt;=40,IF(Calcul!$AG$2=460,"a0","a"),IF(Calcul!$AG$2=460,"a","b")))</f>
        <v>b</v>
      </c>
      <c r="Y66" s="31" t="str">
        <f>IF(C66&lt;=1.2,IF(H66&lt;=100,IF(Calcul!$AG$2=460,"a","c"),IF(Calcul!$AG$2=460,"c","d")),IF(H66&lt;=40,IF(Calcul!$AG$2=460,"a0","b"),IF(Calcul!$AG$2=460,"a","c")))</f>
        <v>c</v>
      </c>
      <c r="Z66" s="156">
        <f t="shared" si="2"/>
        <v>2123190.8062418257</v>
      </c>
      <c r="AA66" s="31">
        <f t="shared" si="3"/>
        <v>464509.0515</v>
      </c>
    </row>
    <row r="67" spans="1:27" ht="13">
      <c r="A67" s="9">
        <v>65</v>
      </c>
      <c r="B67" s="54" t="s">
        <v>758</v>
      </c>
      <c r="C67">
        <v>1.1337678460583489</v>
      </c>
      <c r="D67" s="55">
        <v>283</v>
      </c>
      <c r="E67" s="54">
        <v>365.3</v>
      </c>
      <c r="F67" s="54">
        <v>322.2</v>
      </c>
      <c r="G67" s="56">
        <v>26.8</v>
      </c>
      <c r="H67" s="56">
        <v>44.1</v>
      </c>
      <c r="I67" s="54">
        <v>36040</v>
      </c>
      <c r="J67" s="54">
        <v>788700000</v>
      </c>
      <c r="K67" s="54">
        <v>4318000</v>
      </c>
      <c r="L67" s="54">
        <v>5105000</v>
      </c>
      <c r="M67" s="54">
        <v>147.9</v>
      </c>
      <c r="N67" s="54">
        <v>10126.84</v>
      </c>
      <c r="O67" s="54">
        <v>246300000</v>
      </c>
      <c r="P67" s="54">
        <v>1529000</v>
      </c>
      <c r="Q67" s="54">
        <v>2342000</v>
      </c>
      <c r="R67" s="56">
        <v>82.7</v>
      </c>
      <c r="S67" s="54"/>
      <c r="T67" s="54">
        <v>20300000</v>
      </c>
      <c r="U67" s="243">
        <v>6352658267999.999</v>
      </c>
      <c r="V67" s="4">
        <v>28613.72</v>
      </c>
      <c r="W67" s="4">
        <v>15</v>
      </c>
      <c r="X67" s="31" t="str">
        <f>IF(C67&lt;=1.2,IF(H67&lt;=100,IF(Calcul!$AG$2=460,"a","b"),IF(Calcul!$AG$2=460,"c","d")),IF(H67&lt;=40,IF(Calcul!$AG$2=460,"a0","a"),IF(Calcul!$AG$2=460,"a","b")))</f>
        <v>b</v>
      </c>
      <c r="Y67" s="31" t="str">
        <f>IF(C67&lt;=1.2,IF(H67&lt;=100,IF(Calcul!$AG$2=460,"a","c"),IF(Calcul!$AG$2=460,"c","d")),IF(H67&lt;=40,IF(Calcul!$AG$2=460,"a0","b"),IF(Calcul!$AG$2=460,"a","c")))</f>
        <v>c</v>
      </c>
      <c r="Z67" s="156">
        <f t="shared" ref="Z67:Z90" si="4">G67*(0.5*E67-H67)^2/2+(2-PI()/2)*W67^2*((0.5*E67-H67-W67)+(((1-PI()/2*0.4244)*W67)/(2-PI()/2)))+(H67*F67)*(0.5*E67-0.5*H67)</f>
        <v>2552252.7809918262</v>
      </c>
      <c r="AA67" s="31">
        <f t="shared" ref="AA67:AA90" si="5">(0.5*(0.5*F67-W67-0.5*G67)+W67+0.5*G67)*H67*(0.5*F67-W67-0.5*G67)</f>
        <v>554483.63249999995</v>
      </c>
    </row>
    <row r="68" spans="1:27" ht="13">
      <c r="A68" s="9">
        <v>66</v>
      </c>
      <c r="B68" s="54" t="s">
        <v>759</v>
      </c>
      <c r="C68">
        <v>1.1507692307692308</v>
      </c>
      <c r="D68" s="55">
        <v>313</v>
      </c>
      <c r="E68" s="54">
        <v>374</v>
      </c>
      <c r="F68" s="54">
        <v>325</v>
      </c>
      <c r="G68" s="56">
        <v>30</v>
      </c>
      <c r="H68" s="56">
        <v>48.3</v>
      </c>
      <c r="I68" s="54">
        <v>39910</v>
      </c>
      <c r="J68" s="54">
        <v>895600000</v>
      </c>
      <c r="K68" s="54">
        <v>4789000</v>
      </c>
      <c r="L68" s="54">
        <v>5716000</v>
      </c>
      <c r="M68" s="54">
        <v>149.80000000000001</v>
      </c>
      <c r="N68" s="54">
        <v>11413.000000000004</v>
      </c>
      <c r="O68" s="54">
        <v>277000000</v>
      </c>
      <c r="P68" s="54">
        <v>1705000</v>
      </c>
      <c r="Q68" s="54">
        <v>2617000</v>
      </c>
      <c r="R68" s="56">
        <v>83.3</v>
      </c>
      <c r="S68" s="54"/>
      <c r="T68" s="54">
        <v>27000000</v>
      </c>
      <c r="U68" s="243">
        <v>7346073932499.999</v>
      </c>
      <c r="V68" s="4">
        <v>31588</v>
      </c>
      <c r="W68" s="4">
        <v>15</v>
      </c>
      <c r="X68" s="31" t="str">
        <f>IF(C68&lt;=1.2,IF(H68&lt;=100,IF(Calcul!$AG$2=460,"a","b"),IF(Calcul!$AG$2=460,"c","d")),IF(H68&lt;=40,IF(Calcul!$AG$2=460,"a0","a"),IF(Calcul!$AG$2=460,"a","b")))</f>
        <v>b</v>
      </c>
      <c r="Y68" s="31" t="str">
        <f>IF(C68&lt;=1.2,IF(H68&lt;=100,IF(Calcul!$AG$2=460,"a","c"),IF(Calcul!$AG$2=460,"c","d")),IF(H68&lt;=40,IF(Calcul!$AG$2=460,"a0","b"),IF(Calcul!$AG$2=460,"a","c")))</f>
        <v>c</v>
      </c>
      <c r="Z68" s="156">
        <f t="shared" si="4"/>
        <v>2857974.1061157957</v>
      </c>
      <c r="AA68" s="31">
        <f t="shared" si="5"/>
        <v>615975.9375</v>
      </c>
    </row>
    <row r="69" spans="1:27" ht="13">
      <c r="A69" s="9">
        <v>67</v>
      </c>
      <c r="B69" s="54" t="s">
        <v>760</v>
      </c>
      <c r="C69">
        <v>1.1646341463414633</v>
      </c>
      <c r="D69" s="55">
        <v>342</v>
      </c>
      <c r="E69" s="54">
        <v>382</v>
      </c>
      <c r="F69" s="54">
        <v>328</v>
      </c>
      <c r="G69" s="56">
        <v>32.6</v>
      </c>
      <c r="H69" s="56">
        <v>52.6</v>
      </c>
      <c r="I69" s="54">
        <v>43720</v>
      </c>
      <c r="J69" s="54">
        <v>1005000000</v>
      </c>
      <c r="K69" s="54">
        <v>5262000</v>
      </c>
      <c r="L69" s="54">
        <v>6334000</v>
      </c>
      <c r="M69" s="54">
        <v>151.6</v>
      </c>
      <c r="N69" s="54">
        <v>12507.16</v>
      </c>
      <c r="O69" s="54">
        <v>310200000</v>
      </c>
      <c r="P69" s="54">
        <v>1892000</v>
      </c>
      <c r="Q69" s="54">
        <v>2907000</v>
      </c>
      <c r="R69" s="56">
        <v>84.2</v>
      </c>
      <c r="S69" s="54"/>
      <c r="T69" s="54">
        <v>34900000</v>
      </c>
      <c r="U69" s="243">
        <v>8414513117999.999</v>
      </c>
      <c r="V69" s="4">
        <v>34696.320000000007</v>
      </c>
      <c r="W69" s="4">
        <v>15</v>
      </c>
      <c r="X69" s="31" t="str">
        <f>IF(C69&lt;=1.2,IF(H69&lt;=100,IF(Calcul!$AG$2=460,"a","b"),IF(Calcul!$AG$2=460,"c","d")),IF(H69&lt;=40,IF(Calcul!$AG$2=460,"a0","a"),IF(Calcul!$AG$2=460,"a","b")))</f>
        <v>b</v>
      </c>
      <c r="Y69" s="31" t="str">
        <f>IF(C69&lt;=1.2,IF(H69&lt;=100,IF(Calcul!$AG$2=460,"a","c"),IF(Calcul!$AG$2=460,"c","d")),IF(H69&lt;=40,IF(Calcul!$AG$2=460,"a0","b"),IF(Calcul!$AG$2=460,"a","c")))</f>
        <v>c</v>
      </c>
      <c r="Z69" s="156">
        <f t="shared" si="4"/>
        <v>3166797.3978678547</v>
      </c>
      <c r="AA69" s="31">
        <f t="shared" si="5"/>
        <v>681598.95299999986</v>
      </c>
    </row>
    <row r="70" spans="1:27" ht="13">
      <c r="A70" s="9">
        <v>68</v>
      </c>
      <c r="B70" s="54" t="s">
        <v>761</v>
      </c>
      <c r="C70">
        <v>0.96473141616928926</v>
      </c>
      <c r="D70" s="55">
        <v>129</v>
      </c>
      <c r="E70" s="54">
        <v>355.6</v>
      </c>
      <c r="F70" s="54">
        <v>368.6</v>
      </c>
      <c r="G70" s="56">
        <v>10.4</v>
      </c>
      <c r="H70" s="56">
        <v>17.5</v>
      </c>
      <c r="I70" s="54">
        <v>16430</v>
      </c>
      <c r="J70" s="54">
        <v>402500000</v>
      </c>
      <c r="K70" s="54">
        <v>2264000</v>
      </c>
      <c r="L70" s="54">
        <v>2479000</v>
      </c>
      <c r="M70" s="54">
        <v>156.5</v>
      </c>
      <c r="N70" s="54">
        <v>4236</v>
      </c>
      <c r="O70" s="54">
        <v>146100000</v>
      </c>
      <c r="P70" s="54">
        <v>792800</v>
      </c>
      <c r="Q70" s="54">
        <v>1199000</v>
      </c>
      <c r="R70" s="56">
        <v>94.3</v>
      </c>
      <c r="S70" s="54"/>
      <c r="T70" s="54">
        <v>1520000</v>
      </c>
      <c r="U70" s="243">
        <v>4175231555250.0005</v>
      </c>
      <c r="V70" s="4">
        <v>13095.76</v>
      </c>
      <c r="W70" s="4">
        <v>15</v>
      </c>
      <c r="X70" s="31" t="str">
        <f>IF(C70&lt;=1.2,IF(H70&lt;=100,IF(Calcul!$AG$2=460,"a","b"),IF(Calcul!$AG$2=460,"c","d")),IF(H70&lt;=40,IF(Calcul!$AG$2=460,"a0","a"),IF(Calcul!$AG$2=460,"a","b")))</f>
        <v>b</v>
      </c>
      <c r="Y70" s="31" t="str">
        <f>IF(C70&lt;=1.2,IF(H70&lt;=100,IF(Calcul!$AG$2=460,"a","c"),IF(Calcul!$AG$2=460,"c","d")),IF(H70&lt;=40,IF(Calcul!$AG$2=460,"a0","b"),IF(Calcul!$AG$2=460,"a","c")))</f>
        <v>c</v>
      </c>
      <c r="Z70" s="156">
        <f t="shared" si="4"/>
        <v>1239233.5039675734</v>
      </c>
      <c r="AA70" s="31">
        <f t="shared" si="5"/>
        <v>293636.43750000006</v>
      </c>
    </row>
    <row r="71" spans="1:27" ht="13">
      <c r="A71" s="9">
        <v>69</v>
      </c>
      <c r="B71" s="54" t="s">
        <v>762</v>
      </c>
      <c r="C71">
        <v>0.97705802968960864</v>
      </c>
      <c r="D71" s="55">
        <v>153</v>
      </c>
      <c r="E71" s="54">
        <v>362</v>
      </c>
      <c r="F71" s="54">
        <v>370.5</v>
      </c>
      <c r="G71" s="56">
        <v>12.3</v>
      </c>
      <c r="H71" s="56">
        <v>20.7</v>
      </c>
      <c r="I71" s="54">
        <v>19480</v>
      </c>
      <c r="J71" s="54">
        <v>485900000</v>
      </c>
      <c r="K71" s="54">
        <v>2684000</v>
      </c>
      <c r="L71" s="54">
        <v>2965000</v>
      </c>
      <c r="M71" s="54">
        <v>157.9</v>
      </c>
      <c r="N71" s="54">
        <v>5016.9100000000008</v>
      </c>
      <c r="O71" s="54">
        <v>175500000</v>
      </c>
      <c r="P71" s="54">
        <v>947500</v>
      </c>
      <c r="Q71" s="54">
        <v>1435000</v>
      </c>
      <c r="R71" s="56">
        <v>94.9</v>
      </c>
      <c r="S71" s="54"/>
      <c r="T71" s="54">
        <v>2500000</v>
      </c>
      <c r="U71" s="243">
        <v>5110809648750</v>
      </c>
      <c r="V71" s="4">
        <v>15536.619999999999</v>
      </c>
      <c r="W71" s="4">
        <v>15</v>
      </c>
      <c r="X71" s="31" t="str">
        <f>IF(C71&lt;=1.2,IF(H71&lt;=100,IF(Calcul!$AG$2=460,"a","b"),IF(Calcul!$AG$2=460,"c","d")),IF(H71&lt;=40,IF(Calcul!$AG$2=460,"a0","a"),IF(Calcul!$AG$2=460,"a","b")))</f>
        <v>b</v>
      </c>
      <c r="Y71" s="31" t="str">
        <f>IF(C71&lt;=1.2,IF(H71&lt;=100,IF(Calcul!$AG$2=460,"a","c"),IF(Calcul!$AG$2=460,"c","d")),IF(H71&lt;=40,IF(Calcul!$AG$2=460,"a0","b"),IF(Calcul!$AG$2=460,"a","c")))</f>
        <v>c</v>
      </c>
      <c r="Z71" s="156">
        <f t="shared" si="4"/>
        <v>1481962.3419675732</v>
      </c>
      <c r="AA71" s="31">
        <f t="shared" si="5"/>
        <v>350556.98399999994</v>
      </c>
    </row>
    <row r="72" spans="1:27" ht="13">
      <c r="A72" s="9">
        <v>70</v>
      </c>
      <c r="B72" s="54" t="s">
        <v>763</v>
      </c>
      <c r="C72">
        <v>0.98819108964036495</v>
      </c>
      <c r="D72" s="55">
        <v>177</v>
      </c>
      <c r="E72" s="54">
        <v>368.2</v>
      </c>
      <c r="F72" s="54">
        <v>372.6</v>
      </c>
      <c r="G72" s="56">
        <v>14.4</v>
      </c>
      <c r="H72" s="56">
        <v>23.8</v>
      </c>
      <c r="I72" s="54">
        <v>22550</v>
      </c>
      <c r="J72" s="54">
        <v>571200000</v>
      </c>
      <c r="K72" s="54">
        <v>3103000</v>
      </c>
      <c r="L72" s="54">
        <v>3455000</v>
      </c>
      <c r="M72" s="54">
        <v>159.1</v>
      </c>
      <c r="N72" s="54">
        <v>5870.9599999999982</v>
      </c>
      <c r="O72" s="54">
        <v>205300000</v>
      </c>
      <c r="P72" s="54">
        <v>1102000</v>
      </c>
      <c r="Q72" s="54">
        <v>1671000</v>
      </c>
      <c r="R72" s="56">
        <v>95.4</v>
      </c>
      <c r="S72" s="54"/>
      <c r="T72" s="54">
        <v>3810000</v>
      </c>
      <c r="U72" s="243">
        <v>6087728051999.999</v>
      </c>
      <c r="V72" s="4">
        <v>17933.36</v>
      </c>
      <c r="W72" s="4">
        <v>15</v>
      </c>
      <c r="X72" s="31" t="str">
        <f>IF(C72&lt;=1.2,IF(H72&lt;=100,IF(Calcul!$AG$2=460,"a","b"),IF(Calcul!$AG$2=460,"c","d")),IF(H72&lt;=40,IF(Calcul!$AG$2=460,"a0","a"),IF(Calcul!$AG$2=460,"a","b")))</f>
        <v>b</v>
      </c>
      <c r="Y72" s="31" t="str">
        <f>IF(C72&lt;=1.2,IF(H72&lt;=100,IF(Calcul!$AG$2=460,"a","c"),IF(Calcul!$AG$2=460,"c","d")),IF(H72&lt;=40,IF(Calcul!$AG$2=460,"a0","b"),IF(Calcul!$AG$2=460,"a","c")))</f>
        <v>c</v>
      </c>
      <c r="Z72" s="156">
        <f t="shared" si="4"/>
        <v>1727217.5949675732</v>
      </c>
      <c r="AA72" s="31">
        <f t="shared" si="5"/>
        <v>407156.71500000014</v>
      </c>
    </row>
    <row r="73" spans="1:27" ht="13">
      <c r="A73" s="9">
        <v>71</v>
      </c>
      <c r="B73" s="54" t="s">
        <v>764</v>
      </c>
      <c r="C73">
        <v>0.99973311982919677</v>
      </c>
      <c r="D73" s="55">
        <v>202</v>
      </c>
      <c r="E73" s="54">
        <v>374.6</v>
      </c>
      <c r="F73" s="54">
        <v>374.7</v>
      </c>
      <c r="G73" s="56">
        <v>16.5</v>
      </c>
      <c r="H73" s="56">
        <v>27</v>
      </c>
      <c r="I73" s="54">
        <v>25720</v>
      </c>
      <c r="J73" s="54">
        <v>662600000</v>
      </c>
      <c r="K73" s="54">
        <v>3538000</v>
      </c>
      <c r="L73" s="54">
        <v>3972000</v>
      </c>
      <c r="M73" s="54">
        <v>160.5</v>
      </c>
      <c r="N73" s="54">
        <v>6741.7000000000007</v>
      </c>
      <c r="O73" s="54">
        <v>236900000</v>
      </c>
      <c r="P73" s="54">
        <v>1264000</v>
      </c>
      <c r="Q73" s="54">
        <v>1920000</v>
      </c>
      <c r="R73" s="56">
        <v>96</v>
      </c>
      <c r="S73" s="54"/>
      <c r="T73" s="54">
        <v>5570000</v>
      </c>
      <c r="U73" s="243">
        <v>7155905636000.001</v>
      </c>
      <c r="V73" s="4">
        <v>20430.099999999999</v>
      </c>
      <c r="W73" s="4">
        <v>15</v>
      </c>
      <c r="X73" s="31" t="str">
        <f>IF(C73&lt;=1.2,IF(H73&lt;=100,IF(Calcul!$AG$2=460,"a","b"),IF(Calcul!$AG$2=460,"c","d")),IF(H73&lt;=40,IF(Calcul!$AG$2=460,"a0","a"),IF(Calcul!$AG$2=460,"a","b")))</f>
        <v>b</v>
      </c>
      <c r="Y73" s="31" t="str">
        <f>IF(C73&lt;=1.2,IF(H73&lt;=100,IF(Calcul!$AG$2=460,"a","c"),IF(Calcul!$AG$2=460,"c","d")),IF(H73&lt;=40,IF(Calcul!$AG$2=460,"a0","b"),IF(Calcul!$AG$2=460,"a","c")))</f>
        <v>c</v>
      </c>
      <c r="Z73" s="156">
        <f t="shared" si="4"/>
        <v>1985466.7734675731</v>
      </c>
      <c r="AA73" s="31">
        <f t="shared" si="5"/>
        <v>466552.70999999996</v>
      </c>
    </row>
    <row r="74" spans="1:27" ht="13">
      <c r="A74" s="9">
        <v>72</v>
      </c>
      <c r="B74" s="54" t="s">
        <v>765</v>
      </c>
      <c r="C74">
        <v>0.9650455927051671</v>
      </c>
      <c r="D74" s="55">
        <v>235</v>
      </c>
      <c r="E74" s="54">
        <v>381</v>
      </c>
      <c r="F74" s="54">
        <v>394.8</v>
      </c>
      <c r="G74" s="56">
        <v>18.399999999999999</v>
      </c>
      <c r="H74" s="56">
        <v>30.2</v>
      </c>
      <c r="I74" s="54">
        <v>29900</v>
      </c>
      <c r="J74" s="54">
        <v>790800000</v>
      </c>
      <c r="K74" s="54">
        <v>4151000</v>
      </c>
      <c r="L74" s="54">
        <v>4687000</v>
      </c>
      <c r="M74" s="54">
        <v>162.5</v>
      </c>
      <c r="N74" s="54">
        <v>7515.7599999999984</v>
      </c>
      <c r="O74" s="54">
        <v>309900000</v>
      </c>
      <c r="P74" s="54">
        <v>1570000</v>
      </c>
      <c r="Q74" s="54">
        <v>2383000</v>
      </c>
      <c r="R74" s="56">
        <v>102</v>
      </c>
      <c r="S74" s="54"/>
      <c r="T74" s="54">
        <v>8110000</v>
      </c>
      <c r="U74" s="243">
        <v>9534123084000.002</v>
      </c>
      <c r="V74" s="4">
        <v>24000.959999999999</v>
      </c>
      <c r="W74" s="4">
        <v>15</v>
      </c>
      <c r="X74" s="31" t="str">
        <f>IF(C74&lt;=1.2,IF(H74&lt;=100,IF(Calcul!$AG$2=460,"a","b"),IF(Calcul!$AG$2=460,"c","d")),IF(H74&lt;=40,IF(Calcul!$AG$2=460,"a0","a"),IF(Calcul!$AG$2=460,"a","b")))</f>
        <v>b</v>
      </c>
      <c r="Y74" s="31" t="str">
        <f>IF(C74&lt;=1.2,IF(H74&lt;=100,IF(Calcul!$AG$2=460,"a","c"),IF(Calcul!$AG$2=460,"c","d")),IF(H74&lt;=40,IF(Calcul!$AG$2=460,"a0","b"),IF(Calcul!$AG$2=460,"a","c")))</f>
        <v>c</v>
      </c>
      <c r="Z74" s="156">
        <f t="shared" si="4"/>
        <v>2342848.0229675733</v>
      </c>
      <c r="AA74" s="31">
        <f t="shared" si="5"/>
        <v>579554.91200000013</v>
      </c>
    </row>
    <row r="75" spans="1:27" ht="13">
      <c r="A75" s="9">
        <v>73</v>
      </c>
      <c r="B75" s="54" t="s">
        <v>766</v>
      </c>
      <c r="C75">
        <v>0.98646616541353394</v>
      </c>
      <c r="D75" s="55">
        <v>287</v>
      </c>
      <c r="E75" s="54">
        <v>393.6</v>
      </c>
      <c r="F75" s="54">
        <v>399</v>
      </c>
      <c r="G75" s="56">
        <v>22.6</v>
      </c>
      <c r="H75" s="56">
        <v>36.5</v>
      </c>
      <c r="I75" s="54">
        <v>36570</v>
      </c>
      <c r="J75" s="54">
        <v>998800000</v>
      </c>
      <c r="K75" s="54">
        <v>5075000</v>
      </c>
      <c r="L75" s="54">
        <v>5812000</v>
      </c>
      <c r="M75" s="54">
        <v>165.3</v>
      </c>
      <c r="N75" s="54">
        <v>9362.9</v>
      </c>
      <c r="O75" s="54">
        <v>386800000</v>
      </c>
      <c r="P75" s="54">
        <v>1939000</v>
      </c>
      <c r="Q75" s="54">
        <v>2949000</v>
      </c>
      <c r="R75" s="56">
        <v>102.8</v>
      </c>
      <c r="S75" s="54"/>
      <c r="T75" s="54">
        <v>14400000</v>
      </c>
      <c r="U75" s="243">
        <v>12331223647000.002</v>
      </c>
      <c r="V75" s="4">
        <v>29324.44</v>
      </c>
      <c r="W75" s="4">
        <v>15</v>
      </c>
      <c r="X75" s="31" t="str">
        <f>IF(C75&lt;=1.2,IF(H75&lt;=100,IF(Calcul!$AG$2=460,"a","b"),IF(Calcul!$AG$2=460,"c","d")),IF(H75&lt;=40,IF(Calcul!$AG$2=460,"a0","a"),IF(Calcul!$AG$2=460,"a","b")))</f>
        <v>b</v>
      </c>
      <c r="Y75" s="31" t="str">
        <f>IF(C75&lt;=1.2,IF(H75&lt;=100,IF(Calcul!$AG$2=460,"a","c"),IF(Calcul!$AG$2=460,"c","d")),IF(H75&lt;=40,IF(Calcul!$AG$2=460,"a0","b"),IF(Calcul!$AG$2=460,"a","c")))</f>
        <v>c</v>
      </c>
      <c r="Z75" s="156">
        <f t="shared" si="4"/>
        <v>2905835.5529675735</v>
      </c>
      <c r="AA75" s="31">
        <f t="shared" si="5"/>
        <v>713731.21999999986</v>
      </c>
    </row>
    <row r="76" spans="1:27" ht="13">
      <c r="A76" s="9">
        <v>74</v>
      </c>
      <c r="B76" s="54" t="s">
        <v>767</v>
      </c>
      <c r="C76">
        <v>1.0084367245657568</v>
      </c>
      <c r="D76" s="55">
        <v>340</v>
      </c>
      <c r="E76" s="54">
        <v>406.4</v>
      </c>
      <c r="F76" s="54">
        <v>403</v>
      </c>
      <c r="G76" s="56">
        <v>26.6</v>
      </c>
      <c r="H76" s="56">
        <v>42.9</v>
      </c>
      <c r="I76" s="54">
        <v>43300</v>
      </c>
      <c r="J76" s="54">
        <v>1225000000</v>
      </c>
      <c r="K76" s="54">
        <v>6031000</v>
      </c>
      <c r="L76" s="54">
        <v>6999000</v>
      </c>
      <c r="M76" s="54">
        <v>168.2</v>
      </c>
      <c r="N76" s="54">
        <v>11150.739999999998</v>
      </c>
      <c r="O76" s="54">
        <v>468500000</v>
      </c>
      <c r="P76" s="54">
        <v>2325000</v>
      </c>
      <c r="Q76" s="54">
        <v>3544000</v>
      </c>
      <c r="R76" s="56">
        <v>104</v>
      </c>
      <c r="S76" s="54"/>
      <c r="T76" s="54">
        <v>23400000</v>
      </c>
      <c r="U76" s="243">
        <v>15475989781250</v>
      </c>
      <c r="V76" s="4">
        <v>34772.04</v>
      </c>
      <c r="W76" s="4">
        <v>15</v>
      </c>
      <c r="X76" s="31" t="str">
        <f>IF(C76&lt;=1.2,IF(H76&lt;=100,IF(Calcul!$AG$2=460,"a","b"),IF(Calcul!$AG$2=460,"c","d")),IF(H76&lt;=40,IF(Calcul!$AG$2=460,"a0","a"),IF(Calcul!$AG$2=460,"a","b")))</f>
        <v>b</v>
      </c>
      <c r="Y76" s="31" t="str">
        <f>IF(C76&lt;=1.2,IF(H76&lt;=100,IF(Calcul!$AG$2=460,"a","c"),IF(Calcul!$AG$2=460,"c","d")),IF(H76&lt;=40,IF(Calcul!$AG$2=460,"a0","b"),IF(Calcul!$AG$2=460,"a","c")))</f>
        <v>c</v>
      </c>
      <c r="Z76" s="156">
        <f t="shared" si="4"/>
        <v>3499136.032967573</v>
      </c>
      <c r="AA76" s="31">
        <f t="shared" si="5"/>
        <v>853739.17199999979</v>
      </c>
    </row>
    <row r="77" spans="1:27" ht="13">
      <c r="A77" s="9">
        <v>75</v>
      </c>
      <c r="B77" s="54" t="s">
        <v>768</v>
      </c>
      <c r="C77">
        <v>1.0294840294840295</v>
      </c>
      <c r="D77" s="55">
        <v>393</v>
      </c>
      <c r="E77" s="54">
        <v>419</v>
      </c>
      <c r="F77" s="54">
        <v>407</v>
      </c>
      <c r="G77" s="56">
        <v>30.6</v>
      </c>
      <c r="H77" s="56">
        <v>49.2</v>
      </c>
      <c r="I77" s="54">
        <v>50060</v>
      </c>
      <c r="J77" s="54">
        <v>1466000000</v>
      </c>
      <c r="K77" s="54">
        <v>6998000</v>
      </c>
      <c r="L77" s="54">
        <v>8222000</v>
      </c>
      <c r="M77" s="54">
        <v>171.1</v>
      </c>
      <c r="N77" s="54">
        <v>12992.719999999998</v>
      </c>
      <c r="O77" s="54">
        <v>553700000</v>
      </c>
      <c r="P77" s="54">
        <v>2721000</v>
      </c>
      <c r="Q77" s="54">
        <v>4154000</v>
      </c>
      <c r="R77" s="56">
        <v>105.2</v>
      </c>
      <c r="S77" s="54"/>
      <c r="T77" s="54">
        <v>35400000</v>
      </c>
      <c r="U77" s="243">
        <v>18929901137000</v>
      </c>
      <c r="V77" s="4">
        <v>40249.64</v>
      </c>
      <c r="W77" s="4">
        <v>15</v>
      </c>
      <c r="X77" s="31" t="str">
        <f>IF(C77&lt;=1.2,IF(H77&lt;=100,IF(Calcul!$AG$2=460,"a","b"),IF(Calcul!$AG$2=460,"c","d")),IF(H77&lt;=40,IF(Calcul!$AG$2=460,"a0","a"),IF(Calcul!$AG$2=460,"a","b")))</f>
        <v>b</v>
      </c>
      <c r="Y77" s="31" t="str">
        <f>IF(C77&lt;=1.2,IF(H77&lt;=100,IF(Calcul!$AG$2=460,"a","c"),IF(Calcul!$AG$2=460,"c","d")),IF(H77&lt;=40,IF(Calcul!$AG$2=460,"a0","b"),IF(Calcul!$AG$2=460,"a","c")))</f>
        <v>c</v>
      </c>
      <c r="Z77" s="156">
        <f t="shared" si="4"/>
        <v>4110818.5479675736</v>
      </c>
      <c r="AA77" s="31">
        <f t="shared" si="5"/>
        <v>996156.33599999989</v>
      </c>
    </row>
    <row r="78" spans="1:27" ht="13">
      <c r="A78" s="9">
        <v>76</v>
      </c>
      <c r="B78" s="54" t="s">
        <v>769</v>
      </c>
      <c r="C78">
        <v>1.0591945657447841</v>
      </c>
      <c r="D78" s="55">
        <v>467</v>
      </c>
      <c r="E78" s="54">
        <v>436.6</v>
      </c>
      <c r="F78" s="54">
        <v>412.2</v>
      </c>
      <c r="G78" s="56">
        <v>35.799999999999997</v>
      </c>
      <c r="H78" s="56">
        <v>58</v>
      </c>
      <c r="I78" s="54">
        <v>59490</v>
      </c>
      <c r="J78" s="54">
        <v>1830000000</v>
      </c>
      <c r="K78" s="54">
        <v>8383000</v>
      </c>
      <c r="L78" s="54">
        <v>10000000</v>
      </c>
      <c r="M78" s="54">
        <v>175.4</v>
      </c>
      <c r="N78" s="54">
        <v>15491.200000000003</v>
      </c>
      <c r="O78" s="54">
        <v>678300000</v>
      </c>
      <c r="P78" s="54">
        <v>3291000</v>
      </c>
      <c r="Q78" s="54">
        <v>5034000</v>
      </c>
      <c r="R78" s="56">
        <v>106.8</v>
      </c>
      <c r="S78" s="54"/>
      <c r="T78" s="54">
        <v>58000000</v>
      </c>
      <c r="U78" s="243">
        <v>24306534567000.004</v>
      </c>
      <c r="V78" s="4">
        <v>48012.520000000004</v>
      </c>
      <c r="W78" s="4">
        <v>15</v>
      </c>
      <c r="X78" s="31" t="str">
        <f>IF(C78&lt;=1.2,IF(H78&lt;=100,IF(Calcul!$AG$2=460,"a","b"),IF(Calcul!$AG$2=460,"c","d")),IF(H78&lt;=40,IF(Calcul!$AG$2=460,"a0","a"),IF(Calcul!$AG$2=460,"a","b")))</f>
        <v>b</v>
      </c>
      <c r="Y78" s="31" t="str">
        <f>IF(C78&lt;=1.2,IF(H78&lt;=100,IF(Calcul!$AG$2=460,"a","c"),IF(Calcul!$AG$2=460,"c","d")),IF(H78&lt;=40,IF(Calcul!$AG$2=460,"a0","b"),IF(Calcul!$AG$2=460,"a","c")))</f>
        <v>c</v>
      </c>
      <c r="Z78" s="156">
        <f t="shared" si="4"/>
        <v>5000825.5019675726</v>
      </c>
      <c r="AA78" s="31">
        <f t="shared" si="5"/>
        <v>1200449.2</v>
      </c>
    </row>
    <row r="79" spans="1:27" ht="13">
      <c r="A79" s="9">
        <v>77</v>
      </c>
      <c r="B79" s="54" t="s">
        <v>770</v>
      </c>
      <c r="C79">
        <v>1.0721153846153846</v>
      </c>
      <c r="D79" s="55">
        <v>509</v>
      </c>
      <c r="E79" s="54">
        <v>446</v>
      </c>
      <c r="F79" s="54">
        <v>416</v>
      </c>
      <c r="G79" s="56">
        <v>39.1</v>
      </c>
      <c r="H79" s="56">
        <v>62.7</v>
      </c>
      <c r="I79" s="54">
        <v>64900</v>
      </c>
      <c r="J79" s="54">
        <v>2045000000</v>
      </c>
      <c r="K79" s="54">
        <v>9172000</v>
      </c>
      <c r="L79" s="54">
        <v>11030000</v>
      </c>
      <c r="M79" s="54">
        <v>177.5</v>
      </c>
      <c r="N79" s="54">
        <v>17066.169999999998</v>
      </c>
      <c r="O79" s="54">
        <v>754000000</v>
      </c>
      <c r="P79" s="54">
        <v>3625000</v>
      </c>
      <c r="Q79" s="54">
        <v>5552000</v>
      </c>
      <c r="R79" s="56">
        <v>107.8</v>
      </c>
      <c r="S79" s="54"/>
      <c r="T79" s="54">
        <v>73900000</v>
      </c>
      <c r="U79" s="243">
        <v>27694210765000.004</v>
      </c>
      <c r="V79" s="4">
        <v>52364.54</v>
      </c>
      <c r="W79" s="4">
        <v>15</v>
      </c>
      <c r="X79" s="31" t="str">
        <f>IF(C79&lt;=1.2,IF(H79&lt;=100,IF(Calcul!$AG$2=460,"a","b"),IF(Calcul!$AG$2=460,"c","d")),IF(H79&lt;=40,IF(Calcul!$AG$2=460,"a0","a"),IF(Calcul!$AG$2=460,"a","b")))</f>
        <v>b</v>
      </c>
      <c r="Y79" s="31" t="str">
        <f>IF(C79&lt;=1.2,IF(H79&lt;=100,IF(Calcul!$AG$2=460,"a","c"),IF(Calcul!$AG$2=460,"c","d")),IF(H79&lt;=40,IF(Calcul!$AG$2=460,"a0","b"),IF(Calcul!$AG$2=460,"a","c")))</f>
        <v>c</v>
      </c>
      <c r="Z79" s="156">
        <f t="shared" si="4"/>
        <v>5516360.6504675737</v>
      </c>
      <c r="AA79" s="31">
        <f t="shared" si="5"/>
        <v>1318903.826625</v>
      </c>
    </row>
    <row r="80" spans="1:27" ht="13">
      <c r="A80" s="9">
        <v>78</v>
      </c>
      <c r="B80" s="54" t="s">
        <v>771</v>
      </c>
      <c r="C80">
        <v>1.0886499402628436</v>
      </c>
      <c r="D80" s="55">
        <v>551</v>
      </c>
      <c r="E80" s="54">
        <v>455.6</v>
      </c>
      <c r="F80" s="54">
        <v>418.5</v>
      </c>
      <c r="G80" s="56">
        <v>42.1</v>
      </c>
      <c r="H80" s="56">
        <v>67.5</v>
      </c>
      <c r="I80" s="54">
        <v>70190</v>
      </c>
      <c r="J80" s="54">
        <v>2269000000</v>
      </c>
      <c r="K80" s="54">
        <v>9962000</v>
      </c>
      <c r="L80" s="54">
        <v>12080000</v>
      </c>
      <c r="M80" s="54">
        <v>179.8</v>
      </c>
      <c r="N80" s="54">
        <v>18559.25</v>
      </c>
      <c r="O80" s="54">
        <v>826700000</v>
      </c>
      <c r="P80" s="54">
        <v>3951000</v>
      </c>
      <c r="Q80" s="54">
        <v>6058000</v>
      </c>
      <c r="R80" s="56">
        <v>108.5</v>
      </c>
      <c r="S80" s="54"/>
      <c r="T80" s="54">
        <v>92350000</v>
      </c>
      <c r="U80" s="243">
        <v>31129721246750.004</v>
      </c>
      <c r="V80" s="4">
        <v>56692.74</v>
      </c>
      <c r="W80" s="4">
        <v>15</v>
      </c>
      <c r="X80" s="31" t="str">
        <f>IF(C80&lt;=1.2,IF(H80&lt;=100,IF(Calcul!$AG$2=460,"a","b"),IF(Calcul!$AG$2=460,"c","d")),IF(H80&lt;=40,IF(Calcul!$AG$2=460,"a0","a"),IF(Calcul!$AG$2=460,"a","b")))</f>
        <v>b</v>
      </c>
      <c r="Y80" s="31" t="str">
        <f>IF(C80&lt;=1.2,IF(H80&lt;=100,IF(Calcul!$AG$2=460,"a","c"),IF(Calcul!$AG$2=460,"c","d")),IF(H80&lt;=40,IF(Calcul!$AG$2=460,"a0","b"),IF(Calcul!$AG$2=460,"a","c")))</f>
        <v>c</v>
      </c>
      <c r="Z80" s="156">
        <f t="shared" si="4"/>
        <v>6037729.4429675732</v>
      </c>
      <c r="AA80" s="31">
        <f t="shared" si="5"/>
        <v>1433901.15</v>
      </c>
    </row>
    <row r="81" spans="1:27" ht="13">
      <c r="A81" s="9">
        <v>79</v>
      </c>
      <c r="B81" s="54" t="s">
        <v>772</v>
      </c>
      <c r="C81">
        <v>1.1045130641330165</v>
      </c>
      <c r="D81" s="55">
        <v>592</v>
      </c>
      <c r="E81" s="54">
        <v>465</v>
      </c>
      <c r="F81" s="54">
        <v>421</v>
      </c>
      <c r="G81" s="56">
        <v>45</v>
      </c>
      <c r="H81" s="56">
        <v>72.3</v>
      </c>
      <c r="I81" s="54">
        <v>75490</v>
      </c>
      <c r="J81" s="54">
        <v>2502000000</v>
      </c>
      <c r="K81" s="54">
        <v>10760000</v>
      </c>
      <c r="L81" s="54">
        <v>13140000</v>
      </c>
      <c r="M81" s="54">
        <v>182</v>
      </c>
      <c r="N81" s="54">
        <v>20035.900000000001</v>
      </c>
      <c r="O81" s="54">
        <v>901700000</v>
      </c>
      <c r="P81" s="54">
        <v>4284000</v>
      </c>
      <c r="Q81" s="54">
        <v>6574000</v>
      </c>
      <c r="R81" s="56">
        <v>109.3</v>
      </c>
      <c r="S81" s="54"/>
      <c r="T81" s="54">
        <v>113542000</v>
      </c>
      <c r="U81" s="243">
        <v>34763530898249.996</v>
      </c>
      <c r="V81" s="4">
        <v>61072</v>
      </c>
      <c r="W81" s="4">
        <v>15</v>
      </c>
      <c r="X81" s="31" t="str">
        <f>IF(C81&lt;=1.2,IF(H81&lt;=100,IF(Calcul!$AG$2=460,"a","b"),IF(Calcul!$AG$2=460,"c","d")),IF(H81&lt;=40,IF(Calcul!$AG$2=460,"a0","a"),IF(Calcul!$AG$2=460,"a","b")))</f>
        <v>b</v>
      </c>
      <c r="Y81" s="31" t="str">
        <f>IF(C81&lt;=1.2,IF(H81&lt;=100,IF(Calcul!$AG$2=460,"a","c"),IF(Calcul!$AG$2=460,"c","d")),IF(H81&lt;=40,IF(Calcul!$AG$2=460,"a0","b"),IF(Calcul!$AG$2=460,"a","c")))</f>
        <v>c</v>
      </c>
      <c r="Z81" s="156">
        <f t="shared" si="4"/>
        <v>6569148.2588849263</v>
      </c>
      <c r="AA81" s="31">
        <f t="shared" si="5"/>
        <v>1550979.5999999999</v>
      </c>
    </row>
    <row r="82" spans="1:27" ht="13">
      <c r="A82" s="9">
        <v>80</v>
      </c>
      <c r="B82" s="54" t="s">
        <v>773</v>
      </c>
      <c r="C82">
        <v>1.1193396226415095</v>
      </c>
      <c r="D82" s="55">
        <v>634</v>
      </c>
      <c r="E82" s="54">
        <v>474.6</v>
      </c>
      <c r="F82" s="54">
        <v>424</v>
      </c>
      <c r="G82" s="56">
        <v>47.6</v>
      </c>
      <c r="H82" s="56">
        <v>77</v>
      </c>
      <c r="I82" s="54">
        <v>80750</v>
      </c>
      <c r="J82" s="54">
        <v>2748000000</v>
      </c>
      <c r="K82" s="54">
        <v>11580000</v>
      </c>
      <c r="L82" s="54">
        <v>14240000</v>
      </c>
      <c r="M82" s="54">
        <v>184.5</v>
      </c>
      <c r="N82" s="54">
        <v>21429.200000000001</v>
      </c>
      <c r="O82" s="54">
        <v>981300000</v>
      </c>
      <c r="P82" s="54">
        <v>4629000</v>
      </c>
      <c r="Q82" s="54">
        <v>7108000</v>
      </c>
      <c r="R82" s="56">
        <v>110.2</v>
      </c>
      <c r="S82" s="54"/>
      <c r="T82" s="54">
        <v>137160000</v>
      </c>
      <c r="U82" s="243">
        <v>38782389072000</v>
      </c>
      <c r="V82" s="4">
        <v>65489.440000000002</v>
      </c>
      <c r="W82" s="4">
        <v>15</v>
      </c>
      <c r="X82" s="31" t="str">
        <f>IF(C82&lt;=1.2,IF(H82&lt;=100,IF(Calcul!$AG$2=460,"a","b"),IF(Calcul!$AG$2=460,"c","d")),IF(H82&lt;=40,IF(Calcul!$AG$2=460,"a0","a"),IF(Calcul!$AG$2=460,"a","b")))</f>
        <v>b</v>
      </c>
      <c r="Y82" s="31" t="str">
        <f>IF(C82&lt;=1.2,IF(H82&lt;=100,IF(Calcul!$AG$2=460,"a","c"),IF(Calcul!$AG$2=460,"c","d")),IF(H82&lt;=40,IF(Calcul!$AG$2=460,"a0","b"),IF(Calcul!$AG$2=460,"a","c")))</f>
        <v>c</v>
      </c>
      <c r="Z82" s="156">
        <f t="shared" si="4"/>
        <v>7117146.1529675741</v>
      </c>
      <c r="AA82" s="31">
        <f t="shared" si="5"/>
        <v>1672384.5599999998</v>
      </c>
    </row>
    <row r="83" spans="1:27" ht="13">
      <c r="A83" s="9">
        <v>81</v>
      </c>
      <c r="B83" s="54" t="s">
        <v>774</v>
      </c>
      <c r="C83">
        <v>1.1285046728971964</v>
      </c>
      <c r="D83" s="55">
        <v>677</v>
      </c>
      <c r="E83" s="54">
        <v>483</v>
      </c>
      <c r="F83" s="54">
        <v>428</v>
      </c>
      <c r="G83" s="56">
        <v>51.2</v>
      </c>
      <c r="H83" s="56">
        <v>81.5</v>
      </c>
      <c r="I83" s="54">
        <v>86340</v>
      </c>
      <c r="J83" s="54">
        <v>2995000000</v>
      </c>
      <c r="K83" s="54">
        <v>12400000</v>
      </c>
      <c r="L83" s="54">
        <v>15350000</v>
      </c>
      <c r="M83" s="54">
        <v>186.2</v>
      </c>
      <c r="N83" s="54">
        <v>23193.8</v>
      </c>
      <c r="O83" s="54">
        <v>1069000000</v>
      </c>
      <c r="P83" s="54">
        <v>4994000</v>
      </c>
      <c r="Q83" s="54">
        <v>7680000</v>
      </c>
      <c r="R83" s="56">
        <v>111.3</v>
      </c>
      <c r="S83" s="54"/>
      <c r="T83" s="54">
        <v>164479000</v>
      </c>
      <c r="U83" s="243">
        <v>43081301312500</v>
      </c>
      <c r="V83" s="4">
        <v>69956</v>
      </c>
      <c r="W83" s="4">
        <v>15</v>
      </c>
      <c r="X83" s="31" t="str">
        <f>IF(C83&lt;=1.2,IF(H83&lt;=100,IF(Calcul!$AG$2=460,"a","b"),IF(Calcul!$AG$2=460,"c","d")),IF(H83&lt;=40,IF(Calcul!$AG$2=460,"a0","a"),IF(Calcul!$AG$2=460,"a","b")))</f>
        <v>b</v>
      </c>
      <c r="Y83" s="31" t="str">
        <f>IF(C83&lt;=1.2,IF(H83&lt;=100,IF(Calcul!$AG$2=460,"a","c"),IF(Calcul!$AG$2=460,"c","d")),IF(H83&lt;=40,IF(Calcul!$AG$2=460,"a0","b"),IF(Calcul!$AG$2=460,"a","c")))</f>
        <v>c</v>
      </c>
      <c r="Z83" s="156">
        <f t="shared" si="4"/>
        <v>7673049.3397196317</v>
      </c>
      <c r="AA83" s="31">
        <f t="shared" si="5"/>
        <v>1799016.33</v>
      </c>
    </row>
    <row r="84" spans="1:27" ht="13">
      <c r="A84" s="9">
        <v>82</v>
      </c>
      <c r="B84" s="54" t="s">
        <v>775</v>
      </c>
      <c r="C84">
        <v>1.1527777777777777</v>
      </c>
      <c r="D84" s="55">
        <v>744</v>
      </c>
      <c r="E84" s="54">
        <v>498</v>
      </c>
      <c r="F84" s="54">
        <v>432</v>
      </c>
      <c r="G84" s="56">
        <v>55.6</v>
      </c>
      <c r="H84" s="56">
        <v>88.9</v>
      </c>
      <c r="I84" s="54">
        <v>94810</v>
      </c>
      <c r="J84" s="54">
        <v>3421000000</v>
      </c>
      <c r="K84" s="54">
        <v>13740000</v>
      </c>
      <c r="L84" s="54">
        <v>17170000</v>
      </c>
      <c r="M84" s="54">
        <v>190</v>
      </c>
      <c r="N84" s="54">
        <v>25610.239999999994</v>
      </c>
      <c r="O84" s="54">
        <v>1199000000</v>
      </c>
      <c r="P84" s="54">
        <v>5552000</v>
      </c>
      <c r="Q84" s="54">
        <v>8549000</v>
      </c>
      <c r="R84" s="56">
        <v>112.5</v>
      </c>
      <c r="S84" s="54"/>
      <c r="T84" s="54">
        <v>213687000</v>
      </c>
      <c r="U84" s="243">
        <v>50167002297500.008</v>
      </c>
      <c r="V84" s="4">
        <v>77006.880000000005</v>
      </c>
      <c r="W84" s="4">
        <v>15</v>
      </c>
      <c r="X84" s="31" t="str">
        <f>IF(C84&lt;=1.2,IF(H84&lt;=100,IF(Calcul!$AG$2=460,"a","b"),IF(Calcul!$AG$2=460,"c","d")),IF(H84&lt;=40,IF(Calcul!$AG$2=460,"a0","a"),IF(Calcul!$AG$2=460,"a","b")))</f>
        <v>b</v>
      </c>
      <c r="Y84" s="31" t="str">
        <f>IF(C84&lt;=1.2,IF(H84&lt;=100,IF(Calcul!$AG$2=460,"a","c"),IF(Calcul!$AG$2=460,"c","d")),IF(H84&lt;=40,IF(Calcul!$AG$2=460,"a0","b"),IF(Calcul!$AG$2=460,"a","c")))</f>
        <v>c</v>
      </c>
      <c r="Z84" s="156">
        <f t="shared" si="4"/>
        <v>8583409.2148022801</v>
      </c>
      <c r="AA84" s="31">
        <f t="shared" si="5"/>
        <v>1992433.9120000002</v>
      </c>
    </row>
    <row r="85" spans="1:27" ht="13">
      <c r="A85" s="9">
        <v>83</v>
      </c>
      <c r="B85" s="54" t="s">
        <v>776</v>
      </c>
      <c r="C85">
        <v>1.1762013729977117</v>
      </c>
      <c r="D85" s="55">
        <v>818</v>
      </c>
      <c r="E85" s="54">
        <v>514</v>
      </c>
      <c r="F85" s="54">
        <v>437</v>
      </c>
      <c r="G85" s="56">
        <v>60.5</v>
      </c>
      <c r="H85" s="56">
        <v>97</v>
      </c>
      <c r="I85" s="54">
        <v>104330</v>
      </c>
      <c r="J85" s="54">
        <v>3922000000</v>
      </c>
      <c r="K85" s="54">
        <v>15260000</v>
      </c>
      <c r="L85" s="54">
        <v>19260000</v>
      </c>
      <c r="M85" s="54">
        <v>193.9</v>
      </c>
      <c r="N85" s="54">
        <v>28330.5</v>
      </c>
      <c r="O85" s="54">
        <v>1355000000</v>
      </c>
      <c r="P85" s="54">
        <v>6203000</v>
      </c>
      <c r="Q85" s="54">
        <v>9561000</v>
      </c>
      <c r="R85" s="56">
        <v>114</v>
      </c>
      <c r="S85" s="54"/>
      <c r="T85" s="54">
        <v>278490000</v>
      </c>
      <c r="U85" s="243">
        <v>58904898750000</v>
      </c>
      <c r="V85" s="4">
        <v>84970</v>
      </c>
      <c r="W85" s="4">
        <v>15</v>
      </c>
      <c r="X85" s="31" t="str">
        <f>IF(C85&lt;=1.2,IF(H85&lt;=100,IF(Calcul!$AG$2=460,"a","b"),IF(Calcul!$AG$2=460,"c","d")),IF(H85&lt;=40,IF(Calcul!$AG$2=460,"a0","a"),IF(Calcul!$AG$2=460,"a","b")))</f>
        <v>b</v>
      </c>
      <c r="Y85" s="31" t="str">
        <f>IF(C85&lt;=1.2,IF(H85&lt;=100,IF(Calcul!$AG$2=460,"a","c"),IF(Calcul!$AG$2=460,"c","d")),IF(H85&lt;=40,IF(Calcul!$AG$2=460,"a0","b"),IF(Calcul!$AG$2=460,"a","c")))</f>
        <v>c</v>
      </c>
      <c r="Z85" s="156">
        <f t="shared" si="4"/>
        <v>9627634.3397196326</v>
      </c>
      <c r="AA85" s="31">
        <f t="shared" si="5"/>
        <v>2216192.34375</v>
      </c>
    </row>
    <row r="86" spans="1:27" ht="13">
      <c r="A86" s="9">
        <v>84</v>
      </c>
      <c r="B86" s="54" t="s">
        <v>777</v>
      </c>
      <c r="C86">
        <v>1.2013574660633484</v>
      </c>
      <c r="D86" s="55">
        <v>900</v>
      </c>
      <c r="E86" s="54">
        <v>531</v>
      </c>
      <c r="F86" s="54">
        <v>442</v>
      </c>
      <c r="G86" s="56">
        <v>65.900000000000006</v>
      </c>
      <c r="H86" s="56">
        <v>106</v>
      </c>
      <c r="I86" s="54">
        <v>114920</v>
      </c>
      <c r="J86" s="54">
        <v>4502000000</v>
      </c>
      <c r="K86" s="54">
        <v>16960000</v>
      </c>
      <c r="L86" s="54">
        <v>21620000</v>
      </c>
      <c r="M86" s="54">
        <v>197.9</v>
      </c>
      <c r="N86" s="54">
        <v>31381.4</v>
      </c>
      <c r="O86" s="54">
        <v>1533000000</v>
      </c>
      <c r="P86" s="54">
        <v>6938000</v>
      </c>
      <c r="Q86" s="54">
        <v>10710000</v>
      </c>
      <c r="R86" s="56">
        <v>115.5</v>
      </c>
      <c r="S86" s="54"/>
      <c r="T86" s="54">
        <v>364215000</v>
      </c>
      <c r="U86" s="243">
        <v>69224531250000</v>
      </c>
      <c r="V86" s="4">
        <v>93897.9</v>
      </c>
      <c r="W86" s="4">
        <v>15</v>
      </c>
      <c r="X86" s="31" t="str">
        <f>IF(C86&lt;=1.2,IF(H86&lt;=100,IF(Calcul!$AG$2=460,"a","b"),IF(Calcul!$AG$2=460,"c","d")),IF(H86&lt;=40,IF(Calcul!$AG$2=460,"a0","a"),IF(Calcul!$AG$2=460,"a","b")))</f>
        <v>b</v>
      </c>
      <c r="Y86" s="31" t="str">
        <f>IF(C86&lt;=1.2,IF(H86&lt;=100,IF(Calcul!$AG$2=460,"a","c"),IF(Calcul!$AG$2=460,"c","d")),IF(H86&lt;=40,IF(Calcul!$AG$2=460,"a0","b"),IF(Calcul!$AG$2=460,"a","c")))</f>
        <v>c</v>
      </c>
      <c r="Z86" s="156">
        <f t="shared" si="4"/>
        <v>10809385.791806396</v>
      </c>
      <c r="AA86" s="31">
        <f t="shared" si="5"/>
        <v>2466715.2675000005</v>
      </c>
    </row>
    <row r="87" spans="1:27" ht="13">
      <c r="A87" s="9">
        <v>85</v>
      </c>
      <c r="B87" s="54" t="s">
        <v>778</v>
      </c>
      <c r="C87">
        <v>1.2276785714285714</v>
      </c>
      <c r="D87" s="55">
        <v>990</v>
      </c>
      <c r="E87" s="54">
        <v>550</v>
      </c>
      <c r="F87" s="54">
        <v>448</v>
      </c>
      <c r="G87" s="56">
        <v>71.900000000000006</v>
      </c>
      <c r="H87" s="56">
        <v>115</v>
      </c>
      <c r="I87" s="54">
        <v>126240</v>
      </c>
      <c r="J87" s="54">
        <v>5189000000</v>
      </c>
      <c r="K87" s="54">
        <v>18870000</v>
      </c>
      <c r="L87" s="54">
        <v>24280000</v>
      </c>
      <c r="M87" s="54">
        <v>202.7</v>
      </c>
      <c r="N87" s="54">
        <v>34918.5</v>
      </c>
      <c r="O87" s="54">
        <v>1734000000</v>
      </c>
      <c r="P87" s="54">
        <v>7739000</v>
      </c>
      <c r="Q87" s="54">
        <v>11960000</v>
      </c>
      <c r="R87" s="56">
        <v>117.2</v>
      </c>
      <c r="S87" s="54"/>
      <c r="T87" s="54">
        <v>469142000</v>
      </c>
      <c r="U87" s="243">
        <v>82029037500000</v>
      </c>
      <c r="V87" s="4">
        <v>103232</v>
      </c>
      <c r="W87" s="4">
        <v>15</v>
      </c>
      <c r="X87" s="31" t="str">
        <f>IF(C87&lt;=1.2,IF(H87&lt;=100,IF(Calcul!$AG$2=460,"a","b"),IF(Calcul!$AG$2=460,"c","d")),IF(H87&lt;=40,IF(Calcul!$AG$2=460,"a0","a"),IF(Calcul!$AG$2=460,"a","b")))</f>
        <v>b</v>
      </c>
      <c r="Y87" s="31" t="str">
        <f>IF(C87&lt;=1.2,IF(H87&lt;=100,IF(Calcul!$AG$2=460,"a","c"),IF(Calcul!$AG$2=460,"c","d")),IF(H87&lt;=40,IF(Calcul!$AG$2=460,"a0","b"),IF(Calcul!$AG$2=460,"a","c")))</f>
        <v>c</v>
      </c>
      <c r="Z87" s="156">
        <f t="shared" si="4"/>
        <v>12141047.839719633</v>
      </c>
      <c r="AA87" s="31">
        <f t="shared" si="5"/>
        <v>2735855.6062500007</v>
      </c>
    </row>
    <row r="88" spans="1:27" ht="13">
      <c r="A88" s="9">
        <v>86</v>
      </c>
      <c r="B88" s="54" t="s">
        <v>779</v>
      </c>
      <c r="C88">
        <v>1.2533039647577093</v>
      </c>
      <c r="D88" s="55">
        <v>1086</v>
      </c>
      <c r="E88" s="54">
        <v>569</v>
      </c>
      <c r="F88" s="54">
        <v>454</v>
      </c>
      <c r="G88" s="56">
        <v>78</v>
      </c>
      <c r="H88" s="56">
        <v>125</v>
      </c>
      <c r="I88" s="54">
        <v>138580</v>
      </c>
      <c r="J88" s="54">
        <v>5957000000</v>
      </c>
      <c r="K88" s="54">
        <v>20940000</v>
      </c>
      <c r="L88" s="54">
        <v>27210000</v>
      </c>
      <c r="M88" s="54">
        <v>207.3</v>
      </c>
      <c r="N88" s="54">
        <v>38580</v>
      </c>
      <c r="O88" s="54">
        <v>1962000000</v>
      </c>
      <c r="P88" s="54">
        <v>8645000</v>
      </c>
      <c r="Q88" s="54">
        <v>13380000</v>
      </c>
      <c r="R88" s="56">
        <v>119</v>
      </c>
      <c r="S88" s="54"/>
      <c r="T88" s="54">
        <v>605012000</v>
      </c>
      <c r="U88" s="243">
        <v>96695208000000</v>
      </c>
      <c r="V88" s="4">
        <v>113698</v>
      </c>
      <c r="W88" s="4">
        <v>15</v>
      </c>
      <c r="X88" s="31" t="str">
        <f>IF(C88&lt;=1.2,IF(H88&lt;=100,IF(Calcul!$AG$2=460,"a","b"),IF(Calcul!$AG$2=460,"c","d")),IF(H88&lt;=40,IF(Calcul!$AG$2=460,"a0","a"),IF(Calcul!$AG$2=460,"a","b")))</f>
        <v>b</v>
      </c>
      <c r="Y88" s="31" t="str">
        <f>IF(C88&lt;=1.2,IF(H88&lt;=100,IF(Calcul!$AG$2=460,"a","c"),IF(Calcul!$AG$2=460,"c","d")),IF(H88&lt;=40,IF(Calcul!$AG$2=460,"a0","b"),IF(Calcul!$AG$2=460,"a","c")))</f>
        <v>c</v>
      </c>
      <c r="Z88" s="156">
        <f t="shared" si="4"/>
        <v>13605749.304306395</v>
      </c>
      <c r="AA88" s="31">
        <f t="shared" si="5"/>
        <v>3038312.5</v>
      </c>
    </row>
    <row r="89" spans="1:27" ht="13">
      <c r="A89" s="9">
        <v>87</v>
      </c>
      <c r="B89" s="54" t="s">
        <v>780</v>
      </c>
      <c r="C89">
        <v>1.2314225053078556</v>
      </c>
      <c r="D89" s="55">
        <v>1202</v>
      </c>
      <c r="E89" s="54">
        <v>580</v>
      </c>
      <c r="F89" s="54">
        <v>471</v>
      </c>
      <c r="G89" s="56">
        <v>95</v>
      </c>
      <c r="H89" s="56">
        <v>130</v>
      </c>
      <c r="I89" s="54">
        <v>153060</v>
      </c>
      <c r="J89" s="54">
        <v>6636000000</v>
      </c>
      <c r="K89" s="54">
        <v>22880000</v>
      </c>
      <c r="L89" s="54">
        <v>30020000</v>
      </c>
      <c r="M89" s="54">
        <v>208.2</v>
      </c>
      <c r="N89" s="54">
        <v>46850</v>
      </c>
      <c r="O89" s="54">
        <v>2287000000</v>
      </c>
      <c r="P89" s="54">
        <v>9712000</v>
      </c>
      <c r="Q89" s="54">
        <v>15150000</v>
      </c>
      <c r="R89" s="56">
        <v>122.2</v>
      </c>
      <c r="S89" s="54"/>
      <c r="T89" s="54">
        <v>762948000</v>
      </c>
      <c r="U89" s="243">
        <v>115779375000000</v>
      </c>
      <c r="V89" s="4">
        <v>122660</v>
      </c>
      <c r="W89" s="4">
        <v>15</v>
      </c>
      <c r="X89" s="31" t="str">
        <f>IF(C89&lt;=1.2,IF(H89&lt;=100,IF(Calcul!$AG$2=460,"a","b"),IF(Calcul!$AG$2=460,"c","d")),IF(H89&lt;=40,IF(Calcul!$AG$2=460,"a0","a"),IF(Calcul!$AG$2=460,"a","b")))</f>
        <v>b</v>
      </c>
      <c r="Y89" s="31" t="str">
        <f>IF(C89&lt;=1.2,IF(H89&lt;=100,IF(Calcul!$AG$2=460,"a","c"),IF(Calcul!$AG$2=460,"c","d")),IF(H89&lt;=40,IF(Calcul!$AG$2=460,"a0","b"),IF(Calcul!$AG$2=460,"a","c")))</f>
        <v>c</v>
      </c>
      <c r="Z89" s="156">
        <f t="shared" si="4"/>
        <v>15007877.839719633</v>
      </c>
      <c r="AA89" s="31">
        <f t="shared" si="5"/>
        <v>3351010</v>
      </c>
    </row>
    <row r="90" spans="1:27" ht="13">
      <c r="A90" s="9">
        <v>88</v>
      </c>
      <c r="B90" s="54" t="s">
        <v>781</v>
      </c>
      <c r="C90">
        <v>1.2605042016806722</v>
      </c>
      <c r="D90" s="55">
        <v>1299</v>
      </c>
      <c r="E90" s="54">
        <v>600</v>
      </c>
      <c r="F90" s="54">
        <v>476</v>
      </c>
      <c r="G90" s="56">
        <v>100</v>
      </c>
      <c r="H90" s="56">
        <v>140</v>
      </c>
      <c r="I90" s="54">
        <v>165480</v>
      </c>
      <c r="J90" s="54">
        <v>7546000000</v>
      </c>
      <c r="K90" s="54">
        <v>25150000</v>
      </c>
      <c r="L90" s="54">
        <v>33250000</v>
      </c>
      <c r="M90" s="54">
        <v>213.5</v>
      </c>
      <c r="N90" s="54">
        <v>50400</v>
      </c>
      <c r="O90" s="54">
        <v>2544000000</v>
      </c>
      <c r="P90" s="54">
        <v>10690000</v>
      </c>
      <c r="Q90" s="54">
        <v>16670000</v>
      </c>
      <c r="R90" s="56">
        <v>124</v>
      </c>
      <c r="S90" s="54"/>
      <c r="T90" s="54">
        <v>944511000</v>
      </c>
      <c r="U90" s="243">
        <v>134577600000000</v>
      </c>
      <c r="V90" s="4">
        <v>133480</v>
      </c>
      <c r="W90" s="4">
        <v>15</v>
      </c>
      <c r="X90" s="31" t="str">
        <f>IF(C90&lt;=1.2,IF(H90&lt;=100,IF(Calcul!$AG$2=460,"a","b"),IF(Calcul!$AG$2=460,"c","d")),IF(H90&lt;=40,IF(Calcul!$AG$2=460,"a0","a"),IF(Calcul!$AG$2=460,"a","b")))</f>
        <v>b</v>
      </c>
      <c r="Y90" s="31" t="str">
        <f>IF(C90&lt;=1.2,IF(H90&lt;=100,IF(Calcul!$AG$2=460,"a","c"),IF(Calcul!$AG$2=460,"c","d")),IF(H90&lt;=40,IF(Calcul!$AG$2=460,"a0","b"),IF(Calcul!$AG$2=460,"a","c")))</f>
        <v>c</v>
      </c>
      <c r="Z90" s="156">
        <f t="shared" si="4"/>
        <v>16622327.839719633</v>
      </c>
      <c r="AA90" s="31">
        <f t="shared" si="5"/>
        <v>3669330</v>
      </c>
    </row>
  </sheetData>
  <phoneticPr fontId="3" type="noConversion"/>
  <pageMargins left="0.78740157499999996" right="0.78740157499999996" top="0.984251969" bottom="0.984251969" header="0.4921259845" footer="0.4921259845"/>
  <headerFooter alignWithMargins="0">
    <oddFooter>&amp;R_x000D_&amp;1#&amp;"Aptos"&amp;10&amp;K000000 Data sensitivity - Public</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7"/>
  <dimension ref="A1:BI263"/>
  <sheetViews>
    <sheetView workbookViewId="0">
      <selection activeCell="D69" sqref="D69"/>
    </sheetView>
  </sheetViews>
  <sheetFormatPr defaultColWidth="10.90625" defaultRowHeight="12.5"/>
  <cols>
    <col min="2" max="2" width="14.54296875" style="9" bestFit="1" customWidth="1"/>
    <col min="21" max="21" width="13.81640625" customWidth="1"/>
    <col min="26" max="26" width="13.81640625" customWidth="1"/>
    <col min="27" max="27" width="11.453125" style="63"/>
    <col min="28" max="28" width="15" style="63" bestFit="1" customWidth="1"/>
    <col min="29" max="29" width="16.453125" style="63" bestFit="1" customWidth="1"/>
  </cols>
  <sheetData>
    <row r="1" spans="1:61" ht="13">
      <c r="A1" t="s">
        <v>200</v>
      </c>
      <c r="B1" s="31" t="s">
        <v>504</v>
      </c>
      <c r="C1" s="31" t="s">
        <v>250</v>
      </c>
      <c r="D1" s="6" t="s">
        <v>11</v>
      </c>
      <c r="E1" s="6" t="s">
        <v>12</v>
      </c>
      <c r="F1" s="6" t="s">
        <v>13</v>
      </c>
      <c r="G1" s="7" t="s">
        <v>14</v>
      </c>
      <c r="H1" s="7" t="s">
        <v>15</v>
      </c>
      <c r="I1" s="6" t="s">
        <v>16</v>
      </c>
      <c r="J1" s="6" t="s">
        <v>2</v>
      </c>
      <c r="K1" s="6" t="s">
        <v>4</v>
      </c>
      <c r="L1" s="6" t="s">
        <v>17</v>
      </c>
      <c r="M1" s="6" t="s">
        <v>6</v>
      </c>
      <c r="N1" s="6" t="s">
        <v>18</v>
      </c>
      <c r="O1" s="6" t="s">
        <v>7</v>
      </c>
      <c r="P1" s="6" t="s">
        <v>8</v>
      </c>
      <c r="Q1" s="6" t="s">
        <v>19</v>
      </c>
      <c r="R1" s="7" t="s">
        <v>9</v>
      </c>
      <c r="S1" s="6" t="s">
        <v>20</v>
      </c>
      <c r="T1" s="6" t="s">
        <v>10</v>
      </c>
      <c r="U1" s="31" t="s">
        <v>456</v>
      </c>
      <c r="V1" s="71" t="s">
        <v>191</v>
      </c>
      <c r="W1" s="71" t="s">
        <v>211</v>
      </c>
      <c r="X1" s="59" t="s">
        <v>92</v>
      </c>
      <c r="Y1" s="31" t="s">
        <v>252</v>
      </c>
      <c r="Z1" s="31" t="s">
        <v>371</v>
      </c>
      <c r="AA1" s="31" t="s">
        <v>342</v>
      </c>
      <c r="AB1" s="153"/>
      <c r="AC1" s="153"/>
      <c r="AD1" s="4"/>
      <c r="AE1" s="4"/>
      <c r="AG1" s="9"/>
      <c r="AH1" s="4"/>
      <c r="AI1" s="4"/>
      <c r="AJ1" s="4"/>
      <c r="AK1" s="4"/>
      <c r="AL1" s="4"/>
      <c r="AM1" s="5"/>
      <c r="AN1" s="5"/>
      <c r="AO1" s="4"/>
      <c r="AP1" s="4"/>
      <c r="AQ1" s="4"/>
      <c r="AR1" s="4"/>
      <c r="AS1" s="4"/>
      <c r="AT1" s="4"/>
      <c r="AU1" s="4"/>
      <c r="AV1" s="4"/>
      <c r="AW1" s="4"/>
      <c r="AX1" s="5"/>
      <c r="AY1" s="4"/>
      <c r="AZ1" s="4"/>
      <c r="BA1" s="4"/>
      <c r="BB1" s="4"/>
      <c r="BC1" s="4"/>
      <c r="BD1" s="4"/>
      <c r="BE1" s="4"/>
      <c r="BF1" s="4"/>
      <c r="BG1" s="4"/>
      <c r="BH1" s="4"/>
      <c r="BI1" s="4"/>
    </row>
    <row r="2" spans="1:61" ht="13">
      <c r="A2" s="9"/>
      <c r="B2" s="72"/>
      <c r="C2" s="72"/>
      <c r="D2" s="75" t="s">
        <v>22</v>
      </c>
      <c r="E2" s="67" t="s">
        <v>212</v>
      </c>
      <c r="F2" s="67" t="s">
        <v>0</v>
      </c>
      <c r="G2" s="67" t="s">
        <v>0</v>
      </c>
      <c r="H2" s="67" t="s">
        <v>0</v>
      </c>
      <c r="I2" s="6" t="s">
        <v>1</v>
      </c>
      <c r="J2" s="6" t="s">
        <v>3</v>
      </c>
      <c r="K2" s="6" t="s">
        <v>5</v>
      </c>
      <c r="L2" s="6" t="s">
        <v>5</v>
      </c>
      <c r="M2" s="6" t="s">
        <v>0</v>
      </c>
      <c r="N2" s="6" t="s">
        <v>1</v>
      </c>
      <c r="O2" s="6" t="s">
        <v>3</v>
      </c>
      <c r="P2" s="6" t="s">
        <v>5</v>
      </c>
      <c r="Q2" s="6" t="s">
        <v>5</v>
      </c>
      <c r="R2" s="7" t="s">
        <v>0</v>
      </c>
      <c r="S2" s="6" t="s">
        <v>0</v>
      </c>
      <c r="T2" s="6" t="s">
        <v>3</v>
      </c>
      <c r="U2" s="6" t="s">
        <v>23</v>
      </c>
      <c r="V2" s="71" t="s">
        <v>1</v>
      </c>
      <c r="W2" s="71" t="s">
        <v>0</v>
      </c>
      <c r="X2" s="59" t="s">
        <v>251</v>
      </c>
      <c r="Y2" s="73" t="s">
        <v>251</v>
      </c>
      <c r="Z2" s="59" t="s">
        <v>5</v>
      </c>
      <c r="AA2" s="59" t="s">
        <v>5</v>
      </c>
      <c r="AB2" s="154"/>
      <c r="AC2" s="154"/>
      <c r="AD2" s="4"/>
      <c r="AE2" s="4"/>
      <c r="AG2" s="9"/>
      <c r="AH2" s="4"/>
      <c r="AI2" s="4"/>
      <c r="AJ2" s="4"/>
      <c r="AK2" s="4"/>
      <c r="AL2" s="4"/>
      <c r="AM2" s="5"/>
      <c r="AN2" s="5"/>
      <c r="AO2" s="4"/>
      <c r="AP2" s="4"/>
      <c r="AQ2" s="4"/>
      <c r="AR2" s="4"/>
      <c r="AS2" s="4"/>
      <c r="AT2" s="4"/>
      <c r="AU2" s="4"/>
      <c r="AV2" s="4"/>
      <c r="AW2" s="4"/>
      <c r="AX2" s="5"/>
      <c r="AY2" s="4"/>
      <c r="AZ2" s="4"/>
      <c r="BA2" s="4"/>
      <c r="BB2" s="4"/>
      <c r="BC2" s="4"/>
      <c r="BD2" s="4"/>
      <c r="BE2" s="4"/>
      <c r="BF2" s="4"/>
      <c r="BG2" s="4"/>
      <c r="BH2" s="4"/>
      <c r="BI2" s="4"/>
    </row>
    <row r="3" spans="1:61" ht="13">
      <c r="A3" s="9">
        <v>1</v>
      </c>
      <c r="B3" s="35" t="s">
        <v>782</v>
      </c>
      <c r="C3" s="40">
        <v>0.91</v>
      </c>
      <c r="D3" s="76">
        <v>12.2</v>
      </c>
      <c r="E3" s="76">
        <v>91</v>
      </c>
      <c r="F3" s="76">
        <v>100</v>
      </c>
      <c r="G3" s="76">
        <v>4.2</v>
      </c>
      <c r="H3" s="76">
        <v>5.5</v>
      </c>
      <c r="I3" s="76">
        <v>1560</v>
      </c>
      <c r="J3" s="77">
        <v>2365000</v>
      </c>
      <c r="K3" s="77">
        <v>51980</v>
      </c>
      <c r="L3" s="77">
        <v>58360</v>
      </c>
      <c r="M3" s="78">
        <v>38.9</v>
      </c>
      <c r="N3" s="80">
        <v>615.1</v>
      </c>
      <c r="O3" s="80">
        <v>921000</v>
      </c>
      <c r="P3" s="80">
        <v>18410</v>
      </c>
      <c r="Q3" s="80">
        <v>28440</v>
      </c>
      <c r="R3" s="78">
        <v>24.3</v>
      </c>
      <c r="S3" s="79">
        <v>29.26</v>
      </c>
      <c r="T3" s="80">
        <v>23300</v>
      </c>
      <c r="U3" s="242">
        <v>1683185062.5</v>
      </c>
      <c r="V3" s="81">
        <v>1224</v>
      </c>
      <c r="W3" s="74">
        <v>12</v>
      </c>
      <c r="X3" s="31" t="str">
        <f>IF(C3&lt;=1.2,IF(H3&lt;=100,IF(Calcul!$AG$2=460,"a","b"),IF(Calcul!$AG$2=460,"c","d")),IF(H3&lt;=40,IF(Calcul!$AG$2=460,"a0","a"),IF(Calcul!$AG$2=460,"a","b")))</f>
        <v>b</v>
      </c>
      <c r="Y3" s="31" t="str">
        <f>IF(C3&lt;=1.2,IF(H3&lt;=100,IF(Calcul!$AG$2=460,"a","c"),IF(Calcul!$AG$2=460,"c","d")),IF(H3&lt;=40,IF(Calcul!$AG$2=460,"a0","b"),IF(Calcul!$AG$2=460,"a","c")))</f>
        <v>c</v>
      </c>
      <c r="Z3" s="156">
        <f t="shared" ref="Z3:Z66" si="0">G3*(0.5*E3-H3)^2/2+(2-PI()/2)*W3^2*((0.5*E3-H3-W3)+(((1-PI()/2*0.4244)*W3)/(2-PI()/2)))+(H3*F3)*(0.5*E3-0.5*H3)</f>
        <v>29179.084989596427</v>
      </c>
      <c r="AA3" s="31">
        <f t="shared" ref="AA3:AA66" si="1">(0.5*(0.5*F3-W3-0.5*G3)+W3+0.5*G3)*H3*(0.5*F3-W3-0.5*G3)</f>
        <v>6328.2724999999991</v>
      </c>
    </row>
    <row r="4" spans="1:61" ht="13">
      <c r="A4" s="9">
        <v>2</v>
      </c>
      <c r="B4" s="35" t="s">
        <v>783</v>
      </c>
      <c r="C4" s="40">
        <v>0.96</v>
      </c>
      <c r="D4" s="76">
        <v>16.7</v>
      </c>
      <c r="E4" s="76">
        <v>96</v>
      </c>
      <c r="F4" s="76">
        <v>100</v>
      </c>
      <c r="G4" s="76">
        <v>5</v>
      </c>
      <c r="H4" s="76">
        <v>8</v>
      </c>
      <c r="I4" s="76">
        <v>2120</v>
      </c>
      <c r="J4" s="77">
        <v>3492000</v>
      </c>
      <c r="K4" s="77">
        <v>72760</v>
      </c>
      <c r="L4" s="77">
        <v>83010</v>
      </c>
      <c r="M4" s="78">
        <v>40.6</v>
      </c>
      <c r="N4" s="80">
        <v>752</v>
      </c>
      <c r="O4" s="80">
        <v>1338000</v>
      </c>
      <c r="P4" s="80">
        <v>26760</v>
      </c>
      <c r="Q4" s="80">
        <v>41140</v>
      </c>
      <c r="R4" s="78">
        <v>25.1</v>
      </c>
      <c r="S4" s="79">
        <v>35.06</v>
      </c>
      <c r="T4" s="80">
        <v>52800</v>
      </c>
      <c r="U4" s="242">
        <v>2590368000</v>
      </c>
      <c r="V4" s="81">
        <v>1720</v>
      </c>
      <c r="W4" s="74">
        <v>12</v>
      </c>
      <c r="X4" s="31" t="str">
        <f>IF(C4&lt;=1.2,IF(H4&lt;=100,IF(Calcul!$AG$2=460,"a","b"),IF(Calcul!$AG$2=460,"c","d")),IF(H4&lt;=40,IF(Calcul!$AG$2=460,"a0","a"),IF(Calcul!$AG$2=460,"a","b")))</f>
        <v>b</v>
      </c>
      <c r="Y4" s="31" t="str">
        <f>IF(C4&lt;=1.2,IF(H4&lt;=100,IF(Calcul!$AG$2=460,"a","c"),IF(Calcul!$AG$2=460,"c","d")),IF(H4&lt;=40,IF(Calcul!$AG$2=460,"a0","b"),IF(Calcul!$AG$2=460,"a","c")))</f>
        <v>c</v>
      </c>
      <c r="Z4" s="156">
        <f t="shared" si="0"/>
        <v>41506.584989596427</v>
      </c>
      <c r="AA4" s="31">
        <f t="shared" si="1"/>
        <v>9159</v>
      </c>
    </row>
    <row r="5" spans="1:61" ht="13">
      <c r="A5" s="9">
        <v>3</v>
      </c>
      <c r="B5" s="35" t="s">
        <v>784</v>
      </c>
      <c r="C5" s="40">
        <v>1</v>
      </c>
      <c r="D5" s="76">
        <v>20.399999999999999</v>
      </c>
      <c r="E5" s="76">
        <v>100</v>
      </c>
      <c r="F5" s="76">
        <v>100</v>
      </c>
      <c r="G5" s="76">
        <v>6</v>
      </c>
      <c r="H5" s="76">
        <v>10</v>
      </c>
      <c r="I5" s="76">
        <v>2600</v>
      </c>
      <c r="J5" s="77">
        <v>4495000</v>
      </c>
      <c r="K5" s="77">
        <v>89910</v>
      </c>
      <c r="L5" s="77">
        <v>104200</v>
      </c>
      <c r="M5" s="78">
        <v>41.6</v>
      </c>
      <c r="N5" s="80">
        <v>900</v>
      </c>
      <c r="O5" s="80">
        <v>1673000</v>
      </c>
      <c r="P5" s="80">
        <v>33450</v>
      </c>
      <c r="Q5" s="80">
        <v>51420</v>
      </c>
      <c r="R5" s="78">
        <v>25.3</v>
      </c>
      <c r="S5" s="79">
        <v>40.06</v>
      </c>
      <c r="T5" s="80">
        <v>93300</v>
      </c>
      <c r="U5" s="242">
        <v>3387825000</v>
      </c>
      <c r="V5" s="81">
        <v>2120</v>
      </c>
      <c r="W5" s="74">
        <v>12</v>
      </c>
      <c r="X5" s="31" t="str">
        <f>IF(C5&lt;=1.2,IF(H5&lt;=100,IF(Calcul!$AG$2=460,"a","b"),IF(Calcul!$AG$2=460,"c","d")),IF(H5&lt;=40,IF(Calcul!$AG$2=460,"a0","a"),IF(Calcul!$AG$2=460,"a","b")))</f>
        <v>b</v>
      </c>
      <c r="Y5" s="31" t="str">
        <f>IF(C5&lt;=1.2,IF(H5&lt;=100,IF(Calcul!$AG$2=460,"a","c"),IF(Calcul!$AG$2=460,"c","d")),IF(H5&lt;=40,IF(Calcul!$AG$2=460,"a0","b"),IF(Calcul!$AG$2=460,"a","c")))</f>
        <v>c</v>
      </c>
      <c r="Z5" s="156">
        <f t="shared" si="0"/>
        <v>52106.584989596427</v>
      </c>
      <c r="AA5" s="31">
        <f t="shared" si="1"/>
        <v>11375</v>
      </c>
    </row>
    <row r="6" spans="1:61" ht="13">
      <c r="A6" s="9">
        <v>4</v>
      </c>
      <c r="B6" s="35" t="s">
        <v>785</v>
      </c>
      <c r="C6" s="40">
        <v>1.0679611650485437</v>
      </c>
      <c r="D6" s="76">
        <v>30.9</v>
      </c>
      <c r="E6" s="76">
        <v>110</v>
      </c>
      <c r="F6" s="76">
        <v>103</v>
      </c>
      <c r="G6" s="76">
        <v>9</v>
      </c>
      <c r="H6" s="76">
        <v>15</v>
      </c>
      <c r="I6" s="76">
        <v>3930</v>
      </c>
      <c r="J6" s="77">
        <v>7587000</v>
      </c>
      <c r="K6" s="77">
        <v>137900</v>
      </c>
      <c r="L6" s="77">
        <v>165800</v>
      </c>
      <c r="M6" s="78">
        <v>43.9</v>
      </c>
      <c r="N6" s="80">
        <v>1335</v>
      </c>
      <c r="O6" s="80">
        <v>2744000</v>
      </c>
      <c r="P6" s="80">
        <v>53280</v>
      </c>
      <c r="Q6" s="80">
        <v>82080</v>
      </c>
      <c r="R6" s="78">
        <v>26.4</v>
      </c>
      <c r="S6" s="79">
        <v>53.06</v>
      </c>
      <c r="T6" s="80">
        <v>291000</v>
      </c>
      <c r="U6" s="242">
        <v>6191150000</v>
      </c>
      <c r="V6" s="81">
        <v>3210</v>
      </c>
      <c r="W6" s="74">
        <v>12</v>
      </c>
      <c r="X6" s="31" t="str">
        <f>IF(C6&lt;=1.2,IF(H6&lt;=100,IF(Calcul!$AG$2=460,"a","b"),IF(Calcul!$AG$2=460,"c","d")),IF(H6&lt;=40,IF(Calcul!$AG$2=460,"a0","a"),IF(Calcul!$AG$2=460,"a","b")))</f>
        <v>b</v>
      </c>
      <c r="Y6" s="31" t="str">
        <f>IF(C6&lt;=1.2,IF(H6&lt;=100,IF(Calcul!$AG$2=460,"a","c"),IF(Calcul!$AG$2=460,"c","d")),IF(H6&lt;=40,IF(Calcul!$AG$2=460,"a0","b"),IF(Calcul!$AG$2=460,"a","c")))</f>
        <v>c</v>
      </c>
      <c r="Z6" s="156">
        <f t="shared" si="0"/>
        <v>82894.08498959642</v>
      </c>
      <c r="AA6" s="31">
        <f t="shared" si="1"/>
        <v>17850</v>
      </c>
    </row>
    <row r="7" spans="1:61" ht="13">
      <c r="A7" s="9">
        <v>5</v>
      </c>
      <c r="B7" s="35" t="s">
        <v>786</v>
      </c>
      <c r="C7" s="40">
        <v>1.1320754716981132</v>
      </c>
      <c r="D7" s="76">
        <v>41.8</v>
      </c>
      <c r="E7" s="76">
        <v>120</v>
      </c>
      <c r="F7" s="76">
        <v>106</v>
      </c>
      <c r="G7" s="76">
        <v>12</v>
      </c>
      <c r="H7" s="76">
        <v>20</v>
      </c>
      <c r="I7" s="76">
        <v>5320</v>
      </c>
      <c r="J7" s="77">
        <v>11430000</v>
      </c>
      <c r="K7" s="77">
        <v>190400</v>
      </c>
      <c r="L7" s="77">
        <v>235800</v>
      </c>
      <c r="M7" s="78">
        <v>46.3</v>
      </c>
      <c r="N7" s="80">
        <v>1800</v>
      </c>
      <c r="O7" s="80">
        <v>3992000</v>
      </c>
      <c r="P7" s="80">
        <v>75310</v>
      </c>
      <c r="Q7" s="80">
        <v>116300</v>
      </c>
      <c r="R7" s="78">
        <v>27.4</v>
      </c>
      <c r="S7" s="79">
        <v>66.06</v>
      </c>
      <c r="T7" s="80">
        <v>672000</v>
      </c>
      <c r="U7" s="242">
        <v>9980000000</v>
      </c>
      <c r="V7" s="81">
        <v>4360</v>
      </c>
      <c r="W7" s="74">
        <v>12</v>
      </c>
      <c r="X7" s="31" t="str">
        <f>IF(C7&lt;=1.2,IF(H7&lt;=100,IF(Calcul!$AG$2=460,"a","b"),IF(Calcul!$AG$2=460,"c","d")),IF(H7&lt;=40,IF(Calcul!$AG$2=460,"a0","a"),IF(Calcul!$AG$2=460,"a","b")))</f>
        <v>b</v>
      </c>
      <c r="Y7" s="31" t="str">
        <f>IF(C7&lt;=1.2,IF(H7&lt;=100,IF(Calcul!$AG$2=460,"a","c"),IF(Calcul!$AG$2=460,"c","d")),IF(H7&lt;=40,IF(Calcul!$AG$2=460,"a0","b"),IF(Calcul!$AG$2=460,"a","c")))</f>
        <v>c</v>
      </c>
      <c r="Z7" s="156">
        <f t="shared" si="0"/>
        <v>117906.58498959642</v>
      </c>
      <c r="AA7" s="31">
        <f t="shared" si="1"/>
        <v>24850</v>
      </c>
    </row>
    <row r="8" spans="1:61" ht="13">
      <c r="A8" s="9">
        <v>6</v>
      </c>
      <c r="B8" s="35" t="s">
        <v>787</v>
      </c>
      <c r="C8" s="40">
        <v>0.90833333333333333</v>
      </c>
      <c r="D8" s="76">
        <v>14.6</v>
      </c>
      <c r="E8" s="76">
        <v>109</v>
      </c>
      <c r="F8" s="76">
        <v>120</v>
      </c>
      <c r="G8" s="76">
        <v>4.2</v>
      </c>
      <c r="H8" s="76">
        <v>5.5</v>
      </c>
      <c r="I8" s="76">
        <v>1860</v>
      </c>
      <c r="J8" s="77">
        <v>4134000</v>
      </c>
      <c r="K8" s="77">
        <v>75850</v>
      </c>
      <c r="L8" s="77">
        <v>84120</v>
      </c>
      <c r="M8" s="78">
        <v>47.2</v>
      </c>
      <c r="N8" s="80">
        <v>695.1</v>
      </c>
      <c r="O8" s="80">
        <v>1588000</v>
      </c>
      <c r="P8" s="80">
        <v>26470</v>
      </c>
      <c r="Q8" s="80">
        <v>40620</v>
      </c>
      <c r="R8" s="78">
        <v>29.3</v>
      </c>
      <c r="S8" s="79">
        <v>29.26</v>
      </c>
      <c r="T8" s="80">
        <v>25900</v>
      </c>
      <c r="U8" s="242">
        <v>4252763250</v>
      </c>
      <c r="V8" s="81">
        <v>1448.4</v>
      </c>
      <c r="W8" s="74">
        <v>12</v>
      </c>
      <c r="X8" s="31" t="str">
        <f>IF(C8&lt;=1.2,IF(H8&lt;=100,IF(Calcul!$AG$2=460,"a","b"),IF(Calcul!$AG$2=460,"c","d")),IF(H8&lt;=40,IF(Calcul!$AG$2=460,"a0","a"),IF(Calcul!$AG$2=460,"a","b")))</f>
        <v>b</v>
      </c>
      <c r="Y8" s="31" t="str">
        <f>IF(C8&lt;=1.2,IF(H8&lt;=100,IF(Calcul!$AG$2=460,"a","c"),IF(Calcul!$AG$2=460,"c","d")),IF(H8&lt;=40,IF(Calcul!$AG$2=460,"a0","b"),IF(Calcul!$AG$2=460,"a","c")))</f>
        <v>c</v>
      </c>
      <c r="Z8" s="156">
        <f t="shared" si="0"/>
        <v>42059.932950070244</v>
      </c>
      <c r="AA8" s="31">
        <f t="shared" si="1"/>
        <v>9353.2725000000009</v>
      </c>
    </row>
    <row r="9" spans="1:61" ht="13">
      <c r="A9" s="9">
        <v>7</v>
      </c>
      <c r="B9" s="35" t="s">
        <v>788</v>
      </c>
      <c r="C9" s="40">
        <v>0.95</v>
      </c>
      <c r="D9" s="76">
        <v>19.899999999999999</v>
      </c>
      <c r="E9" s="76">
        <v>114</v>
      </c>
      <c r="F9" s="76">
        <v>120</v>
      </c>
      <c r="G9" s="76">
        <v>5</v>
      </c>
      <c r="H9" s="76">
        <v>8</v>
      </c>
      <c r="I9" s="76">
        <v>2530</v>
      </c>
      <c r="J9" s="77">
        <v>6062000</v>
      </c>
      <c r="K9" s="77">
        <v>106300</v>
      </c>
      <c r="L9" s="77">
        <v>119500</v>
      </c>
      <c r="M9" s="78">
        <v>48.9</v>
      </c>
      <c r="N9" s="80">
        <v>842</v>
      </c>
      <c r="O9" s="80">
        <v>2309000</v>
      </c>
      <c r="P9" s="80">
        <v>38480</v>
      </c>
      <c r="Q9" s="80">
        <v>58850</v>
      </c>
      <c r="R9" s="78">
        <v>30.2</v>
      </c>
      <c r="S9" s="79">
        <v>35.06</v>
      </c>
      <c r="T9" s="80">
        <v>60400</v>
      </c>
      <c r="U9" s="242">
        <v>6485981000</v>
      </c>
      <c r="V9" s="81">
        <v>2040</v>
      </c>
      <c r="W9" s="74">
        <v>12</v>
      </c>
      <c r="X9" s="31" t="str">
        <f>IF(C9&lt;=1.2,IF(H9&lt;=100,IF(Calcul!$AG$2=460,"a","b"),IF(Calcul!$AG$2=460,"c","d")),IF(H9&lt;=40,IF(Calcul!$AG$2=460,"a0","a"),IF(Calcul!$AG$2=460,"a","b")))</f>
        <v>b</v>
      </c>
      <c r="Y9" s="31" t="str">
        <f>IF(C9&lt;=1.2,IF(H9&lt;=100,IF(Calcul!$AG$2=460,"a","c"),IF(Calcul!$AG$2=460,"c","d")),IF(H9&lt;=40,IF(Calcul!$AG$2=460,"a0","b"),IF(Calcul!$AG$2=460,"a","c")))</f>
        <v>c</v>
      </c>
      <c r="Z9" s="156">
        <f t="shared" si="0"/>
        <v>59745.332950070238</v>
      </c>
      <c r="AA9" s="31">
        <f t="shared" si="1"/>
        <v>13559</v>
      </c>
    </row>
    <row r="10" spans="1:61" ht="13">
      <c r="A10" s="9">
        <v>8</v>
      </c>
      <c r="B10" s="35" t="s">
        <v>789</v>
      </c>
      <c r="C10" s="40">
        <v>1</v>
      </c>
      <c r="D10" s="76">
        <v>26.7</v>
      </c>
      <c r="E10" s="76">
        <v>120</v>
      </c>
      <c r="F10" s="76">
        <v>120</v>
      </c>
      <c r="G10" s="76">
        <v>6.5</v>
      </c>
      <c r="H10" s="76">
        <v>11</v>
      </c>
      <c r="I10" s="76">
        <v>3400</v>
      </c>
      <c r="J10" s="77">
        <v>8644000</v>
      </c>
      <c r="K10" s="77">
        <v>144100</v>
      </c>
      <c r="L10" s="77">
        <v>165200</v>
      </c>
      <c r="M10" s="78">
        <v>50.4</v>
      </c>
      <c r="N10" s="80">
        <v>1095.5</v>
      </c>
      <c r="O10" s="80">
        <v>3175000</v>
      </c>
      <c r="P10" s="80">
        <v>52920</v>
      </c>
      <c r="Q10" s="80">
        <v>80970</v>
      </c>
      <c r="R10" s="78">
        <v>30.6</v>
      </c>
      <c r="S10" s="79">
        <v>42.56</v>
      </c>
      <c r="T10" s="80">
        <v>139000</v>
      </c>
      <c r="U10" s="242">
        <v>9430543750</v>
      </c>
      <c r="V10" s="81">
        <v>2763</v>
      </c>
      <c r="W10" s="74">
        <v>12</v>
      </c>
      <c r="X10" s="31" t="str">
        <f>IF(C10&lt;=1.2,IF(H10&lt;=100,IF(Calcul!$AG$2=460,"a","b"),IF(Calcul!$AG$2=460,"c","d")),IF(H10&lt;=40,IF(Calcul!$AG$2=460,"a0","a"),IF(Calcul!$AG$2=460,"a","b")))</f>
        <v>b</v>
      </c>
      <c r="Y10" s="31" t="str">
        <f>IF(C10&lt;=1.2,IF(H10&lt;=100,IF(Calcul!$AG$2=460,"a","c"),IF(Calcul!$AG$2=460,"c","d")),IF(H10&lt;=40,IF(Calcul!$AG$2=460,"a0","b"),IF(Calcul!$AG$2=460,"a","c")))</f>
        <v>c</v>
      </c>
      <c r="Z10" s="156">
        <f t="shared" si="0"/>
        <v>82606.082950070238</v>
      </c>
      <c r="AA10" s="31">
        <f t="shared" si="1"/>
        <v>18520.90625</v>
      </c>
    </row>
    <row r="11" spans="1:61" ht="13">
      <c r="A11" s="9">
        <v>9</v>
      </c>
      <c r="B11" s="35" t="s">
        <v>790</v>
      </c>
      <c r="C11" s="40">
        <v>1.056910569105691</v>
      </c>
      <c r="D11" s="76">
        <v>39.200000000000003</v>
      </c>
      <c r="E11" s="76">
        <v>130</v>
      </c>
      <c r="F11" s="76">
        <v>123</v>
      </c>
      <c r="G11" s="76">
        <v>9.5</v>
      </c>
      <c r="H11" s="76">
        <v>16</v>
      </c>
      <c r="I11" s="76">
        <v>4990</v>
      </c>
      <c r="J11" s="77">
        <v>13880000</v>
      </c>
      <c r="K11" s="77">
        <v>213600</v>
      </c>
      <c r="L11" s="77">
        <v>252900</v>
      </c>
      <c r="M11" s="78">
        <v>52.7</v>
      </c>
      <c r="N11" s="80">
        <v>1590</v>
      </c>
      <c r="O11" s="80">
        <v>4977000</v>
      </c>
      <c r="P11" s="80">
        <v>80920</v>
      </c>
      <c r="Q11" s="80">
        <v>124200</v>
      </c>
      <c r="R11" s="78">
        <v>31.6</v>
      </c>
      <c r="S11" s="79">
        <v>55.56</v>
      </c>
      <c r="T11" s="80">
        <v>407000</v>
      </c>
      <c r="U11" s="242">
        <v>16170273000</v>
      </c>
      <c r="V11" s="81">
        <v>4059</v>
      </c>
      <c r="W11" s="74">
        <v>12</v>
      </c>
      <c r="X11" s="31" t="str">
        <f>IF(C11&lt;=1.2,IF(H11&lt;=100,IF(Calcul!$AG$2=460,"a","b"),IF(Calcul!$AG$2=460,"c","d")),IF(H11&lt;=40,IF(Calcul!$AG$2=460,"a0","a"),IF(Calcul!$AG$2=460,"a","b")))</f>
        <v>b</v>
      </c>
      <c r="Y11" s="31" t="str">
        <f>IF(C11&lt;=1.2,IF(H11&lt;=100,IF(Calcul!$AG$2=460,"a","c"),IF(Calcul!$AG$2=460,"c","d")),IF(H11&lt;=40,IF(Calcul!$AG$2=460,"a0","b"),IF(Calcul!$AG$2=460,"a","c")))</f>
        <v>c</v>
      </c>
      <c r="Z11" s="156">
        <f t="shared" si="0"/>
        <v>126443.58295007024</v>
      </c>
      <c r="AA11" s="31">
        <f t="shared" si="1"/>
        <v>28013.5</v>
      </c>
    </row>
    <row r="12" spans="1:61" ht="13">
      <c r="A12" s="9">
        <v>10</v>
      </c>
      <c r="B12" s="35" t="s">
        <v>791</v>
      </c>
      <c r="C12" s="40">
        <v>1.1111111111111112</v>
      </c>
      <c r="D12" s="76">
        <v>52.1</v>
      </c>
      <c r="E12" s="76">
        <v>140</v>
      </c>
      <c r="F12" s="76">
        <v>126</v>
      </c>
      <c r="G12" s="76">
        <v>12.5</v>
      </c>
      <c r="H12" s="76">
        <v>21</v>
      </c>
      <c r="I12" s="76">
        <v>6640</v>
      </c>
      <c r="J12" s="77">
        <v>20180000</v>
      </c>
      <c r="K12" s="77">
        <v>288200</v>
      </c>
      <c r="L12" s="77">
        <v>350600</v>
      </c>
      <c r="M12" s="78">
        <v>55.1</v>
      </c>
      <c r="N12" s="80">
        <v>2114.5</v>
      </c>
      <c r="O12" s="80">
        <v>7028000</v>
      </c>
      <c r="P12" s="80">
        <v>111600</v>
      </c>
      <c r="Q12" s="80">
        <v>171600</v>
      </c>
      <c r="R12" s="78">
        <v>32.5</v>
      </c>
      <c r="S12" s="79">
        <v>68.56</v>
      </c>
      <c r="T12" s="80">
        <v>905000</v>
      </c>
      <c r="U12" s="242">
        <v>24880877000</v>
      </c>
      <c r="V12" s="81">
        <v>5415</v>
      </c>
      <c r="W12" s="74">
        <v>12</v>
      </c>
      <c r="X12" s="31" t="str">
        <f>IF(C12&lt;=1.2,IF(H12&lt;=100,IF(Calcul!$AG$2=460,"a","b"),IF(Calcul!$AG$2=460,"c","d")),IF(H12&lt;=40,IF(Calcul!$AG$2=460,"a0","a"),IF(Calcul!$AG$2=460,"a","b")))</f>
        <v>b</v>
      </c>
      <c r="Y12" s="31" t="str">
        <f>IF(C12&lt;=1.2,IF(H12&lt;=100,IF(Calcul!$AG$2=460,"a","c"),IF(Calcul!$AG$2=460,"c","d")),IF(H12&lt;=40,IF(Calcul!$AG$2=460,"a0","b"),IF(Calcul!$AG$2=460,"a","c")))</f>
        <v>c</v>
      </c>
      <c r="Z12" s="156">
        <f t="shared" si="0"/>
        <v>175306.08295007024</v>
      </c>
      <c r="AA12" s="31">
        <f t="shared" si="1"/>
        <v>38177.34375</v>
      </c>
    </row>
    <row r="13" spans="1:61" ht="13">
      <c r="A13" s="9">
        <v>11</v>
      </c>
      <c r="B13" s="35" t="s">
        <v>792</v>
      </c>
      <c r="C13" s="40">
        <v>0.91428571428571426</v>
      </c>
      <c r="D13" s="76">
        <v>18.100000000000001</v>
      </c>
      <c r="E13" s="76">
        <v>128</v>
      </c>
      <c r="F13" s="76">
        <v>140</v>
      </c>
      <c r="G13" s="76">
        <v>4.3</v>
      </c>
      <c r="H13" s="76">
        <v>6</v>
      </c>
      <c r="I13" s="76">
        <v>2300</v>
      </c>
      <c r="J13" s="77">
        <v>7195000</v>
      </c>
      <c r="K13" s="77">
        <v>112400</v>
      </c>
      <c r="L13" s="77">
        <v>123800</v>
      </c>
      <c r="M13" s="78">
        <v>55.9</v>
      </c>
      <c r="N13" s="80">
        <v>789.8</v>
      </c>
      <c r="O13" s="80">
        <v>2748000</v>
      </c>
      <c r="P13" s="80">
        <v>39260</v>
      </c>
      <c r="Q13" s="80">
        <v>59930</v>
      </c>
      <c r="R13" s="78">
        <v>34.5</v>
      </c>
      <c r="S13" s="79">
        <v>30.36</v>
      </c>
      <c r="T13" s="80">
        <v>34300</v>
      </c>
      <c r="U13" s="242">
        <v>10225308000</v>
      </c>
      <c r="V13" s="81">
        <v>1801.2</v>
      </c>
      <c r="W13" s="74">
        <v>12</v>
      </c>
      <c r="X13" s="31" t="str">
        <f>IF(C13&lt;=1.2,IF(H13&lt;=100,IF(Calcul!$AG$2=460,"a","b"),IF(Calcul!$AG$2=460,"c","d")),IF(H13&lt;=40,IF(Calcul!$AG$2=460,"a0","a"),IF(Calcul!$AG$2=460,"a","b")))</f>
        <v>b</v>
      </c>
      <c r="Y13" s="31" t="str">
        <f>IF(C13&lt;=1.2,IF(H13&lt;=100,IF(Calcul!$AG$2=460,"a","c"),IF(Calcul!$AG$2=460,"c","d")),IF(H13&lt;=40,IF(Calcul!$AG$2=460,"a0","b"),IF(Calcul!$AG$2=460,"a","c")))</f>
        <v>c</v>
      </c>
      <c r="Z13" s="156">
        <f t="shared" si="0"/>
        <v>61891.680910544055</v>
      </c>
      <c r="AA13" s="31">
        <f t="shared" si="1"/>
        <v>14099.3325</v>
      </c>
    </row>
    <row r="14" spans="1:61" ht="13">
      <c r="A14" s="9">
        <v>12</v>
      </c>
      <c r="B14" s="35" t="s">
        <v>793</v>
      </c>
      <c r="C14" s="40">
        <v>0.95</v>
      </c>
      <c r="D14" s="76">
        <v>24.7</v>
      </c>
      <c r="E14" s="76">
        <v>133</v>
      </c>
      <c r="F14" s="76">
        <v>140</v>
      </c>
      <c r="G14" s="76">
        <v>5.5</v>
      </c>
      <c r="H14" s="76">
        <v>8.5</v>
      </c>
      <c r="I14" s="76">
        <v>3140</v>
      </c>
      <c r="J14" s="77">
        <v>10330000</v>
      </c>
      <c r="K14" s="77">
        <v>155400</v>
      </c>
      <c r="L14" s="77">
        <v>173500</v>
      </c>
      <c r="M14" s="78">
        <v>57.3</v>
      </c>
      <c r="N14" s="80">
        <v>1010.75</v>
      </c>
      <c r="O14" s="80">
        <v>3893000</v>
      </c>
      <c r="P14" s="80">
        <v>55620</v>
      </c>
      <c r="Q14" s="80">
        <v>84850</v>
      </c>
      <c r="R14" s="78">
        <v>35.200000000000003</v>
      </c>
      <c r="S14" s="79">
        <v>36.56</v>
      </c>
      <c r="T14" s="80">
        <v>81000</v>
      </c>
      <c r="U14" s="242">
        <v>15085618312.5</v>
      </c>
      <c r="V14" s="81">
        <v>2502</v>
      </c>
      <c r="W14" s="74">
        <v>12</v>
      </c>
      <c r="X14" s="31" t="str">
        <f>IF(C14&lt;=1.2,IF(H14&lt;=100,IF(Calcul!$AG$2=460,"a","b"),IF(Calcul!$AG$2=460,"c","d")),IF(H14&lt;=40,IF(Calcul!$AG$2=460,"a0","a"),IF(Calcul!$AG$2=460,"a","b")))</f>
        <v>b</v>
      </c>
      <c r="Y14" s="31" t="str">
        <f>IF(C14&lt;=1.2,IF(H14&lt;=100,IF(Calcul!$AG$2=460,"a","c"),IF(Calcul!$AG$2=460,"c","d")),IF(H14&lt;=40,IF(Calcul!$AG$2=460,"a0","b"),IF(Calcul!$AG$2=460,"a","c")))</f>
        <v>c</v>
      </c>
      <c r="Z14" s="156">
        <f t="shared" si="0"/>
        <v>86747.580910544057</v>
      </c>
      <c r="AA14" s="31">
        <f t="shared" si="1"/>
        <v>19900.359375</v>
      </c>
    </row>
    <row r="15" spans="1:61" ht="13">
      <c r="A15" s="9">
        <v>13</v>
      </c>
      <c r="B15" s="35" t="s">
        <v>794</v>
      </c>
      <c r="C15" s="40">
        <v>1</v>
      </c>
      <c r="D15" s="76">
        <v>33.700000000000003</v>
      </c>
      <c r="E15" s="76">
        <v>140</v>
      </c>
      <c r="F15" s="76">
        <v>140</v>
      </c>
      <c r="G15" s="76">
        <v>7</v>
      </c>
      <c r="H15" s="76">
        <v>12</v>
      </c>
      <c r="I15" s="76">
        <v>4300</v>
      </c>
      <c r="J15" s="77">
        <v>15090000</v>
      </c>
      <c r="K15" s="77">
        <v>215600</v>
      </c>
      <c r="L15" s="77">
        <v>245400</v>
      </c>
      <c r="M15" s="78">
        <v>59.3</v>
      </c>
      <c r="N15" s="80">
        <v>1312</v>
      </c>
      <c r="O15" s="80">
        <v>5497000</v>
      </c>
      <c r="P15" s="80">
        <v>78520</v>
      </c>
      <c r="Q15" s="80">
        <v>119800</v>
      </c>
      <c r="R15" s="78">
        <v>35.799999999999997</v>
      </c>
      <c r="S15" s="79">
        <v>45.06</v>
      </c>
      <c r="T15" s="80">
        <v>202000</v>
      </c>
      <c r="U15" s="242">
        <v>22515712000</v>
      </c>
      <c r="V15" s="81">
        <v>3488</v>
      </c>
      <c r="W15" s="74">
        <v>12</v>
      </c>
      <c r="X15" s="31" t="str">
        <f>IF(C15&lt;=1.2,IF(H15&lt;=100,IF(Calcul!$AG$2=460,"a","b"),IF(Calcul!$AG$2=460,"c","d")),IF(H15&lt;=40,IF(Calcul!$AG$2=460,"a0","a"),IF(Calcul!$AG$2=460,"a","b")))</f>
        <v>b</v>
      </c>
      <c r="Y15" s="31" t="str">
        <f>IF(C15&lt;=1.2,IF(H15&lt;=100,IF(Calcul!$AG$2=460,"a","c"),IF(Calcul!$AG$2=460,"c","d")),IF(H15&lt;=40,IF(Calcul!$AG$2=460,"a0","b"),IF(Calcul!$AG$2=460,"a","c")))</f>
        <v>c</v>
      </c>
      <c r="Z15" s="156">
        <f t="shared" si="0"/>
        <v>122713.08091054406</v>
      </c>
      <c r="AA15" s="31">
        <f t="shared" si="1"/>
        <v>27958.5</v>
      </c>
    </row>
    <row r="16" spans="1:61" ht="13">
      <c r="A16" s="9">
        <v>14</v>
      </c>
      <c r="B16" s="35" t="s">
        <v>795</v>
      </c>
      <c r="C16" s="40">
        <v>1.048951048951049</v>
      </c>
      <c r="D16" s="76">
        <v>48.2</v>
      </c>
      <c r="E16" s="76">
        <v>150</v>
      </c>
      <c r="F16" s="76">
        <v>143</v>
      </c>
      <c r="G16" s="76">
        <v>10</v>
      </c>
      <c r="H16" s="76">
        <v>17</v>
      </c>
      <c r="I16" s="76">
        <v>6150</v>
      </c>
      <c r="J16" s="77">
        <v>23300000</v>
      </c>
      <c r="K16" s="77">
        <v>310600</v>
      </c>
      <c r="L16" s="77">
        <v>363800</v>
      </c>
      <c r="M16" s="78">
        <v>61.6</v>
      </c>
      <c r="N16" s="80">
        <v>1866</v>
      </c>
      <c r="O16" s="80">
        <v>8303000</v>
      </c>
      <c r="P16" s="80">
        <v>116100</v>
      </c>
      <c r="Q16" s="80">
        <v>177700</v>
      </c>
      <c r="R16" s="78">
        <v>36.799999999999997</v>
      </c>
      <c r="S16" s="79">
        <v>58.06</v>
      </c>
      <c r="T16" s="80">
        <v>554000</v>
      </c>
      <c r="U16" s="242">
        <v>36717941750</v>
      </c>
      <c r="V16" s="81">
        <v>4990</v>
      </c>
      <c r="W16" s="74">
        <v>12</v>
      </c>
      <c r="X16" s="31" t="str">
        <f>IF(C16&lt;=1.2,IF(H16&lt;=100,IF(Calcul!$AG$2=460,"a","b"),IF(Calcul!$AG$2=460,"c","d")),IF(H16&lt;=40,IF(Calcul!$AG$2=460,"a0","a"),IF(Calcul!$AG$2=460,"a","b")))</f>
        <v>b</v>
      </c>
      <c r="Y16" s="31" t="str">
        <f>IF(C16&lt;=1.2,IF(H16&lt;=100,IF(Calcul!$AG$2=460,"a","c"),IF(Calcul!$AG$2=460,"c","d")),IF(H16&lt;=40,IF(Calcul!$AG$2=460,"a0","b"),IF(Calcul!$AG$2=460,"a","c")))</f>
        <v>c</v>
      </c>
      <c r="Z16" s="156">
        <f t="shared" si="0"/>
        <v>181900.58091054406</v>
      </c>
      <c r="AA16" s="31">
        <f t="shared" si="1"/>
        <v>40997.625</v>
      </c>
    </row>
    <row r="17" spans="1:27" ht="13">
      <c r="A17" s="9">
        <v>15</v>
      </c>
      <c r="B17" s="35" t="s">
        <v>796</v>
      </c>
      <c r="C17" s="40">
        <v>1.095890410958904</v>
      </c>
      <c r="D17" s="76">
        <v>63.2</v>
      </c>
      <c r="E17" s="76">
        <v>160</v>
      </c>
      <c r="F17" s="76">
        <v>146</v>
      </c>
      <c r="G17" s="76">
        <v>13</v>
      </c>
      <c r="H17" s="76">
        <v>22</v>
      </c>
      <c r="I17" s="76">
        <v>8060</v>
      </c>
      <c r="J17" s="77">
        <v>32910000</v>
      </c>
      <c r="K17" s="77">
        <v>411400</v>
      </c>
      <c r="L17" s="77">
        <v>493800</v>
      </c>
      <c r="M17" s="78">
        <v>63.9</v>
      </c>
      <c r="N17" s="80">
        <v>2449.9999999999991</v>
      </c>
      <c r="O17" s="80">
        <v>11440000</v>
      </c>
      <c r="P17" s="80">
        <v>156800</v>
      </c>
      <c r="Q17" s="80">
        <v>240500</v>
      </c>
      <c r="R17" s="78">
        <v>37.700000000000003</v>
      </c>
      <c r="S17" s="79">
        <v>71.06</v>
      </c>
      <c r="T17" s="80">
        <v>1190000</v>
      </c>
      <c r="U17" s="242">
        <v>54465840000</v>
      </c>
      <c r="V17" s="81">
        <v>6551.9999999999991</v>
      </c>
      <c r="W17" s="74">
        <v>12</v>
      </c>
      <c r="X17" s="31" t="str">
        <f>IF(C17&lt;=1.2,IF(H17&lt;=100,IF(Calcul!$AG$2=460,"a","b"),IF(Calcul!$AG$2=460,"c","d")),IF(H17&lt;=40,IF(Calcul!$AG$2=460,"a0","a"),IF(Calcul!$AG$2=460,"a","b")))</f>
        <v>b</v>
      </c>
      <c r="Y17" s="31" t="str">
        <f>IF(C17&lt;=1.2,IF(H17&lt;=100,IF(Calcul!$AG$2=460,"a","c"),IF(Calcul!$AG$2=460,"c","d")),IF(H17&lt;=40,IF(Calcul!$AG$2=460,"a0","b"),IF(Calcul!$AG$2=460,"a","c")))</f>
        <v>c</v>
      </c>
      <c r="Z17" s="156">
        <f t="shared" si="0"/>
        <v>246913.08091054406</v>
      </c>
      <c r="AA17" s="31">
        <f t="shared" si="1"/>
        <v>54854.25</v>
      </c>
    </row>
    <row r="18" spans="1:27" ht="13">
      <c r="A18" s="9">
        <v>16</v>
      </c>
      <c r="B18" s="35" t="s">
        <v>797</v>
      </c>
      <c r="C18" s="40">
        <v>0.92500000000000004</v>
      </c>
      <c r="D18" s="76">
        <v>23.8</v>
      </c>
      <c r="E18" s="76">
        <v>148</v>
      </c>
      <c r="F18" s="76">
        <v>160</v>
      </c>
      <c r="G18" s="76">
        <v>4.5</v>
      </c>
      <c r="H18" s="76">
        <v>7</v>
      </c>
      <c r="I18" s="76">
        <v>3040</v>
      </c>
      <c r="J18" s="77">
        <v>12830000</v>
      </c>
      <c r="K18" s="77">
        <v>173400</v>
      </c>
      <c r="L18" s="77">
        <v>190400</v>
      </c>
      <c r="M18" s="78">
        <v>65</v>
      </c>
      <c r="N18" s="80">
        <v>1041.5</v>
      </c>
      <c r="O18" s="80">
        <v>4787000</v>
      </c>
      <c r="P18" s="80">
        <v>59840</v>
      </c>
      <c r="Q18" s="80">
        <v>91360</v>
      </c>
      <c r="R18" s="78">
        <v>39.700000000000003</v>
      </c>
      <c r="S18" s="79">
        <v>36.07</v>
      </c>
      <c r="T18" s="80">
        <v>64300</v>
      </c>
      <c r="U18" s="242">
        <v>23792586750</v>
      </c>
      <c r="V18" s="81">
        <v>2437</v>
      </c>
      <c r="W18" s="74">
        <v>15</v>
      </c>
      <c r="X18" s="31" t="str">
        <f>IF(C18&lt;=1.2,IF(H18&lt;=100,IF(Calcul!$AG$2=460,"a","b"),IF(Calcul!$AG$2=460,"c","d")),IF(H18&lt;=40,IF(Calcul!$AG$2=460,"a0","a"),IF(Calcul!$AG$2=460,"a","b")))</f>
        <v>b</v>
      </c>
      <c r="Y18" s="31" t="str">
        <f>IF(C18&lt;=1.2,IF(H18&lt;=100,IF(Calcul!$AG$2=460,"a","c"),IF(Calcul!$AG$2=460,"c","d")),IF(H18&lt;=40,IF(Calcul!$AG$2=460,"a0","b"),IF(Calcul!$AG$2=460,"a","c")))</f>
        <v>c</v>
      </c>
      <c r="Z18" s="156">
        <f t="shared" si="0"/>
        <v>95207.002857815038</v>
      </c>
      <c r="AA18" s="31">
        <f t="shared" si="1"/>
        <v>21358.53125</v>
      </c>
    </row>
    <row r="19" spans="1:27" ht="13">
      <c r="A19" s="9">
        <v>17</v>
      </c>
      <c r="B19" s="35" t="s">
        <v>798</v>
      </c>
      <c r="C19" s="40">
        <v>0.95</v>
      </c>
      <c r="D19" s="76">
        <v>30.4</v>
      </c>
      <c r="E19" s="76">
        <v>152</v>
      </c>
      <c r="F19" s="76">
        <v>160</v>
      </c>
      <c r="G19" s="76">
        <v>6</v>
      </c>
      <c r="H19" s="76">
        <v>9</v>
      </c>
      <c r="I19" s="76">
        <v>3880</v>
      </c>
      <c r="J19" s="77">
        <v>16730000</v>
      </c>
      <c r="K19" s="77">
        <v>220100</v>
      </c>
      <c r="L19" s="77">
        <v>245100</v>
      </c>
      <c r="M19" s="78">
        <v>65.7</v>
      </c>
      <c r="N19" s="80">
        <v>1324</v>
      </c>
      <c r="O19" s="80">
        <v>6156000</v>
      </c>
      <c r="P19" s="80">
        <v>76950</v>
      </c>
      <c r="Q19" s="80">
        <v>117600</v>
      </c>
      <c r="R19" s="78">
        <v>39.799999999999997</v>
      </c>
      <c r="S19" s="79">
        <v>41.57</v>
      </c>
      <c r="T19" s="80">
        <v>121000</v>
      </c>
      <c r="U19" s="242">
        <v>31471011000</v>
      </c>
      <c r="V19" s="81">
        <v>3076</v>
      </c>
      <c r="W19" s="74">
        <v>15</v>
      </c>
      <c r="X19" s="31" t="str">
        <f>IF(C19&lt;=1.2,IF(H19&lt;=100,IF(Calcul!$AG$2=460,"a","b"),IF(Calcul!$AG$2=460,"c","d")),IF(H19&lt;=40,IF(Calcul!$AG$2=460,"a0","a"),IF(Calcul!$AG$2=460,"a","b")))</f>
        <v>b</v>
      </c>
      <c r="Y19" s="31" t="str">
        <f>IF(C19&lt;=1.2,IF(H19&lt;=100,IF(Calcul!$AG$2=460,"a","c"),IF(Calcul!$AG$2=460,"c","d")),IF(H19&lt;=40,IF(Calcul!$AG$2=460,"a0","b"),IF(Calcul!$AG$2=460,"a","c")))</f>
        <v>c</v>
      </c>
      <c r="Z19" s="156">
        <f t="shared" si="0"/>
        <v>122573.75285781504</v>
      </c>
      <c r="AA19" s="31">
        <f t="shared" si="1"/>
        <v>27342</v>
      </c>
    </row>
    <row r="20" spans="1:27" ht="13">
      <c r="A20" s="9">
        <v>18</v>
      </c>
      <c r="B20" s="35" t="s">
        <v>799</v>
      </c>
      <c r="C20" s="40">
        <v>1</v>
      </c>
      <c r="D20" s="76">
        <v>42.6</v>
      </c>
      <c r="E20" s="76">
        <v>160</v>
      </c>
      <c r="F20" s="76">
        <v>160</v>
      </c>
      <c r="G20" s="76">
        <v>8</v>
      </c>
      <c r="H20" s="76">
        <v>13</v>
      </c>
      <c r="I20" s="76">
        <v>5430</v>
      </c>
      <c r="J20" s="77">
        <v>24920000</v>
      </c>
      <c r="K20" s="77">
        <v>311500</v>
      </c>
      <c r="L20" s="77">
        <v>354000</v>
      </c>
      <c r="M20" s="78">
        <v>67.8</v>
      </c>
      <c r="N20" s="80">
        <v>1764</v>
      </c>
      <c r="O20" s="80">
        <v>8892000</v>
      </c>
      <c r="P20" s="80">
        <v>111200</v>
      </c>
      <c r="Q20" s="80">
        <v>170000</v>
      </c>
      <c r="R20" s="78">
        <v>40.5</v>
      </c>
      <c r="S20" s="79">
        <v>51.57</v>
      </c>
      <c r="T20" s="80">
        <v>313000</v>
      </c>
      <c r="U20" s="242">
        <v>48036807000</v>
      </c>
      <c r="V20" s="81">
        <v>4358</v>
      </c>
      <c r="W20" s="74">
        <v>15</v>
      </c>
      <c r="X20" s="31" t="str">
        <f>IF(C20&lt;=1.2,IF(H20&lt;=100,IF(Calcul!$AG$2=460,"a","b"),IF(Calcul!$AG$2=460,"c","d")),IF(H20&lt;=40,IF(Calcul!$AG$2=460,"a0","a"),IF(Calcul!$AG$2=460,"a","b")))</f>
        <v>b</v>
      </c>
      <c r="Y20" s="31" t="str">
        <f>IF(C20&lt;=1.2,IF(H20&lt;=100,IF(Calcul!$AG$2=460,"a","c"),IF(Calcul!$AG$2=460,"c","d")),IF(H20&lt;=40,IF(Calcul!$AG$2=460,"a0","b"),IF(Calcul!$AG$2=460,"a","c")))</f>
        <v>c</v>
      </c>
      <c r="Z20" s="156">
        <f t="shared" si="0"/>
        <v>176982.75285781504</v>
      </c>
      <c r="AA20" s="31">
        <f t="shared" si="1"/>
        <v>39253.5</v>
      </c>
    </row>
    <row r="21" spans="1:27" ht="13">
      <c r="A21" s="9">
        <v>19</v>
      </c>
      <c r="B21" s="35" t="s">
        <v>800</v>
      </c>
      <c r="C21" s="40">
        <v>1.0429447852760736</v>
      </c>
      <c r="D21" s="76">
        <v>59.2</v>
      </c>
      <c r="E21" s="76">
        <v>170</v>
      </c>
      <c r="F21" s="76">
        <v>163</v>
      </c>
      <c r="G21" s="76">
        <v>11</v>
      </c>
      <c r="H21" s="76">
        <v>18</v>
      </c>
      <c r="I21" s="76">
        <v>7540</v>
      </c>
      <c r="J21" s="77">
        <v>37040000</v>
      </c>
      <c r="K21" s="77">
        <v>435800</v>
      </c>
      <c r="L21" s="77">
        <v>507600</v>
      </c>
      <c r="M21" s="78">
        <v>70.099999999999994</v>
      </c>
      <c r="N21" s="80">
        <v>2410</v>
      </c>
      <c r="O21" s="80">
        <v>13020000</v>
      </c>
      <c r="P21" s="80">
        <v>159800</v>
      </c>
      <c r="Q21" s="80">
        <v>244900</v>
      </c>
      <c r="R21" s="78">
        <v>41.6</v>
      </c>
      <c r="S21" s="79">
        <v>64.569999999999993</v>
      </c>
      <c r="T21" s="80">
        <v>787000</v>
      </c>
      <c r="U21" s="242">
        <v>75203520000</v>
      </c>
      <c r="V21" s="81">
        <v>6066</v>
      </c>
      <c r="W21" s="74">
        <v>15</v>
      </c>
      <c r="X21" s="31" t="str">
        <f>IF(C21&lt;=1.2,IF(H21&lt;=100,IF(Calcul!$AG$2=460,"a","b"),IF(Calcul!$AG$2=460,"c","d")),IF(H21&lt;=40,IF(Calcul!$AG$2=460,"a0","a"),IF(Calcul!$AG$2=460,"a","b")))</f>
        <v>b</v>
      </c>
      <c r="Y21" s="31" t="str">
        <f>IF(C21&lt;=1.2,IF(H21&lt;=100,IF(Calcul!$AG$2=460,"a","c"),IF(Calcul!$AG$2=460,"c","d")),IF(H21&lt;=40,IF(Calcul!$AG$2=460,"a0","b"),IF(Calcul!$AG$2=460,"a","c")))</f>
        <v>c</v>
      </c>
      <c r="Z21" s="156">
        <f t="shared" si="0"/>
        <v>253820.25285781504</v>
      </c>
      <c r="AA21" s="31">
        <f t="shared" si="1"/>
        <v>55998</v>
      </c>
    </row>
    <row r="22" spans="1:27" ht="13">
      <c r="A22" s="9">
        <v>20</v>
      </c>
      <c r="B22" s="35" t="s">
        <v>801</v>
      </c>
      <c r="C22" s="40">
        <v>1.0843373493975903</v>
      </c>
      <c r="D22" s="76">
        <v>76.2</v>
      </c>
      <c r="E22" s="76">
        <v>180</v>
      </c>
      <c r="F22" s="76">
        <v>166</v>
      </c>
      <c r="G22" s="76">
        <v>14</v>
      </c>
      <c r="H22" s="76">
        <v>23</v>
      </c>
      <c r="I22" s="76">
        <v>9710</v>
      </c>
      <c r="J22" s="77">
        <v>50980000</v>
      </c>
      <c r="K22" s="77">
        <v>566500</v>
      </c>
      <c r="L22" s="77">
        <v>674600</v>
      </c>
      <c r="M22" s="78">
        <v>72.5</v>
      </c>
      <c r="N22" s="80">
        <v>3086</v>
      </c>
      <c r="O22" s="80">
        <v>17590000</v>
      </c>
      <c r="P22" s="80">
        <v>211900</v>
      </c>
      <c r="Q22" s="80">
        <v>325500</v>
      </c>
      <c r="R22" s="78">
        <v>42.6</v>
      </c>
      <c r="S22" s="79">
        <v>77.569999999999993</v>
      </c>
      <c r="T22" s="80">
        <v>1610000</v>
      </c>
      <c r="U22" s="242">
        <v>108393977500</v>
      </c>
      <c r="V22" s="81">
        <v>7834</v>
      </c>
      <c r="W22" s="74">
        <v>15</v>
      </c>
      <c r="X22" s="31" t="str">
        <f>IF(C22&lt;=1.2,IF(H22&lt;=100,IF(Calcul!$AG$2=460,"a","b"),IF(Calcul!$AG$2=460,"c","d")),IF(H22&lt;=40,IF(Calcul!$AG$2=460,"a0","a"),IF(Calcul!$AG$2=460,"a","b")))</f>
        <v>b</v>
      </c>
      <c r="Y22" s="31" t="str">
        <f>IF(C22&lt;=1.2,IF(H22&lt;=100,IF(Calcul!$AG$2=460,"a","c"),IF(Calcul!$AG$2=460,"c","d")),IF(H22&lt;=40,IF(Calcul!$AG$2=460,"a0","b"),IF(Calcul!$AG$2=460,"a","c")))</f>
        <v>c</v>
      </c>
      <c r="Z22" s="156">
        <f t="shared" si="0"/>
        <v>337282.75285781501</v>
      </c>
      <c r="AA22" s="31">
        <f t="shared" si="1"/>
        <v>73657.5</v>
      </c>
    </row>
    <row r="23" spans="1:27" ht="13">
      <c r="A23" s="9">
        <v>21</v>
      </c>
      <c r="B23" s="35" t="s">
        <v>802</v>
      </c>
      <c r="C23" s="40">
        <v>0.92777777777777781</v>
      </c>
      <c r="D23" s="76">
        <v>28.7</v>
      </c>
      <c r="E23" s="76">
        <v>167</v>
      </c>
      <c r="F23" s="76">
        <v>180</v>
      </c>
      <c r="G23" s="76">
        <v>5</v>
      </c>
      <c r="H23" s="76">
        <v>7.5</v>
      </c>
      <c r="I23" s="76">
        <v>3650</v>
      </c>
      <c r="J23" s="77">
        <v>19670000</v>
      </c>
      <c r="K23" s="77">
        <v>235600</v>
      </c>
      <c r="L23" s="77">
        <v>258200</v>
      </c>
      <c r="M23" s="78">
        <v>73.400000000000006</v>
      </c>
      <c r="N23" s="80">
        <v>1212.5</v>
      </c>
      <c r="O23" s="80">
        <v>7300000</v>
      </c>
      <c r="P23" s="80">
        <v>81110</v>
      </c>
      <c r="Q23" s="80">
        <v>123600</v>
      </c>
      <c r="R23" s="78">
        <v>44.7</v>
      </c>
      <c r="S23" s="79">
        <v>37.57</v>
      </c>
      <c r="T23" s="80">
        <v>83100</v>
      </c>
      <c r="U23" s="242">
        <v>46428456250</v>
      </c>
      <c r="V23" s="81">
        <v>2890</v>
      </c>
      <c r="W23" s="74">
        <v>15</v>
      </c>
      <c r="X23" s="31" t="str">
        <f>IF(C23&lt;=1.2,IF(H23&lt;=100,IF(Calcul!$AG$2=460,"a","b"),IF(Calcul!$AG$2=460,"c","d")),IF(H23&lt;=40,IF(Calcul!$AG$2=460,"a0","a"),IF(Calcul!$AG$2=460,"a","b")))</f>
        <v>b</v>
      </c>
      <c r="Y23" s="31" t="str">
        <f>IF(C23&lt;=1.2,IF(H23&lt;=100,IF(Calcul!$AG$2=460,"a","c"),IF(Calcul!$AG$2=460,"c","d")),IF(H23&lt;=40,IF(Calcul!$AG$2=460,"a0","b"),IF(Calcul!$AG$2=460,"a","c")))</f>
        <v>c</v>
      </c>
      <c r="Z23" s="156">
        <f t="shared" si="0"/>
        <v>129118.39029605538</v>
      </c>
      <c r="AA23" s="31">
        <f t="shared" si="1"/>
        <v>29226.5625</v>
      </c>
    </row>
    <row r="24" spans="1:27" ht="13">
      <c r="A24" s="9">
        <v>22</v>
      </c>
      <c r="B24" s="35" t="s">
        <v>803</v>
      </c>
      <c r="C24" s="40">
        <v>0.95</v>
      </c>
      <c r="D24" s="76">
        <v>35.5</v>
      </c>
      <c r="E24" s="76">
        <v>171</v>
      </c>
      <c r="F24" s="76">
        <v>180</v>
      </c>
      <c r="G24" s="76">
        <v>6</v>
      </c>
      <c r="H24" s="76">
        <v>9.5</v>
      </c>
      <c r="I24" s="76">
        <v>4530</v>
      </c>
      <c r="J24" s="77">
        <v>25100000</v>
      </c>
      <c r="K24" s="77">
        <v>293600</v>
      </c>
      <c r="L24" s="77">
        <v>324900</v>
      </c>
      <c r="M24" s="78">
        <v>74.5</v>
      </c>
      <c r="N24" s="80">
        <v>1452</v>
      </c>
      <c r="O24" s="80">
        <v>9246000</v>
      </c>
      <c r="P24" s="80">
        <v>102700</v>
      </c>
      <c r="Q24" s="80">
        <v>156500</v>
      </c>
      <c r="R24" s="78">
        <v>45.2</v>
      </c>
      <c r="S24" s="79">
        <v>42.57</v>
      </c>
      <c r="T24" s="80">
        <v>149000</v>
      </c>
      <c r="U24" s="242">
        <v>60289120875</v>
      </c>
      <c r="V24" s="81">
        <v>3618</v>
      </c>
      <c r="W24" s="74">
        <v>15</v>
      </c>
      <c r="X24" s="31" t="str">
        <f>IF(C24&lt;=1.2,IF(H24&lt;=100,IF(Calcul!$AG$2=460,"a","b"),IF(Calcul!$AG$2=460,"c","d")),IF(H24&lt;=40,IF(Calcul!$AG$2=460,"a0","a"),IF(Calcul!$AG$2=460,"a","b")))</f>
        <v>b</v>
      </c>
      <c r="Y24" s="31" t="str">
        <f>IF(C24&lt;=1.2,IF(H24&lt;=100,IF(Calcul!$AG$2=460,"a","c"),IF(Calcul!$AG$2=460,"c","d")),IF(H24&lt;=40,IF(Calcul!$AG$2=460,"a0","b"),IF(Calcul!$AG$2=460,"a","c")))</f>
        <v>c</v>
      </c>
      <c r="Z24" s="156">
        <f t="shared" si="0"/>
        <v>162426.39029605538</v>
      </c>
      <c r="AA24" s="31">
        <f t="shared" si="1"/>
        <v>36936</v>
      </c>
    </row>
    <row r="25" spans="1:27" ht="13">
      <c r="A25" s="9">
        <v>23</v>
      </c>
      <c r="B25" s="35" t="s">
        <v>804</v>
      </c>
      <c r="C25" s="40">
        <v>1</v>
      </c>
      <c r="D25" s="76">
        <v>51.2</v>
      </c>
      <c r="E25" s="76">
        <v>180</v>
      </c>
      <c r="F25" s="76">
        <v>180</v>
      </c>
      <c r="G25" s="76">
        <v>8.5</v>
      </c>
      <c r="H25" s="76">
        <v>14</v>
      </c>
      <c r="I25" s="76">
        <v>6530</v>
      </c>
      <c r="J25" s="77">
        <v>38310000</v>
      </c>
      <c r="K25" s="77">
        <v>425700</v>
      </c>
      <c r="L25" s="77">
        <v>481400</v>
      </c>
      <c r="M25" s="78">
        <v>76.599999999999994</v>
      </c>
      <c r="N25" s="80">
        <v>2029</v>
      </c>
      <c r="O25" s="80">
        <v>13630000</v>
      </c>
      <c r="P25" s="80">
        <v>151400</v>
      </c>
      <c r="Q25" s="80">
        <v>231000</v>
      </c>
      <c r="R25" s="78">
        <v>45.7</v>
      </c>
      <c r="S25" s="79">
        <v>54.07</v>
      </c>
      <c r="T25" s="80">
        <v>422000</v>
      </c>
      <c r="U25" s="242">
        <v>93897070000</v>
      </c>
      <c r="V25" s="81">
        <v>5238</v>
      </c>
      <c r="W25" s="74">
        <v>15</v>
      </c>
      <c r="X25" s="31" t="str">
        <f>IF(C25&lt;=1.2,IF(H25&lt;=100,IF(Calcul!$AG$2=460,"a","b"),IF(Calcul!$AG$2=460,"c","d")),IF(H25&lt;=40,IF(Calcul!$AG$2=460,"a0","a"),IF(Calcul!$AG$2=460,"a","b")))</f>
        <v>b</v>
      </c>
      <c r="Y25" s="31" t="str">
        <f>IF(C25&lt;=1.2,IF(H25&lt;=100,IF(Calcul!$AG$2=460,"a","c"),IF(Calcul!$AG$2=460,"c","d")),IF(H25&lt;=40,IF(Calcul!$AG$2=460,"a0","b"),IF(Calcul!$AG$2=460,"a","c")))</f>
        <v>c</v>
      </c>
      <c r="Z25" s="156">
        <f t="shared" si="0"/>
        <v>240723.89029605538</v>
      </c>
      <c r="AA25" s="31">
        <f t="shared" si="1"/>
        <v>54106.0625</v>
      </c>
    </row>
    <row r="26" spans="1:27" ht="13">
      <c r="A26" s="9">
        <v>24</v>
      </c>
      <c r="B26" s="35" t="s">
        <v>805</v>
      </c>
      <c r="C26" s="40">
        <v>1.0382513661202186</v>
      </c>
      <c r="D26" s="76">
        <v>69.8</v>
      </c>
      <c r="E26" s="76">
        <v>190</v>
      </c>
      <c r="F26" s="76">
        <v>183</v>
      </c>
      <c r="G26" s="76">
        <v>11.5</v>
      </c>
      <c r="H26" s="76">
        <v>19</v>
      </c>
      <c r="I26" s="76">
        <v>8900</v>
      </c>
      <c r="J26" s="77">
        <v>55430000</v>
      </c>
      <c r="K26" s="77">
        <v>583500</v>
      </c>
      <c r="L26" s="77">
        <v>675000</v>
      </c>
      <c r="M26" s="78">
        <v>78.900000000000006</v>
      </c>
      <c r="N26" s="80">
        <v>2734.5</v>
      </c>
      <c r="O26" s="80">
        <v>19440000</v>
      </c>
      <c r="P26" s="80">
        <v>212500</v>
      </c>
      <c r="Q26" s="80">
        <v>324900</v>
      </c>
      <c r="R26" s="78">
        <v>46.8</v>
      </c>
      <c r="S26" s="79">
        <v>67.069999999999993</v>
      </c>
      <c r="T26" s="80">
        <v>1010000</v>
      </c>
      <c r="U26" s="242">
        <v>142111260000</v>
      </c>
      <c r="V26" s="81">
        <v>7152</v>
      </c>
      <c r="W26" s="74">
        <v>15</v>
      </c>
      <c r="X26" s="31" t="str">
        <f>IF(C26&lt;=1.2,IF(H26&lt;=100,IF(Calcul!$AG$2=460,"a","b"),IF(Calcul!$AG$2=460,"c","d")),IF(H26&lt;=40,IF(Calcul!$AG$2=460,"a0","a"),IF(Calcul!$AG$2=460,"a","b")))</f>
        <v>b</v>
      </c>
      <c r="Y26" s="31" t="str">
        <f>IF(C26&lt;=1.2,IF(H26&lt;=100,IF(Calcul!$AG$2=460,"a","c"),IF(Calcul!$AG$2=460,"c","d")),IF(H26&lt;=40,IF(Calcul!$AG$2=460,"a0","b"),IF(Calcul!$AG$2=460,"a","c")))</f>
        <v>c</v>
      </c>
      <c r="Z26" s="156">
        <f t="shared" si="0"/>
        <v>337511.39029605535</v>
      </c>
      <c r="AA26" s="31">
        <f t="shared" si="1"/>
        <v>75446.03125</v>
      </c>
    </row>
    <row r="27" spans="1:27" ht="13">
      <c r="A27" s="9">
        <v>25</v>
      </c>
      <c r="B27" s="35" t="s">
        <v>806</v>
      </c>
      <c r="C27" s="40">
        <v>1.075268817204301</v>
      </c>
      <c r="D27" s="76">
        <v>88.9</v>
      </c>
      <c r="E27" s="76">
        <v>200</v>
      </c>
      <c r="F27" s="76">
        <v>186</v>
      </c>
      <c r="G27" s="76">
        <v>14.5</v>
      </c>
      <c r="H27" s="76">
        <v>24</v>
      </c>
      <c r="I27" s="76">
        <v>11330</v>
      </c>
      <c r="J27" s="77">
        <v>74830000</v>
      </c>
      <c r="K27" s="77">
        <v>748300</v>
      </c>
      <c r="L27" s="77">
        <v>883400</v>
      </c>
      <c r="M27" s="78">
        <v>81.3</v>
      </c>
      <c r="N27" s="80">
        <v>3470</v>
      </c>
      <c r="O27" s="80">
        <v>25800000</v>
      </c>
      <c r="P27" s="80">
        <v>277400</v>
      </c>
      <c r="Q27" s="80">
        <v>425200</v>
      </c>
      <c r="R27" s="78">
        <v>47.7</v>
      </c>
      <c r="S27" s="79">
        <v>80.069999999999993</v>
      </c>
      <c r="T27" s="80">
        <v>2010000</v>
      </c>
      <c r="U27" s="242">
        <v>199795200000</v>
      </c>
      <c r="V27" s="81">
        <v>9126</v>
      </c>
      <c r="W27" s="74">
        <v>15</v>
      </c>
      <c r="X27" s="31" t="str">
        <f>IF(C27&lt;=1.2,IF(H27&lt;=100,IF(Calcul!$AG$2=460,"a","b"),IF(Calcul!$AG$2=460,"c","d")),IF(H27&lt;=40,IF(Calcul!$AG$2=460,"a0","a"),IF(Calcul!$AG$2=460,"a","b")))</f>
        <v>b</v>
      </c>
      <c r="Y27" s="31" t="str">
        <f>IF(C27&lt;=1.2,IF(H27&lt;=100,IF(Calcul!$AG$2=460,"a","c"),IF(Calcul!$AG$2=460,"c","d")),IF(H27&lt;=40,IF(Calcul!$AG$2=460,"a0","b"),IF(Calcul!$AG$2=460,"a","c")))</f>
        <v>c</v>
      </c>
      <c r="Z27" s="156">
        <f t="shared" si="0"/>
        <v>441723.89029605535</v>
      </c>
      <c r="AA27" s="31">
        <f t="shared" si="1"/>
        <v>97847.25</v>
      </c>
    </row>
    <row r="28" spans="1:27" ht="13">
      <c r="A28" s="9">
        <v>26</v>
      </c>
      <c r="B28" s="35" t="s">
        <v>807</v>
      </c>
      <c r="C28" s="40">
        <v>0.93</v>
      </c>
      <c r="D28" s="76">
        <v>34.6</v>
      </c>
      <c r="E28" s="76">
        <v>186</v>
      </c>
      <c r="F28" s="76">
        <v>200</v>
      </c>
      <c r="G28" s="76">
        <v>5.5</v>
      </c>
      <c r="H28" s="76">
        <v>8</v>
      </c>
      <c r="I28" s="76">
        <v>4410</v>
      </c>
      <c r="J28" s="77">
        <v>29440000</v>
      </c>
      <c r="K28" s="77">
        <v>316600</v>
      </c>
      <c r="L28" s="77">
        <v>347100</v>
      </c>
      <c r="M28" s="78">
        <v>81.7</v>
      </c>
      <c r="N28" s="80">
        <v>1542</v>
      </c>
      <c r="O28" s="80">
        <v>10680000</v>
      </c>
      <c r="P28" s="80">
        <v>106800</v>
      </c>
      <c r="Q28" s="80">
        <v>163200</v>
      </c>
      <c r="R28" s="78">
        <v>49.2</v>
      </c>
      <c r="S28" s="79">
        <v>42.59</v>
      </c>
      <c r="T28" s="80">
        <v>125000</v>
      </c>
      <c r="U28" s="242">
        <v>84596280000</v>
      </c>
      <c r="V28" s="81">
        <v>3475</v>
      </c>
      <c r="W28" s="74">
        <v>18</v>
      </c>
      <c r="X28" s="31" t="str">
        <f>IF(C28&lt;=1.2,IF(H28&lt;=100,IF(Calcul!$AG$2=460,"a","b"),IF(Calcul!$AG$2=460,"c","d")),IF(H28&lt;=40,IF(Calcul!$AG$2=460,"a0","a"),IF(Calcul!$AG$2=460,"a","b")))</f>
        <v>b</v>
      </c>
      <c r="Y28" s="31" t="str">
        <f>IF(C28&lt;=1.2,IF(H28&lt;=100,IF(Calcul!$AG$2=460,"a","c"),IF(Calcul!$AG$2=460,"c","d")),IF(H28&lt;=40,IF(Calcul!$AG$2=460,"a0","b"),IF(Calcul!$AG$2=460,"a","c")))</f>
        <v>c</v>
      </c>
      <c r="Z28" s="156">
        <f t="shared" si="0"/>
        <v>173530.02409284929</v>
      </c>
      <c r="AA28" s="31">
        <f t="shared" si="1"/>
        <v>38277.75</v>
      </c>
    </row>
    <row r="29" spans="1:27" ht="13">
      <c r="A29" s="9">
        <v>27</v>
      </c>
      <c r="B29" s="35" t="s">
        <v>808</v>
      </c>
      <c r="C29" s="40">
        <v>0.95</v>
      </c>
      <c r="D29" s="76">
        <v>42.3</v>
      </c>
      <c r="E29" s="76">
        <v>190</v>
      </c>
      <c r="F29" s="76">
        <v>200</v>
      </c>
      <c r="G29" s="76">
        <v>6.5</v>
      </c>
      <c r="H29" s="76">
        <v>10</v>
      </c>
      <c r="I29" s="76">
        <v>5380</v>
      </c>
      <c r="J29" s="77">
        <v>36920000</v>
      </c>
      <c r="K29" s="77">
        <v>388600</v>
      </c>
      <c r="L29" s="77">
        <v>429500</v>
      </c>
      <c r="M29" s="78">
        <v>82.8</v>
      </c>
      <c r="N29" s="80">
        <v>1805</v>
      </c>
      <c r="O29" s="80">
        <v>13360000</v>
      </c>
      <c r="P29" s="80">
        <v>133600</v>
      </c>
      <c r="Q29" s="80">
        <v>203800</v>
      </c>
      <c r="R29" s="78">
        <v>49.8</v>
      </c>
      <c r="S29" s="79">
        <v>47.59</v>
      </c>
      <c r="T29" s="80">
        <v>211000</v>
      </c>
      <c r="U29" s="242">
        <v>108216000000</v>
      </c>
      <c r="V29" s="81">
        <v>4275</v>
      </c>
      <c r="W29" s="74">
        <v>18</v>
      </c>
      <c r="X29" s="31" t="str">
        <f>IF(C29&lt;=1.2,IF(H29&lt;=100,IF(Calcul!$AG$2=460,"a","b"),IF(Calcul!$AG$2=460,"c","d")),IF(H29&lt;=40,IF(Calcul!$AG$2=460,"a0","a"),IF(Calcul!$AG$2=460,"a","b")))</f>
        <v>b</v>
      </c>
      <c r="Y29" s="31" t="str">
        <f>IF(C29&lt;=1.2,IF(H29&lt;=100,IF(Calcul!$AG$2=460,"a","c"),IF(Calcul!$AG$2=460,"c","d")),IF(H29&lt;=40,IF(Calcul!$AG$2=460,"a0","b"),IF(Calcul!$AG$2=460,"a","c")))</f>
        <v>c</v>
      </c>
      <c r="Z29" s="156">
        <f t="shared" si="0"/>
        <v>214742.52409284929</v>
      </c>
      <c r="AA29" s="31">
        <f t="shared" si="1"/>
        <v>47742.1875</v>
      </c>
    </row>
    <row r="30" spans="1:27" ht="13">
      <c r="A30" s="9">
        <v>28</v>
      </c>
      <c r="B30" s="35" t="s">
        <v>809</v>
      </c>
      <c r="C30" s="40">
        <v>1</v>
      </c>
      <c r="D30" s="76">
        <v>61.3</v>
      </c>
      <c r="E30" s="76">
        <v>200</v>
      </c>
      <c r="F30" s="76">
        <v>200</v>
      </c>
      <c r="G30" s="76">
        <v>9</v>
      </c>
      <c r="H30" s="76">
        <v>15</v>
      </c>
      <c r="I30" s="76">
        <v>7810</v>
      </c>
      <c r="J30" s="77">
        <v>56960000</v>
      </c>
      <c r="K30" s="77">
        <v>569600</v>
      </c>
      <c r="L30" s="77">
        <v>642500</v>
      </c>
      <c r="M30" s="78">
        <v>85.4</v>
      </c>
      <c r="N30" s="80">
        <v>2485</v>
      </c>
      <c r="O30" s="80">
        <v>20030000</v>
      </c>
      <c r="P30" s="80">
        <v>200300</v>
      </c>
      <c r="Q30" s="80">
        <v>305800</v>
      </c>
      <c r="R30" s="78">
        <v>50.7</v>
      </c>
      <c r="S30" s="79">
        <v>60.09</v>
      </c>
      <c r="T30" s="80">
        <v>597000</v>
      </c>
      <c r="U30" s="242">
        <v>171381687500</v>
      </c>
      <c r="V30" s="81">
        <v>6280</v>
      </c>
      <c r="W30" s="74">
        <v>18</v>
      </c>
      <c r="X30" s="31" t="str">
        <f>IF(C30&lt;=1.2,IF(H30&lt;=100,IF(Calcul!$AG$2=460,"a","b"),IF(Calcul!$AG$2=460,"c","d")),IF(H30&lt;=40,IF(Calcul!$AG$2=460,"a0","a"),IF(Calcul!$AG$2=460,"a","b")))</f>
        <v>b</v>
      </c>
      <c r="Y30" s="31" t="str">
        <f>IF(C30&lt;=1.2,IF(H30&lt;=100,IF(Calcul!$AG$2=460,"a","c"),IF(Calcul!$AG$2=460,"c","d")),IF(H30&lt;=40,IF(Calcul!$AG$2=460,"a0","b"),IF(Calcul!$AG$2=460,"a","c")))</f>
        <v>c</v>
      </c>
      <c r="Z30" s="156">
        <f t="shared" si="0"/>
        <v>321273.77409284929</v>
      </c>
      <c r="AA30" s="31">
        <f t="shared" si="1"/>
        <v>71203.125</v>
      </c>
    </row>
    <row r="31" spans="1:27" ht="13">
      <c r="A31" s="9">
        <v>29</v>
      </c>
      <c r="B31" s="35" t="s">
        <v>810</v>
      </c>
      <c r="C31" s="40">
        <v>1.0344827586206897</v>
      </c>
      <c r="D31" s="76">
        <v>81.900000000000006</v>
      </c>
      <c r="E31" s="76">
        <v>210</v>
      </c>
      <c r="F31" s="76">
        <v>203</v>
      </c>
      <c r="G31" s="76">
        <v>12</v>
      </c>
      <c r="H31" s="76">
        <v>20</v>
      </c>
      <c r="I31" s="76">
        <v>10440</v>
      </c>
      <c r="J31" s="77">
        <v>80290000</v>
      </c>
      <c r="K31" s="77">
        <v>764700</v>
      </c>
      <c r="L31" s="77">
        <v>880600</v>
      </c>
      <c r="M31" s="78">
        <v>87.7</v>
      </c>
      <c r="N31" s="80">
        <v>3280</v>
      </c>
      <c r="O31" s="80">
        <v>27940000</v>
      </c>
      <c r="P31" s="80">
        <v>275300</v>
      </c>
      <c r="Q31" s="80">
        <v>421000</v>
      </c>
      <c r="R31" s="78">
        <v>51.7</v>
      </c>
      <c r="S31" s="79">
        <v>73.09</v>
      </c>
      <c r="T31" s="80">
        <v>1350000</v>
      </c>
      <c r="U31" s="242">
        <v>252158500000</v>
      </c>
      <c r="V31" s="81">
        <v>8400</v>
      </c>
      <c r="W31" s="74">
        <v>18</v>
      </c>
      <c r="X31" s="31" t="str">
        <f>IF(C31&lt;=1.2,IF(H31&lt;=100,IF(Calcul!$AG$2=460,"a","b"),IF(Calcul!$AG$2=460,"c","d")),IF(H31&lt;=40,IF(Calcul!$AG$2=460,"a0","a"),IF(Calcul!$AG$2=460,"a","b")))</f>
        <v>b</v>
      </c>
      <c r="Y31" s="31" t="str">
        <f>IF(C31&lt;=1.2,IF(H31&lt;=100,IF(Calcul!$AG$2=460,"a","c"),IF(Calcul!$AG$2=460,"c","d")),IF(H31&lt;=40,IF(Calcul!$AG$2=460,"a0","b"),IF(Calcul!$AG$2=460,"a","c")))</f>
        <v>c</v>
      </c>
      <c r="Z31" s="156">
        <f t="shared" si="0"/>
        <v>440311.27409284929</v>
      </c>
      <c r="AA31" s="31">
        <f t="shared" si="1"/>
        <v>97262.5</v>
      </c>
    </row>
    <row r="32" spans="1:27" ht="13">
      <c r="A32" s="9">
        <v>30</v>
      </c>
      <c r="B32" s="35" t="s">
        <v>811</v>
      </c>
      <c r="C32" s="40">
        <v>1.0679611650485437</v>
      </c>
      <c r="D32" s="76">
        <v>103</v>
      </c>
      <c r="E32" s="76">
        <v>220</v>
      </c>
      <c r="F32" s="76">
        <v>206</v>
      </c>
      <c r="G32" s="76">
        <v>15</v>
      </c>
      <c r="H32" s="76">
        <v>25</v>
      </c>
      <c r="I32" s="76">
        <v>13130</v>
      </c>
      <c r="J32" s="77">
        <v>106400000</v>
      </c>
      <c r="K32" s="77">
        <v>967400</v>
      </c>
      <c r="L32" s="77">
        <v>1135000</v>
      </c>
      <c r="M32" s="78">
        <v>90</v>
      </c>
      <c r="N32" s="80">
        <v>4105</v>
      </c>
      <c r="O32" s="80">
        <v>36510000</v>
      </c>
      <c r="P32" s="80">
        <v>354500</v>
      </c>
      <c r="Q32" s="80">
        <v>543200</v>
      </c>
      <c r="R32" s="78">
        <v>52.7</v>
      </c>
      <c r="S32" s="79">
        <v>86.09</v>
      </c>
      <c r="T32" s="80">
        <v>2580000</v>
      </c>
      <c r="U32" s="242">
        <v>347073187500</v>
      </c>
      <c r="V32" s="81">
        <v>10580</v>
      </c>
      <c r="W32" s="74">
        <v>18</v>
      </c>
      <c r="X32" s="31" t="str">
        <f>IF(C32&lt;=1.2,IF(H32&lt;=100,IF(Calcul!$AG$2=460,"a","b"),IF(Calcul!$AG$2=460,"c","d")),IF(H32&lt;=40,IF(Calcul!$AG$2=460,"a0","a"),IF(Calcul!$AG$2=460,"a","b")))</f>
        <v>b</v>
      </c>
      <c r="Y32" s="31" t="str">
        <f>IF(C32&lt;=1.2,IF(H32&lt;=100,IF(Calcul!$AG$2=460,"a","c"),IF(Calcul!$AG$2=460,"c","d")),IF(H32&lt;=40,IF(Calcul!$AG$2=460,"a0","b"),IF(Calcul!$AG$2=460,"a","c")))</f>
        <v>c</v>
      </c>
      <c r="Z32" s="156">
        <f t="shared" si="0"/>
        <v>567573.77409284923</v>
      </c>
      <c r="AA32" s="31">
        <f t="shared" si="1"/>
        <v>124484.375</v>
      </c>
    </row>
    <row r="33" spans="1:27" ht="13">
      <c r="A33" s="9">
        <v>31</v>
      </c>
      <c r="B33" s="35" t="s">
        <v>812</v>
      </c>
      <c r="C33" s="40">
        <v>0.93181818181818177</v>
      </c>
      <c r="D33" s="76">
        <v>40.4</v>
      </c>
      <c r="E33" s="76">
        <v>205</v>
      </c>
      <c r="F33" s="76">
        <v>220</v>
      </c>
      <c r="G33" s="76">
        <v>6</v>
      </c>
      <c r="H33" s="76">
        <v>8.5</v>
      </c>
      <c r="I33" s="76">
        <v>5150</v>
      </c>
      <c r="J33" s="77">
        <v>41700000</v>
      </c>
      <c r="K33" s="77">
        <v>406900</v>
      </c>
      <c r="L33" s="77">
        <v>445500</v>
      </c>
      <c r="M33" s="78">
        <v>90</v>
      </c>
      <c r="N33" s="80">
        <v>1767</v>
      </c>
      <c r="O33" s="80">
        <v>15100000</v>
      </c>
      <c r="P33" s="80">
        <v>137300</v>
      </c>
      <c r="Q33" s="80">
        <v>209300</v>
      </c>
      <c r="R33" s="78">
        <v>54.2</v>
      </c>
      <c r="S33" s="79">
        <v>44.09</v>
      </c>
      <c r="T33" s="80">
        <v>155000</v>
      </c>
      <c r="U33" s="242">
        <v>145761243750</v>
      </c>
      <c r="V33" s="81">
        <v>4022</v>
      </c>
      <c r="W33" s="74">
        <v>18</v>
      </c>
      <c r="X33" s="31" t="str">
        <f>IF(C33&lt;=1.2,IF(H33&lt;=100,IF(Calcul!$AG$2=460,"a","b"),IF(Calcul!$AG$2=460,"c","d")),IF(H33&lt;=40,IF(Calcul!$AG$2=460,"a0","a"),IF(Calcul!$AG$2=460,"a","b")))</f>
        <v>b</v>
      </c>
      <c r="Y33" s="31" t="str">
        <f>IF(C33&lt;=1.2,IF(H33&lt;=100,IF(Calcul!$AG$2=460,"a","c"),IF(Calcul!$AG$2=460,"c","d")),IF(H33&lt;=40,IF(Calcul!$AG$2=460,"a0","b"),IF(Calcul!$AG$2=460,"a","c")))</f>
        <v>c</v>
      </c>
      <c r="Z33" s="156">
        <f t="shared" si="0"/>
        <v>222748.33200391536</v>
      </c>
      <c r="AA33" s="31">
        <f t="shared" si="1"/>
        <v>49550.75</v>
      </c>
    </row>
    <row r="34" spans="1:27" ht="13">
      <c r="A34" s="9">
        <v>32</v>
      </c>
      <c r="B34" s="35" t="s">
        <v>813</v>
      </c>
      <c r="C34" s="40">
        <v>0.95454545454545459</v>
      </c>
      <c r="D34" s="76">
        <v>50.5</v>
      </c>
      <c r="E34" s="76">
        <v>210</v>
      </c>
      <c r="F34" s="76">
        <v>220</v>
      </c>
      <c r="G34" s="76">
        <v>7</v>
      </c>
      <c r="H34" s="76">
        <v>11</v>
      </c>
      <c r="I34" s="76">
        <v>6430</v>
      </c>
      <c r="J34" s="77">
        <v>54100000</v>
      </c>
      <c r="K34" s="77">
        <v>515200</v>
      </c>
      <c r="L34" s="77">
        <v>568500</v>
      </c>
      <c r="M34" s="78">
        <v>91.7</v>
      </c>
      <c r="N34" s="80">
        <v>2063</v>
      </c>
      <c r="O34" s="80">
        <v>19550000</v>
      </c>
      <c r="P34" s="80">
        <v>177700</v>
      </c>
      <c r="Q34" s="80">
        <v>270600</v>
      </c>
      <c r="R34" s="78">
        <v>55.1</v>
      </c>
      <c r="S34" s="79">
        <v>50.09</v>
      </c>
      <c r="T34" s="80">
        <v>286000</v>
      </c>
      <c r="U34" s="242">
        <v>193549887500</v>
      </c>
      <c r="V34" s="81">
        <v>5114</v>
      </c>
      <c r="W34" s="74">
        <v>18</v>
      </c>
      <c r="X34" s="31" t="str">
        <f>IF(C34&lt;=1.2,IF(H34&lt;=100,IF(Calcul!$AG$2=460,"a","b"),IF(Calcul!$AG$2=460,"c","d")),IF(H34&lt;=40,IF(Calcul!$AG$2=460,"a0","a"),IF(Calcul!$AG$2=460,"a","b")))</f>
        <v>b</v>
      </c>
      <c r="Y34" s="31" t="str">
        <f>IF(C34&lt;=1.2,IF(H34&lt;=100,IF(Calcul!$AG$2=460,"a","c"),IF(Calcul!$AG$2=460,"c","d")),IF(H34&lt;=40,IF(Calcul!$AG$2=460,"a0","b"),IF(Calcul!$AG$2=460,"a","c")))</f>
        <v>c</v>
      </c>
      <c r="Z34" s="156">
        <f t="shared" si="0"/>
        <v>284228.83200391533</v>
      </c>
      <c r="AA34" s="31">
        <f t="shared" si="1"/>
        <v>64007.625</v>
      </c>
    </row>
    <row r="35" spans="1:27" ht="13">
      <c r="A35" s="9">
        <v>33</v>
      </c>
      <c r="B35" s="35" t="s">
        <v>814</v>
      </c>
      <c r="C35" s="40">
        <v>1</v>
      </c>
      <c r="D35" s="76">
        <v>71.5</v>
      </c>
      <c r="E35" s="76">
        <v>220</v>
      </c>
      <c r="F35" s="76">
        <v>220</v>
      </c>
      <c r="G35" s="76">
        <v>9.5</v>
      </c>
      <c r="H35" s="76">
        <v>16</v>
      </c>
      <c r="I35" s="76">
        <v>9100</v>
      </c>
      <c r="J35" s="77">
        <v>80910000</v>
      </c>
      <c r="K35" s="77">
        <v>735500</v>
      </c>
      <c r="L35" s="77">
        <v>827000</v>
      </c>
      <c r="M35" s="78">
        <v>94.3</v>
      </c>
      <c r="N35" s="80">
        <v>2788</v>
      </c>
      <c r="O35" s="80">
        <v>28430000</v>
      </c>
      <c r="P35" s="80">
        <v>258500</v>
      </c>
      <c r="Q35" s="80">
        <v>393900</v>
      </c>
      <c r="R35" s="78">
        <v>55.9</v>
      </c>
      <c r="S35" s="79">
        <v>62.59</v>
      </c>
      <c r="T35" s="80">
        <v>770000</v>
      </c>
      <c r="U35" s="242">
        <v>295785720000</v>
      </c>
      <c r="V35" s="81">
        <v>7314</v>
      </c>
      <c r="W35" s="74">
        <v>18</v>
      </c>
      <c r="X35" s="31" t="str">
        <f>IF(C35&lt;=1.2,IF(H35&lt;=100,IF(Calcul!$AG$2=460,"a","b"),IF(Calcul!$AG$2=460,"c","d")),IF(H35&lt;=40,IF(Calcul!$AG$2=460,"a0","a"),IF(Calcul!$AG$2=460,"a","b")))</f>
        <v>b</v>
      </c>
      <c r="Y35" s="31" t="str">
        <f>IF(C35&lt;=1.2,IF(H35&lt;=100,IF(Calcul!$AG$2=460,"a","c"),IF(Calcul!$AG$2=460,"c","d")),IF(H35&lt;=40,IF(Calcul!$AG$2=460,"a0","b"),IF(Calcul!$AG$2=460,"a","c")))</f>
        <v>c</v>
      </c>
      <c r="Z35" s="156">
        <f t="shared" si="0"/>
        <v>413523.83200391533</v>
      </c>
      <c r="AA35" s="31">
        <f t="shared" si="1"/>
        <v>92659.5</v>
      </c>
    </row>
    <row r="36" spans="1:27" ht="13">
      <c r="A36" s="9">
        <v>34</v>
      </c>
      <c r="B36" s="35" t="s">
        <v>815</v>
      </c>
      <c r="C36" s="40">
        <v>1.0313901345291481</v>
      </c>
      <c r="D36" s="76">
        <v>94.1</v>
      </c>
      <c r="E36" s="76">
        <v>230</v>
      </c>
      <c r="F36" s="76">
        <v>223</v>
      </c>
      <c r="G36" s="76">
        <v>12.5</v>
      </c>
      <c r="H36" s="76">
        <v>21</v>
      </c>
      <c r="I36" s="76">
        <v>11990</v>
      </c>
      <c r="J36" s="77">
        <v>111800000</v>
      </c>
      <c r="K36" s="77">
        <v>972200</v>
      </c>
      <c r="L36" s="77">
        <v>1114000</v>
      </c>
      <c r="M36" s="78">
        <v>96.5</v>
      </c>
      <c r="N36" s="80">
        <v>3642.5</v>
      </c>
      <c r="O36" s="80">
        <v>38880000</v>
      </c>
      <c r="P36" s="80">
        <v>348700</v>
      </c>
      <c r="Q36" s="80">
        <v>532400</v>
      </c>
      <c r="R36" s="78">
        <v>56.9</v>
      </c>
      <c r="S36" s="79">
        <v>75.59</v>
      </c>
      <c r="T36" s="80">
        <v>1680000</v>
      </c>
      <c r="U36" s="242">
        <v>424579320000</v>
      </c>
      <c r="V36" s="81">
        <v>9640</v>
      </c>
      <c r="W36" s="74">
        <v>18</v>
      </c>
      <c r="X36" s="31" t="str">
        <f>IF(C36&lt;=1.2,IF(H36&lt;=100,IF(Calcul!$AG$2=460,"a","b"),IF(Calcul!$AG$2=460,"c","d")),IF(H36&lt;=40,IF(Calcul!$AG$2=460,"a0","a"),IF(Calcul!$AG$2=460,"a","b")))</f>
        <v>b</v>
      </c>
      <c r="Y36" s="31" t="str">
        <f>IF(C36&lt;=1.2,IF(H36&lt;=100,IF(Calcul!$AG$2=460,"a","c"),IF(Calcul!$AG$2=460,"c","d")),IF(H36&lt;=40,IF(Calcul!$AG$2=460,"a0","b"),IF(Calcul!$AG$2=460,"a","c")))</f>
        <v>c</v>
      </c>
      <c r="Z36" s="156">
        <f t="shared" si="0"/>
        <v>557111.33200391533</v>
      </c>
      <c r="AA36" s="31">
        <f t="shared" si="1"/>
        <v>124363.96875</v>
      </c>
    </row>
    <row r="37" spans="1:27" ht="13">
      <c r="A37" s="9">
        <v>35</v>
      </c>
      <c r="B37" s="35" t="s">
        <v>816</v>
      </c>
      <c r="C37" s="40">
        <v>1.0619469026548674</v>
      </c>
      <c r="D37" s="76">
        <v>117</v>
      </c>
      <c r="E37" s="76">
        <v>240</v>
      </c>
      <c r="F37" s="76">
        <v>226</v>
      </c>
      <c r="G37" s="76">
        <v>15.5</v>
      </c>
      <c r="H37" s="76">
        <v>26</v>
      </c>
      <c r="I37" s="76">
        <v>14940</v>
      </c>
      <c r="J37" s="77">
        <v>146000000</v>
      </c>
      <c r="K37" s="77">
        <v>1217000</v>
      </c>
      <c r="L37" s="77">
        <v>1419000</v>
      </c>
      <c r="M37" s="78">
        <v>98.9</v>
      </c>
      <c r="N37" s="80">
        <v>4527</v>
      </c>
      <c r="O37" s="80">
        <v>50120000</v>
      </c>
      <c r="P37" s="80">
        <v>443500</v>
      </c>
      <c r="Q37" s="80">
        <v>678600</v>
      </c>
      <c r="R37" s="78">
        <v>57.9</v>
      </c>
      <c r="S37" s="79">
        <v>88.59</v>
      </c>
      <c r="T37" s="80">
        <v>3131000</v>
      </c>
      <c r="U37" s="242">
        <v>573823880000</v>
      </c>
      <c r="V37" s="81">
        <v>12026</v>
      </c>
      <c r="W37" s="74">
        <v>18</v>
      </c>
      <c r="X37" s="31" t="str">
        <f>IF(C37&lt;=1.2,IF(H37&lt;=100,IF(Calcul!$AG$2=460,"a","b"),IF(Calcul!$AG$2=460,"c","d")),IF(H37&lt;=40,IF(Calcul!$AG$2=460,"a0","a"),IF(Calcul!$AG$2=460,"a","b")))</f>
        <v>b</v>
      </c>
      <c r="Y37" s="31" t="str">
        <f>IF(C37&lt;=1.2,IF(H37&lt;=100,IF(Calcul!$AG$2=460,"a","c"),IF(Calcul!$AG$2=460,"c","d")),IF(H37&lt;=40,IF(Calcul!$AG$2=460,"a0","b"),IF(Calcul!$AG$2=460,"a","c")))</f>
        <v>c</v>
      </c>
      <c r="Z37" s="156">
        <f t="shared" si="0"/>
        <v>709723.83200391533</v>
      </c>
      <c r="AA37" s="31">
        <f t="shared" si="1"/>
        <v>157377.1875</v>
      </c>
    </row>
    <row r="38" spans="1:27" ht="13">
      <c r="A38" s="9">
        <v>36</v>
      </c>
      <c r="B38" s="35" t="s">
        <v>817</v>
      </c>
      <c r="C38" s="40">
        <v>0.93333333333333335</v>
      </c>
      <c r="D38" s="76">
        <v>47.4</v>
      </c>
      <c r="E38" s="76">
        <v>224</v>
      </c>
      <c r="F38" s="76">
        <v>240</v>
      </c>
      <c r="G38" s="76">
        <v>6.5</v>
      </c>
      <c r="H38" s="76">
        <v>9</v>
      </c>
      <c r="I38" s="76">
        <v>6040</v>
      </c>
      <c r="J38" s="77">
        <v>58350000</v>
      </c>
      <c r="K38" s="77">
        <v>521000</v>
      </c>
      <c r="L38" s="77">
        <v>570600</v>
      </c>
      <c r="M38" s="78">
        <v>98.3</v>
      </c>
      <c r="N38" s="80">
        <v>2156.5</v>
      </c>
      <c r="O38" s="80">
        <v>20770000</v>
      </c>
      <c r="P38" s="80">
        <v>173100</v>
      </c>
      <c r="Q38" s="80">
        <v>264400</v>
      </c>
      <c r="R38" s="78">
        <v>58.7</v>
      </c>
      <c r="S38" s="79">
        <v>49.1</v>
      </c>
      <c r="T38" s="80">
        <v>222000</v>
      </c>
      <c r="U38" s="242">
        <v>240023312500</v>
      </c>
      <c r="V38" s="81">
        <v>4701</v>
      </c>
      <c r="W38" s="74">
        <v>21</v>
      </c>
      <c r="X38" s="31" t="str">
        <f>IF(C38&lt;=1.2,IF(H38&lt;=100,IF(Calcul!$AG$2=460,"a","b"),IF(Calcul!$AG$2=460,"c","d")),IF(H38&lt;=40,IF(Calcul!$AG$2=460,"a0","a"),IF(Calcul!$AG$2=460,"a","b")))</f>
        <v>b</v>
      </c>
      <c r="Y38" s="31" t="str">
        <f>IF(C38&lt;=1.2,IF(H38&lt;=100,IF(Calcul!$AG$2=460,"a","c"),IF(Calcul!$AG$2=460,"c","d")),IF(H38&lt;=40,IF(Calcul!$AG$2=460,"a0","b"),IF(Calcul!$AG$2=460,"a","c")))</f>
        <v>c</v>
      </c>
      <c r="Z38" s="156">
        <f t="shared" si="0"/>
        <v>285287.30498477223</v>
      </c>
      <c r="AA38" s="31">
        <f t="shared" si="1"/>
        <v>62153.71875</v>
      </c>
    </row>
    <row r="39" spans="1:27" ht="13">
      <c r="A39" s="9">
        <v>37</v>
      </c>
      <c r="B39" s="35" t="s">
        <v>818</v>
      </c>
      <c r="C39" s="40">
        <v>0.95833333333333337</v>
      </c>
      <c r="D39" s="76">
        <v>60.3</v>
      </c>
      <c r="E39" s="76">
        <v>230</v>
      </c>
      <c r="F39" s="76">
        <v>240</v>
      </c>
      <c r="G39" s="76">
        <v>7.5</v>
      </c>
      <c r="H39" s="76">
        <v>12</v>
      </c>
      <c r="I39" s="76">
        <v>7680</v>
      </c>
      <c r="J39" s="77">
        <v>77630000</v>
      </c>
      <c r="K39" s="77">
        <v>675100</v>
      </c>
      <c r="L39" s="77">
        <v>744600</v>
      </c>
      <c r="M39" s="78">
        <v>100.5</v>
      </c>
      <c r="N39" s="80">
        <v>2514</v>
      </c>
      <c r="O39" s="80">
        <v>27690000</v>
      </c>
      <c r="P39" s="80">
        <v>230700</v>
      </c>
      <c r="Q39" s="80">
        <v>351700</v>
      </c>
      <c r="R39" s="78">
        <v>60</v>
      </c>
      <c r="S39" s="79">
        <v>56.1</v>
      </c>
      <c r="T39" s="80">
        <v>421000</v>
      </c>
      <c r="U39" s="242">
        <v>328984890000</v>
      </c>
      <c r="V39" s="81">
        <v>6135</v>
      </c>
      <c r="W39" s="74">
        <v>21</v>
      </c>
      <c r="X39" s="31" t="str">
        <f>IF(C39&lt;=1.2,IF(H39&lt;=100,IF(Calcul!$AG$2=460,"a","b"),IF(Calcul!$AG$2=460,"c","d")),IF(H39&lt;=40,IF(Calcul!$AG$2=460,"a0","a"),IF(Calcul!$AG$2=460,"a","b")))</f>
        <v>b</v>
      </c>
      <c r="Y39" s="31" t="str">
        <f>IF(C39&lt;=1.2,IF(H39&lt;=100,IF(Calcul!$AG$2=460,"a","c"),IF(Calcul!$AG$2=460,"c","d")),IF(H39&lt;=40,IF(Calcul!$AG$2=460,"a0","b"),IF(Calcul!$AG$2=460,"a","c")))</f>
        <v>c</v>
      </c>
      <c r="Z39" s="156">
        <f t="shared" si="0"/>
        <v>372311.80498477223</v>
      </c>
      <c r="AA39" s="31">
        <f t="shared" si="1"/>
        <v>82724.625</v>
      </c>
    </row>
    <row r="40" spans="1:27" ht="13">
      <c r="A40" s="9">
        <v>38</v>
      </c>
      <c r="B40" s="35" t="s">
        <v>819</v>
      </c>
      <c r="C40" s="40">
        <v>1</v>
      </c>
      <c r="D40" s="76">
        <v>83.2</v>
      </c>
      <c r="E40" s="76">
        <v>240</v>
      </c>
      <c r="F40" s="76">
        <v>240</v>
      </c>
      <c r="G40" s="76">
        <v>10</v>
      </c>
      <c r="H40" s="76">
        <v>17</v>
      </c>
      <c r="I40" s="76">
        <v>10600</v>
      </c>
      <c r="J40" s="77">
        <v>112600000</v>
      </c>
      <c r="K40" s="77">
        <v>938300</v>
      </c>
      <c r="L40" s="77">
        <v>1053000</v>
      </c>
      <c r="M40" s="78">
        <v>103.1</v>
      </c>
      <c r="N40" s="80">
        <v>3324</v>
      </c>
      <c r="O40" s="80">
        <v>39230000</v>
      </c>
      <c r="P40" s="80">
        <v>326900</v>
      </c>
      <c r="Q40" s="80">
        <v>498400</v>
      </c>
      <c r="R40" s="78">
        <v>60.8</v>
      </c>
      <c r="S40" s="79">
        <v>68.599999999999994</v>
      </c>
      <c r="T40" s="80">
        <v>1040000</v>
      </c>
      <c r="U40" s="242">
        <v>487717167500</v>
      </c>
      <c r="V40" s="81">
        <v>8540</v>
      </c>
      <c r="W40" s="74">
        <v>21</v>
      </c>
      <c r="X40" s="31" t="str">
        <f>IF(C40&lt;=1.2,IF(H40&lt;=100,IF(Calcul!$AG$2=460,"a","b"),IF(Calcul!$AG$2=460,"c","d")),IF(H40&lt;=40,IF(Calcul!$AG$2=460,"a0","a"),IF(Calcul!$AG$2=460,"a","b")))</f>
        <v>b</v>
      </c>
      <c r="Y40" s="31" t="str">
        <f>IF(C40&lt;=1.2,IF(H40&lt;=100,IF(Calcul!$AG$2=460,"a","c"),IF(Calcul!$AG$2=460,"c","d")),IF(H40&lt;=40,IF(Calcul!$AG$2=460,"a0","b"),IF(Calcul!$AG$2=460,"a","c")))</f>
        <v>c</v>
      </c>
      <c r="Z40" s="156">
        <f t="shared" si="0"/>
        <v>526573.05498477223</v>
      </c>
      <c r="AA40" s="31">
        <f t="shared" si="1"/>
        <v>116654</v>
      </c>
    </row>
    <row r="41" spans="1:27" ht="13">
      <c r="A41" s="9">
        <v>39</v>
      </c>
      <c r="B41" s="35" t="s">
        <v>820</v>
      </c>
      <c r="C41" s="40">
        <v>1.0450819672131149</v>
      </c>
      <c r="D41" s="76">
        <v>119</v>
      </c>
      <c r="E41" s="76">
        <v>255</v>
      </c>
      <c r="F41" s="76">
        <v>244</v>
      </c>
      <c r="G41" s="76">
        <v>14</v>
      </c>
      <c r="H41" s="76">
        <v>24.5</v>
      </c>
      <c r="I41" s="76">
        <v>15220</v>
      </c>
      <c r="J41" s="77">
        <v>173300000</v>
      </c>
      <c r="K41" s="77">
        <v>1359000</v>
      </c>
      <c r="L41" s="77">
        <v>1564000</v>
      </c>
      <c r="M41" s="78">
        <v>106.7</v>
      </c>
      <c r="N41" s="80">
        <v>4636</v>
      </c>
      <c r="O41" s="80">
        <v>59420000</v>
      </c>
      <c r="P41" s="80">
        <v>487100</v>
      </c>
      <c r="Q41" s="80">
        <v>743800</v>
      </c>
      <c r="R41" s="78">
        <v>62.5</v>
      </c>
      <c r="S41" s="79">
        <v>87.6</v>
      </c>
      <c r="T41" s="80">
        <v>2890000</v>
      </c>
      <c r="U41" s="242">
        <v>789249863750</v>
      </c>
      <c r="V41" s="81">
        <v>12336</v>
      </c>
      <c r="W41" s="74">
        <v>21</v>
      </c>
      <c r="X41" s="31" t="str">
        <f>IF(C41&lt;=1.2,IF(H41&lt;=100,IF(Calcul!$AG$2=460,"a","b"),IF(Calcul!$AG$2=460,"c","d")),IF(H41&lt;=40,IF(Calcul!$AG$2=460,"a0","a"),IF(Calcul!$AG$2=460,"a","b")))</f>
        <v>b</v>
      </c>
      <c r="Y41" s="31" t="str">
        <f>IF(C41&lt;=1.2,IF(H41&lt;=100,IF(Calcul!$AG$2=460,"a","c"),IF(Calcul!$AG$2=460,"c","d")),IF(H41&lt;=40,IF(Calcul!$AG$2=460,"a0","b"),IF(Calcul!$AG$2=460,"a","c")))</f>
        <v>c</v>
      </c>
      <c r="Z41" s="156">
        <f t="shared" si="0"/>
        <v>781835.55498477223</v>
      </c>
      <c r="AA41" s="31">
        <f t="shared" si="1"/>
        <v>172725</v>
      </c>
    </row>
    <row r="42" spans="1:27" ht="13">
      <c r="A42" s="9">
        <v>40</v>
      </c>
      <c r="B42" s="35" t="s">
        <v>821</v>
      </c>
      <c r="C42" s="40">
        <v>1.0887096774193548</v>
      </c>
      <c r="D42" s="76">
        <v>157</v>
      </c>
      <c r="E42" s="76">
        <v>270</v>
      </c>
      <c r="F42" s="76">
        <v>248</v>
      </c>
      <c r="G42" s="76">
        <v>18</v>
      </c>
      <c r="H42" s="76">
        <v>32</v>
      </c>
      <c r="I42" s="76">
        <v>19960</v>
      </c>
      <c r="J42" s="77">
        <v>242900000</v>
      </c>
      <c r="K42" s="77">
        <v>1799000</v>
      </c>
      <c r="L42" s="77">
        <v>2117000</v>
      </c>
      <c r="M42" s="78">
        <v>110.3</v>
      </c>
      <c r="N42" s="80">
        <v>6008</v>
      </c>
      <c r="O42" s="80">
        <v>81530000</v>
      </c>
      <c r="P42" s="80">
        <v>657500</v>
      </c>
      <c r="Q42" s="80">
        <v>1006000</v>
      </c>
      <c r="R42" s="78">
        <v>63.9</v>
      </c>
      <c r="S42" s="79">
        <v>106.6</v>
      </c>
      <c r="T42" s="80">
        <v>6260000</v>
      </c>
      <c r="U42" s="242">
        <v>1154546330000</v>
      </c>
      <c r="V42" s="81">
        <v>16252</v>
      </c>
      <c r="W42" s="74">
        <v>21</v>
      </c>
      <c r="X42" s="31" t="str">
        <f>IF(C42&lt;=1.2,IF(H42&lt;=100,IF(Calcul!$AG$2=460,"a","b"),IF(Calcul!$AG$2=460,"c","d")),IF(H42&lt;=40,IF(Calcul!$AG$2=460,"a0","a"),IF(Calcul!$AG$2=460,"a","b")))</f>
        <v>b</v>
      </c>
      <c r="Y42" s="31" t="str">
        <f>IF(C42&lt;=1.2,IF(H42&lt;=100,IF(Calcul!$AG$2=460,"a","c"),IF(Calcul!$AG$2=460,"c","d")),IF(H42&lt;=40,IF(Calcul!$AG$2=460,"a0","b"),IF(Calcul!$AG$2=460,"a","c")))</f>
        <v>c</v>
      </c>
      <c r="Z42" s="156">
        <f t="shared" si="0"/>
        <v>1058473.0549847721</v>
      </c>
      <c r="AA42" s="31">
        <f t="shared" si="1"/>
        <v>231616</v>
      </c>
    </row>
    <row r="43" spans="1:27" ht="13">
      <c r="A43" s="9">
        <v>41</v>
      </c>
      <c r="B43" s="35" t="s">
        <v>822</v>
      </c>
      <c r="C43" s="40">
        <v>0.93846153846153846</v>
      </c>
      <c r="D43" s="76">
        <v>54.1</v>
      </c>
      <c r="E43" s="76">
        <v>244</v>
      </c>
      <c r="F43" s="76">
        <v>260</v>
      </c>
      <c r="G43" s="76">
        <v>6.5</v>
      </c>
      <c r="H43" s="76">
        <v>9.5</v>
      </c>
      <c r="I43" s="76">
        <v>6900</v>
      </c>
      <c r="J43" s="77">
        <v>79810000</v>
      </c>
      <c r="K43" s="77">
        <v>654100</v>
      </c>
      <c r="L43" s="77">
        <v>714500</v>
      </c>
      <c r="M43" s="78">
        <v>107.6</v>
      </c>
      <c r="N43" s="80">
        <v>2477.75</v>
      </c>
      <c r="O43" s="80">
        <v>27880000</v>
      </c>
      <c r="P43" s="80">
        <v>214500</v>
      </c>
      <c r="Q43" s="80">
        <v>327700</v>
      </c>
      <c r="R43" s="78">
        <v>63.6</v>
      </c>
      <c r="S43" s="79">
        <v>53.62</v>
      </c>
      <c r="T43" s="80">
        <v>301000</v>
      </c>
      <c r="U43" s="242">
        <v>383282042500</v>
      </c>
      <c r="V43" s="81">
        <v>5437.5</v>
      </c>
      <c r="W43" s="74">
        <v>24</v>
      </c>
      <c r="X43" s="31" t="str">
        <f>IF(C43&lt;=1.2,IF(H43&lt;=100,IF(Calcul!$AG$2=460,"a","b"),IF(Calcul!$AG$2=460,"c","d")),IF(H43&lt;=40,IF(Calcul!$AG$2=460,"a0","a"),IF(Calcul!$AG$2=460,"a","b")))</f>
        <v>b</v>
      </c>
      <c r="Y43" s="31" t="str">
        <f>IF(C43&lt;=1.2,IF(H43&lt;=100,IF(Calcul!$AG$2=460,"a","c"),IF(Calcul!$AG$2=460,"c","d")),IF(H43&lt;=40,IF(Calcul!$AG$2=460,"a0","b"),IF(Calcul!$AG$2=460,"a","c")))</f>
        <v>c</v>
      </c>
      <c r="Z43" s="156">
        <f t="shared" si="0"/>
        <v>357227.68517917092</v>
      </c>
      <c r="AA43" s="31">
        <f t="shared" si="1"/>
        <v>76747.828125</v>
      </c>
    </row>
    <row r="44" spans="1:27" ht="13">
      <c r="A44" s="9">
        <v>42</v>
      </c>
      <c r="B44" s="35" t="s">
        <v>823</v>
      </c>
      <c r="C44" s="40">
        <v>0.96153846153846156</v>
      </c>
      <c r="D44" s="76">
        <v>68.2</v>
      </c>
      <c r="E44" s="76">
        <v>250</v>
      </c>
      <c r="F44" s="76">
        <v>260</v>
      </c>
      <c r="G44" s="76">
        <v>7.5</v>
      </c>
      <c r="H44" s="76">
        <v>12.5</v>
      </c>
      <c r="I44" s="76">
        <v>8680</v>
      </c>
      <c r="J44" s="77">
        <v>104500000</v>
      </c>
      <c r="K44" s="77">
        <v>836400</v>
      </c>
      <c r="L44" s="77">
        <v>919800</v>
      </c>
      <c r="M44" s="78">
        <v>109.7</v>
      </c>
      <c r="N44" s="80">
        <v>2873.75</v>
      </c>
      <c r="O44" s="80">
        <v>36680000</v>
      </c>
      <c r="P44" s="80">
        <v>282100</v>
      </c>
      <c r="Q44" s="80">
        <v>430200</v>
      </c>
      <c r="R44" s="78">
        <v>65</v>
      </c>
      <c r="S44" s="79">
        <v>60.62</v>
      </c>
      <c r="T44" s="80">
        <v>542000</v>
      </c>
      <c r="U44" s="242">
        <v>517245312500</v>
      </c>
      <c r="V44" s="81">
        <v>6992.5</v>
      </c>
      <c r="W44" s="74">
        <v>24</v>
      </c>
      <c r="X44" s="31" t="str">
        <f>IF(C44&lt;=1.2,IF(H44&lt;=100,IF(Calcul!$AG$2=460,"a","b"),IF(Calcul!$AG$2=460,"c","d")),IF(H44&lt;=40,IF(Calcul!$AG$2=460,"a0","a"),IF(Calcul!$AG$2=460,"a","b")))</f>
        <v>b</v>
      </c>
      <c r="Y44" s="31" t="str">
        <f>IF(C44&lt;=1.2,IF(H44&lt;=100,IF(Calcul!$AG$2=460,"a","c"),IF(Calcul!$AG$2=460,"c","d")),IF(H44&lt;=40,IF(Calcul!$AG$2=460,"a0","b"),IF(Calcul!$AG$2=460,"a","c")))</f>
        <v>c</v>
      </c>
      <c r="Z44" s="156">
        <f t="shared" si="0"/>
        <v>459885.81017917092</v>
      </c>
      <c r="AA44" s="31">
        <f t="shared" si="1"/>
        <v>100812.109375</v>
      </c>
    </row>
    <row r="45" spans="1:27" ht="13">
      <c r="A45" s="9">
        <v>43</v>
      </c>
      <c r="B45" s="35" t="s">
        <v>824</v>
      </c>
      <c r="C45" s="40">
        <v>1</v>
      </c>
      <c r="D45" s="76">
        <v>93</v>
      </c>
      <c r="E45" s="76">
        <v>260</v>
      </c>
      <c r="F45" s="76">
        <v>260</v>
      </c>
      <c r="G45" s="76">
        <v>10</v>
      </c>
      <c r="H45" s="76">
        <v>17.5</v>
      </c>
      <c r="I45" s="76">
        <v>11840</v>
      </c>
      <c r="J45" s="77">
        <v>149200000</v>
      </c>
      <c r="K45" s="77">
        <v>1148000</v>
      </c>
      <c r="L45" s="77">
        <v>1283000</v>
      </c>
      <c r="M45" s="78">
        <v>112.2</v>
      </c>
      <c r="N45" s="80">
        <v>3755</v>
      </c>
      <c r="O45" s="80">
        <v>51350000</v>
      </c>
      <c r="P45" s="80">
        <v>395000</v>
      </c>
      <c r="Q45" s="80">
        <v>602200</v>
      </c>
      <c r="R45" s="78">
        <v>65.8</v>
      </c>
      <c r="S45" s="79">
        <v>73.12</v>
      </c>
      <c r="T45" s="80">
        <v>1270000</v>
      </c>
      <c r="U45" s="242">
        <v>754925234375</v>
      </c>
      <c r="V45" s="81">
        <v>9590</v>
      </c>
      <c r="W45" s="74">
        <v>24</v>
      </c>
      <c r="X45" s="31" t="str">
        <f>IF(C45&lt;=1.2,IF(H45&lt;=100,IF(Calcul!$AG$2=460,"a","b"),IF(Calcul!$AG$2=460,"c","d")),IF(H45&lt;=40,IF(Calcul!$AG$2=460,"a0","a"),IF(Calcul!$AG$2=460,"a","b")))</f>
        <v>b</v>
      </c>
      <c r="Y45" s="31" t="str">
        <f>IF(C45&lt;=1.2,IF(H45&lt;=100,IF(Calcul!$AG$2=460,"a","c"),IF(Calcul!$AG$2=460,"c","d")),IF(H45&lt;=40,IF(Calcul!$AG$2=460,"a0","b"),IF(Calcul!$AG$2=460,"a","c")))</f>
        <v>c</v>
      </c>
      <c r="Z45" s="156">
        <f t="shared" si="0"/>
        <v>641456.12267917092</v>
      </c>
      <c r="AA45" s="31">
        <f t="shared" si="1"/>
        <v>140516.25</v>
      </c>
    </row>
    <row r="46" spans="1:27" ht="13">
      <c r="A46" s="9">
        <v>44</v>
      </c>
      <c r="B46" s="35" t="s">
        <v>825</v>
      </c>
      <c r="C46" s="40">
        <v>1.0416666666666667</v>
      </c>
      <c r="D46" s="76">
        <v>132</v>
      </c>
      <c r="E46" s="76">
        <v>275</v>
      </c>
      <c r="F46" s="76">
        <v>264</v>
      </c>
      <c r="G46" s="76">
        <v>14</v>
      </c>
      <c r="H46" s="76">
        <v>25</v>
      </c>
      <c r="I46" s="76">
        <v>16840</v>
      </c>
      <c r="J46" s="77">
        <v>225900000</v>
      </c>
      <c r="K46" s="77">
        <v>1643000</v>
      </c>
      <c r="L46" s="77">
        <v>1880000</v>
      </c>
      <c r="M46" s="78">
        <v>115.8</v>
      </c>
      <c r="N46" s="80">
        <v>5190</v>
      </c>
      <c r="O46" s="80">
        <v>76800000</v>
      </c>
      <c r="P46" s="80">
        <v>581800</v>
      </c>
      <c r="Q46" s="80">
        <v>888300</v>
      </c>
      <c r="R46" s="78">
        <v>67.5</v>
      </c>
      <c r="S46" s="79">
        <v>92.12</v>
      </c>
      <c r="T46" s="80">
        <v>3400000</v>
      </c>
      <c r="U46" s="242">
        <v>1200000000000</v>
      </c>
      <c r="V46" s="81">
        <v>13690</v>
      </c>
      <c r="W46" s="74">
        <v>24</v>
      </c>
      <c r="X46" s="31" t="str">
        <f>IF(C46&lt;=1.2,IF(H46&lt;=100,IF(Calcul!$AG$2=460,"a","b"),IF(Calcul!$AG$2=460,"c","d")),IF(H46&lt;=40,IF(Calcul!$AG$2=460,"a0","a"),IF(Calcul!$AG$2=460,"a","b")))</f>
        <v>b</v>
      </c>
      <c r="Y46" s="31" t="str">
        <f>IF(C46&lt;=1.2,IF(H46&lt;=100,IF(Calcul!$AG$2=460,"a","c"),IF(Calcul!$AG$2=460,"c","d")),IF(H46&lt;=40,IF(Calcul!$AG$2=460,"a0","b"),IF(Calcul!$AG$2=460,"a","c")))</f>
        <v>c</v>
      </c>
      <c r="Z46" s="156">
        <f t="shared" si="0"/>
        <v>940081.12267917092</v>
      </c>
      <c r="AA46" s="31">
        <f t="shared" si="1"/>
        <v>205787.5</v>
      </c>
    </row>
    <row r="47" spans="1:27" ht="13">
      <c r="A47" s="9">
        <v>45</v>
      </c>
      <c r="B47" s="35" t="s">
        <v>826</v>
      </c>
      <c r="C47" s="40">
        <v>1.0820895522388059</v>
      </c>
      <c r="D47" s="76">
        <v>172</v>
      </c>
      <c r="E47" s="76">
        <v>290</v>
      </c>
      <c r="F47" s="76">
        <v>268</v>
      </c>
      <c r="G47" s="76">
        <v>18</v>
      </c>
      <c r="H47" s="76">
        <v>32.5</v>
      </c>
      <c r="I47" s="76">
        <v>21960</v>
      </c>
      <c r="J47" s="77">
        <v>313100000</v>
      </c>
      <c r="K47" s="77">
        <v>2159000</v>
      </c>
      <c r="L47" s="77">
        <v>2524000</v>
      </c>
      <c r="M47" s="78">
        <v>119.4</v>
      </c>
      <c r="N47" s="80">
        <v>6685</v>
      </c>
      <c r="O47" s="80">
        <v>104500000</v>
      </c>
      <c r="P47" s="80">
        <v>779700</v>
      </c>
      <c r="Q47" s="80">
        <v>1192000</v>
      </c>
      <c r="R47" s="78">
        <v>69</v>
      </c>
      <c r="S47" s="79">
        <v>111.1</v>
      </c>
      <c r="T47" s="80">
        <v>7200000</v>
      </c>
      <c r="U47" s="242">
        <v>1732250781250</v>
      </c>
      <c r="V47" s="81">
        <v>17910</v>
      </c>
      <c r="W47" s="74">
        <v>24</v>
      </c>
      <c r="X47" s="31" t="str">
        <f>IF(C47&lt;=1.2,IF(H47&lt;=100,IF(Calcul!$AG$2=460,"a","b"),IF(Calcul!$AG$2=460,"c","d")),IF(H47&lt;=40,IF(Calcul!$AG$2=460,"a0","a"),IF(Calcul!$AG$2=460,"a","b")))</f>
        <v>b</v>
      </c>
      <c r="Y47" s="31" t="str">
        <f>IF(C47&lt;=1.2,IF(H47&lt;=100,IF(Calcul!$AG$2=460,"a","c"),IF(Calcul!$AG$2=460,"c","d")),IF(H47&lt;=40,IF(Calcul!$AG$2=460,"a0","b"),IF(Calcul!$AG$2=460,"a","c")))</f>
        <v>c</v>
      </c>
      <c r="Z47" s="156">
        <f t="shared" si="0"/>
        <v>1261806.1226791709</v>
      </c>
      <c r="AA47" s="31">
        <f t="shared" si="1"/>
        <v>274088.75</v>
      </c>
    </row>
    <row r="48" spans="1:27" ht="13">
      <c r="A48" s="9">
        <v>46</v>
      </c>
      <c r="B48" s="35" t="s">
        <v>827</v>
      </c>
      <c r="C48" s="40">
        <v>0.94285714285714284</v>
      </c>
      <c r="D48" s="76">
        <v>61.2</v>
      </c>
      <c r="E48" s="76">
        <v>264</v>
      </c>
      <c r="F48" s="76">
        <v>280</v>
      </c>
      <c r="G48" s="76">
        <v>7</v>
      </c>
      <c r="H48" s="76">
        <v>10</v>
      </c>
      <c r="I48" s="76">
        <v>7800</v>
      </c>
      <c r="J48" s="77">
        <v>105600000</v>
      </c>
      <c r="K48" s="77">
        <v>799800</v>
      </c>
      <c r="L48" s="77">
        <v>873100</v>
      </c>
      <c r="M48" s="78">
        <v>116.3</v>
      </c>
      <c r="N48" s="80">
        <v>2750</v>
      </c>
      <c r="O48" s="80">
        <v>36640000</v>
      </c>
      <c r="P48" s="80">
        <v>261700</v>
      </c>
      <c r="Q48" s="80">
        <v>399400</v>
      </c>
      <c r="R48" s="78">
        <v>68.5</v>
      </c>
      <c r="S48" s="79">
        <v>55.12</v>
      </c>
      <c r="T48" s="80">
        <v>355000</v>
      </c>
      <c r="U48" s="242">
        <v>590966560000</v>
      </c>
      <c r="V48" s="81">
        <v>6092</v>
      </c>
      <c r="W48" s="74">
        <v>24</v>
      </c>
      <c r="X48" s="31" t="str">
        <f>IF(C48&lt;=1.2,IF(H48&lt;=100,IF(Calcul!$AG$2=460,"a","b"),IF(Calcul!$AG$2=460,"c","d")),IF(H48&lt;=40,IF(Calcul!$AG$2=460,"a0","a"),IF(Calcul!$AG$2=460,"a","b")))</f>
        <v>b</v>
      </c>
      <c r="Y48" s="31" t="str">
        <f>IF(C48&lt;=1.2,IF(H48&lt;=100,IF(Calcul!$AG$2=460,"a","c"),IF(Calcul!$AG$2=460,"c","d")),IF(H48&lt;=40,IF(Calcul!$AG$2=460,"a0","b"),IF(Calcul!$AG$2=460,"a","c")))</f>
        <v>c</v>
      </c>
      <c r="Z48" s="156">
        <f t="shared" si="0"/>
        <v>436529.9751789493</v>
      </c>
      <c r="AA48" s="31">
        <f t="shared" si="1"/>
        <v>94218.75</v>
      </c>
    </row>
    <row r="49" spans="1:27" ht="13">
      <c r="A49" s="9">
        <v>47</v>
      </c>
      <c r="B49" s="35" t="s">
        <v>828</v>
      </c>
      <c r="C49" s="40">
        <v>0.9642857142857143</v>
      </c>
      <c r="D49" s="76">
        <v>76.400000000000006</v>
      </c>
      <c r="E49" s="76">
        <v>270</v>
      </c>
      <c r="F49" s="76">
        <v>280</v>
      </c>
      <c r="G49" s="76">
        <v>8</v>
      </c>
      <c r="H49" s="76">
        <v>13</v>
      </c>
      <c r="I49" s="76">
        <v>9730</v>
      </c>
      <c r="J49" s="77">
        <v>136700000</v>
      </c>
      <c r="K49" s="77">
        <v>1013000</v>
      </c>
      <c r="L49" s="77">
        <v>1112000</v>
      </c>
      <c r="M49" s="78">
        <v>118.6</v>
      </c>
      <c r="N49" s="80">
        <v>3178</v>
      </c>
      <c r="O49" s="80">
        <v>47630000</v>
      </c>
      <c r="P49" s="80">
        <v>340200</v>
      </c>
      <c r="Q49" s="80">
        <v>518100</v>
      </c>
      <c r="R49" s="78">
        <v>70</v>
      </c>
      <c r="S49" s="79">
        <v>62.12</v>
      </c>
      <c r="T49" s="80">
        <v>635000</v>
      </c>
      <c r="U49" s="242">
        <v>786478467500</v>
      </c>
      <c r="V49" s="81">
        <v>7778</v>
      </c>
      <c r="W49" s="74">
        <v>24</v>
      </c>
      <c r="X49" s="31" t="str">
        <f>IF(C49&lt;=1.2,IF(H49&lt;=100,IF(Calcul!$AG$2=460,"a","b"),IF(Calcul!$AG$2=460,"c","d")),IF(H49&lt;=40,IF(Calcul!$AG$2=460,"a0","a"),IF(Calcul!$AG$2=460,"a","b")))</f>
        <v>b</v>
      </c>
      <c r="Y49" s="31" t="str">
        <f>IF(C49&lt;=1.2,IF(H49&lt;=100,IF(Calcul!$AG$2=460,"a","c"),IF(Calcul!$AG$2=460,"c","d")),IF(H49&lt;=40,IF(Calcul!$AG$2=460,"a0","b"),IF(Calcul!$AG$2=460,"a","c")))</f>
        <v>c</v>
      </c>
      <c r="Z49" s="156">
        <f t="shared" si="0"/>
        <v>556111.9751789493</v>
      </c>
      <c r="AA49" s="31">
        <f t="shared" si="1"/>
        <v>122304</v>
      </c>
    </row>
    <row r="50" spans="1:27" ht="13">
      <c r="A50" s="9">
        <v>48</v>
      </c>
      <c r="B50" s="35" t="s">
        <v>829</v>
      </c>
      <c r="C50" s="40">
        <v>1</v>
      </c>
      <c r="D50" s="76">
        <v>103</v>
      </c>
      <c r="E50" s="76">
        <v>280</v>
      </c>
      <c r="F50" s="76">
        <v>280</v>
      </c>
      <c r="G50" s="76">
        <v>10.5</v>
      </c>
      <c r="H50" s="76">
        <v>18</v>
      </c>
      <c r="I50" s="76">
        <v>13140</v>
      </c>
      <c r="J50" s="77">
        <v>192700000</v>
      </c>
      <c r="K50" s="77">
        <v>1376000</v>
      </c>
      <c r="L50" s="77">
        <v>1534000</v>
      </c>
      <c r="M50" s="78">
        <v>121.1</v>
      </c>
      <c r="N50" s="80">
        <v>4113</v>
      </c>
      <c r="O50" s="80">
        <v>65950000</v>
      </c>
      <c r="P50" s="80">
        <v>471000</v>
      </c>
      <c r="Q50" s="80">
        <v>717600</v>
      </c>
      <c r="R50" s="78">
        <v>70.900000000000006</v>
      </c>
      <c r="S50" s="79">
        <v>74.62</v>
      </c>
      <c r="T50" s="80">
        <v>1460000</v>
      </c>
      <c r="U50" s="242">
        <v>1131767950000.0002</v>
      </c>
      <c r="V50" s="81">
        <v>10578</v>
      </c>
      <c r="W50" s="74">
        <v>24</v>
      </c>
      <c r="X50" s="31" t="str">
        <f>IF(C50&lt;=1.2,IF(H50&lt;=100,IF(Calcul!$AG$2=460,"a","b"),IF(Calcul!$AG$2=460,"c","d")),IF(H50&lt;=40,IF(Calcul!$AG$2=460,"a0","a"),IF(Calcul!$AG$2=460,"a","b")))</f>
        <v>b</v>
      </c>
      <c r="Y50" s="31" t="str">
        <f>IF(C50&lt;=1.2,IF(H50&lt;=100,IF(Calcul!$AG$2=460,"a","c"),IF(Calcul!$AG$2=460,"c","d")),IF(H50&lt;=40,IF(Calcul!$AG$2=460,"a0","b"),IF(Calcul!$AG$2=460,"a","c")))</f>
        <v>c</v>
      </c>
      <c r="Z50" s="156">
        <f t="shared" si="0"/>
        <v>767216.9751789493</v>
      </c>
      <c r="AA50" s="31">
        <f t="shared" si="1"/>
        <v>168699.9375</v>
      </c>
    </row>
    <row r="51" spans="1:27" ht="13">
      <c r="A51" s="9">
        <v>49</v>
      </c>
      <c r="B51" s="35" t="s">
        <v>830</v>
      </c>
      <c r="C51" s="40">
        <v>1.0387323943661972</v>
      </c>
      <c r="D51" s="76">
        <v>145</v>
      </c>
      <c r="E51" s="76">
        <v>295</v>
      </c>
      <c r="F51" s="76">
        <v>284</v>
      </c>
      <c r="G51" s="76">
        <v>14.5</v>
      </c>
      <c r="H51" s="76">
        <v>25.5</v>
      </c>
      <c r="I51" s="76">
        <v>18520</v>
      </c>
      <c r="J51" s="77">
        <v>288100000</v>
      </c>
      <c r="K51" s="77">
        <v>1953000</v>
      </c>
      <c r="L51" s="77">
        <v>2225000</v>
      </c>
      <c r="M51" s="78">
        <v>124.7</v>
      </c>
      <c r="N51" s="80">
        <v>5629.75</v>
      </c>
      <c r="O51" s="80">
        <v>97500000</v>
      </c>
      <c r="P51" s="80">
        <v>686600</v>
      </c>
      <c r="Q51" s="80">
        <v>1047000</v>
      </c>
      <c r="R51" s="78">
        <v>72.599999999999994</v>
      </c>
      <c r="S51" s="79">
        <v>93.62</v>
      </c>
      <c r="T51" s="80">
        <v>3850000</v>
      </c>
      <c r="U51" s="242">
        <v>1770362343750</v>
      </c>
      <c r="V51" s="81">
        <v>14982</v>
      </c>
      <c r="W51" s="74">
        <v>24</v>
      </c>
      <c r="X51" s="31" t="str">
        <f>IF(C51&lt;=1.2,IF(H51&lt;=100,IF(Calcul!$AG$2=460,"a","b"),IF(Calcul!$AG$2=460,"c","d")),IF(H51&lt;=40,IF(Calcul!$AG$2=460,"a0","a"),IF(Calcul!$AG$2=460,"a","b")))</f>
        <v>b</v>
      </c>
      <c r="Y51" s="31" t="str">
        <f>IF(C51&lt;=1.2,IF(H51&lt;=100,IF(Calcul!$AG$2=460,"a","c"),IF(Calcul!$AG$2=460,"c","d")),IF(H51&lt;=40,IF(Calcul!$AG$2=460,"a0","b"),IF(Calcul!$AG$2=460,"a","c")))</f>
        <v>c</v>
      </c>
      <c r="Z51" s="156">
        <f t="shared" si="0"/>
        <v>1112604.4751789493</v>
      </c>
      <c r="AA51" s="31">
        <f t="shared" si="1"/>
        <v>244639.828125</v>
      </c>
    </row>
    <row r="52" spans="1:27" ht="13">
      <c r="A52" s="9">
        <v>50</v>
      </c>
      <c r="B52" s="35" t="s">
        <v>831</v>
      </c>
      <c r="C52" s="40">
        <v>1.0763888888888888</v>
      </c>
      <c r="D52" s="76">
        <v>189</v>
      </c>
      <c r="E52" s="76">
        <v>310</v>
      </c>
      <c r="F52" s="76">
        <v>288</v>
      </c>
      <c r="G52" s="76">
        <v>18.5</v>
      </c>
      <c r="H52" s="76">
        <v>33</v>
      </c>
      <c r="I52" s="76">
        <v>24020</v>
      </c>
      <c r="J52" s="77">
        <v>395500000</v>
      </c>
      <c r="K52" s="77">
        <v>2551000</v>
      </c>
      <c r="L52" s="77">
        <v>2966000</v>
      </c>
      <c r="M52" s="78">
        <v>128.30000000000001</v>
      </c>
      <c r="N52" s="80">
        <v>7206.5</v>
      </c>
      <c r="O52" s="80">
        <v>131600000</v>
      </c>
      <c r="P52" s="80">
        <v>914100</v>
      </c>
      <c r="Q52" s="80">
        <v>1397000</v>
      </c>
      <c r="R52" s="78">
        <v>74</v>
      </c>
      <c r="S52" s="79">
        <v>112.6</v>
      </c>
      <c r="T52" s="80">
        <v>8070000</v>
      </c>
      <c r="U52" s="242">
        <v>2524384100000</v>
      </c>
      <c r="V52" s="81">
        <v>19506</v>
      </c>
      <c r="W52" s="74">
        <v>24</v>
      </c>
      <c r="X52" s="31" t="str">
        <f>IF(C52&lt;=1.2,IF(H52&lt;=100,IF(Calcul!$AG$2=460,"a","b"),IF(Calcul!$AG$2=460,"c","d")),IF(H52&lt;=40,IF(Calcul!$AG$2=460,"a0","a"),IF(Calcul!$AG$2=460,"a","b")))</f>
        <v>b</v>
      </c>
      <c r="Y52" s="31" t="str">
        <f>IF(C52&lt;=1.2,IF(H52&lt;=100,IF(Calcul!$AG$2=460,"a","c"),IF(Calcul!$AG$2=460,"c","d")),IF(H52&lt;=40,IF(Calcul!$AG$2=460,"a0","b"),IF(Calcul!$AG$2=460,"a","c")))</f>
        <v>c</v>
      </c>
      <c r="Z52" s="156">
        <f t="shared" si="0"/>
        <v>1482816.9751789493</v>
      </c>
      <c r="AA52" s="31">
        <f t="shared" si="1"/>
        <v>323902.21875</v>
      </c>
    </row>
    <row r="53" spans="1:27" ht="13">
      <c r="A53" s="9">
        <v>51</v>
      </c>
      <c r="B53" s="35" t="s">
        <v>832</v>
      </c>
      <c r="C53" s="40">
        <v>0.94333333333333336</v>
      </c>
      <c r="D53" s="76">
        <v>69.8</v>
      </c>
      <c r="E53" s="76">
        <v>283</v>
      </c>
      <c r="F53" s="76">
        <v>300</v>
      </c>
      <c r="G53" s="76">
        <v>7.5</v>
      </c>
      <c r="H53" s="76">
        <v>10.5</v>
      </c>
      <c r="I53" s="76">
        <v>8890</v>
      </c>
      <c r="J53" s="77">
        <v>138000000</v>
      </c>
      <c r="K53" s="77">
        <v>975600</v>
      </c>
      <c r="L53" s="77">
        <v>1065000</v>
      </c>
      <c r="M53" s="78">
        <v>124.6</v>
      </c>
      <c r="N53" s="80">
        <v>3235.75</v>
      </c>
      <c r="O53" s="80">
        <v>47340000</v>
      </c>
      <c r="P53" s="80">
        <v>315600</v>
      </c>
      <c r="Q53" s="80">
        <v>482300</v>
      </c>
      <c r="R53" s="78">
        <v>73</v>
      </c>
      <c r="S53" s="79">
        <v>60.13</v>
      </c>
      <c r="T53" s="80">
        <v>478000</v>
      </c>
      <c r="U53" s="242">
        <v>878822718750</v>
      </c>
      <c r="V53" s="81">
        <v>6925</v>
      </c>
      <c r="W53" s="74">
        <v>27</v>
      </c>
      <c r="X53" s="31" t="str">
        <f>IF(C53&lt;=1.2,IF(H53&lt;=100,IF(Calcul!$AG$2=460,"a","b"),IF(Calcul!$AG$2=460,"c","d")),IF(H53&lt;=40,IF(Calcul!$AG$2=460,"a0","a"),IF(Calcul!$AG$2=460,"a","b")))</f>
        <v>b</v>
      </c>
      <c r="Y53" s="31" t="str">
        <f>IF(C53&lt;=1.2,IF(H53&lt;=100,IF(Calcul!$AG$2=460,"a","c"),IF(Calcul!$AG$2=460,"c","d")),IF(H53&lt;=40,IF(Calcul!$AG$2=460,"a0","b"),IF(Calcul!$AG$2=460,"a","c")))</f>
        <v>c</v>
      </c>
      <c r="Z53" s="156">
        <f t="shared" si="0"/>
        <v>532643.16323554912</v>
      </c>
      <c r="AA53" s="31">
        <f t="shared" si="1"/>
        <v>113160.796875</v>
      </c>
    </row>
    <row r="54" spans="1:27" ht="13">
      <c r="A54" s="9">
        <v>52</v>
      </c>
      <c r="B54" s="35" t="s">
        <v>833</v>
      </c>
      <c r="C54" s="40">
        <v>0.96666666666666667</v>
      </c>
      <c r="D54" s="76">
        <v>88.3</v>
      </c>
      <c r="E54" s="76">
        <v>290</v>
      </c>
      <c r="F54" s="76">
        <v>300</v>
      </c>
      <c r="G54" s="76">
        <v>8.5</v>
      </c>
      <c r="H54" s="76">
        <v>14</v>
      </c>
      <c r="I54" s="76">
        <v>11250</v>
      </c>
      <c r="J54" s="77">
        <v>182600000</v>
      </c>
      <c r="K54" s="77">
        <v>1260000</v>
      </c>
      <c r="L54" s="77">
        <v>1383000</v>
      </c>
      <c r="M54" s="78">
        <v>127.4</v>
      </c>
      <c r="N54" s="80">
        <v>3725</v>
      </c>
      <c r="O54" s="80">
        <v>63100000</v>
      </c>
      <c r="P54" s="80">
        <v>420600</v>
      </c>
      <c r="Q54" s="80">
        <v>641200</v>
      </c>
      <c r="R54" s="78">
        <v>74.900000000000006</v>
      </c>
      <c r="S54" s="79">
        <v>68.13</v>
      </c>
      <c r="T54" s="80">
        <v>878000</v>
      </c>
      <c r="U54" s="242">
        <v>1201676400000</v>
      </c>
      <c r="V54" s="81">
        <v>9023</v>
      </c>
      <c r="W54" s="74">
        <v>27</v>
      </c>
      <c r="X54" s="31" t="str">
        <f>IF(C54&lt;=1.2,IF(H54&lt;=100,IF(Calcul!$AG$2=460,"a","b"),IF(Calcul!$AG$2=460,"c","d")),IF(H54&lt;=40,IF(Calcul!$AG$2=460,"a0","a"),IF(Calcul!$AG$2=460,"a","b")))</f>
        <v>b</v>
      </c>
      <c r="Y54" s="31" t="str">
        <f>IF(C54&lt;=1.2,IF(H54&lt;=100,IF(Calcul!$AG$2=460,"a","c"),IF(Calcul!$AG$2=460,"c","d")),IF(H54&lt;=40,IF(Calcul!$AG$2=460,"a0","b"),IF(Calcul!$AG$2=460,"a","c")))</f>
        <v>c</v>
      </c>
      <c r="Z54" s="156">
        <f t="shared" si="0"/>
        <v>691636.16323554912</v>
      </c>
      <c r="AA54" s="31">
        <f t="shared" si="1"/>
        <v>150664.0625</v>
      </c>
    </row>
    <row r="55" spans="1:27" ht="13">
      <c r="A55" s="9">
        <v>53</v>
      </c>
      <c r="B55" s="35" t="s">
        <v>834</v>
      </c>
      <c r="C55" s="40">
        <v>1</v>
      </c>
      <c r="D55" s="76">
        <v>117</v>
      </c>
      <c r="E55" s="76">
        <v>300</v>
      </c>
      <c r="F55" s="76">
        <v>300</v>
      </c>
      <c r="G55" s="76">
        <v>11</v>
      </c>
      <c r="H55" s="76">
        <v>19</v>
      </c>
      <c r="I55" s="76">
        <v>14910</v>
      </c>
      <c r="J55" s="77">
        <v>251700000</v>
      </c>
      <c r="K55" s="77">
        <v>1678000</v>
      </c>
      <c r="L55" s="77">
        <v>1869000</v>
      </c>
      <c r="M55" s="78">
        <v>129.9</v>
      </c>
      <c r="N55" s="80">
        <v>4745</v>
      </c>
      <c r="O55" s="80">
        <v>85630000</v>
      </c>
      <c r="P55" s="80">
        <v>570900</v>
      </c>
      <c r="Q55" s="80">
        <v>870100</v>
      </c>
      <c r="R55" s="78">
        <v>75.8</v>
      </c>
      <c r="S55" s="79">
        <v>80.63</v>
      </c>
      <c r="T55" s="80">
        <v>1890000</v>
      </c>
      <c r="U55" s="242">
        <v>1690357607500</v>
      </c>
      <c r="V55" s="81">
        <v>12028</v>
      </c>
      <c r="W55" s="74">
        <v>27</v>
      </c>
      <c r="X55" s="31" t="str">
        <f>IF(C55&lt;=1.2,IF(H55&lt;=100,IF(Calcul!$AG$2=460,"a","b"),IF(Calcul!$AG$2=460,"c","d")),IF(H55&lt;=40,IF(Calcul!$AG$2=460,"a0","a"),IF(Calcul!$AG$2=460,"a","b")))</f>
        <v>b</v>
      </c>
      <c r="Y55" s="31" t="str">
        <f>IF(C55&lt;=1.2,IF(H55&lt;=100,IF(Calcul!$AG$2=460,"a","c"),IF(Calcul!$AG$2=460,"c","d")),IF(H55&lt;=40,IF(Calcul!$AG$2=460,"a0","b"),IF(Calcul!$AG$2=460,"a","c")))</f>
        <v>c</v>
      </c>
      <c r="Z55" s="156">
        <f t="shared" si="0"/>
        <v>934337.41323554912</v>
      </c>
      <c r="AA55" s="31">
        <f t="shared" si="1"/>
        <v>203715.625</v>
      </c>
    </row>
    <row r="56" spans="1:27" ht="13">
      <c r="A56" s="9">
        <v>54</v>
      </c>
      <c r="B56" s="35" t="s">
        <v>835</v>
      </c>
      <c r="C56" s="40">
        <v>1.0491803278688525</v>
      </c>
      <c r="D56" s="76">
        <v>177</v>
      </c>
      <c r="E56" s="76">
        <v>320</v>
      </c>
      <c r="F56" s="76">
        <v>305</v>
      </c>
      <c r="G56" s="76">
        <v>16</v>
      </c>
      <c r="H56" s="76">
        <v>29</v>
      </c>
      <c r="I56" s="76">
        <v>22510</v>
      </c>
      <c r="J56" s="77">
        <v>409500000</v>
      </c>
      <c r="K56" s="77">
        <v>2559000</v>
      </c>
      <c r="L56" s="77">
        <v>2927000</v>
      </c>
      <c r="M56" s="78">
        <v>134.9</v>
      </c>
      <c r="N56" s="80">
        <v>6850</v>
      </c>
      <c r="O56" s="80">
        <v>137360000</v>
      </c>
      <c r="P56" s="80">
        <v>900700</v>
      </c>
      <c r="Q56" s="80">
        <v>1374000</v>
      </c>
      <c r="R56" s="78">
        <v>78.099999999999994</v>
      </c>
      <c r="S56" s="79">
        <v>105.6</v>
      </c>
      <c r="T56" s="80">
        <v>6040000</v>
      </c>
      <c r="U56" s="242">
        <v>2907945540000</v>
      </c>
      <c r="V56" s="81">
        <v>18318</v>
      </c>
      <c r="W56" s="74">
        <v>27</v>
      </c>
      <c r="X56" s="31" t="str">
        <f>IF(C56&lt;=1.2,IF(H56&lt;=100,IF(Calcul!$AG$2=460,"a","b"),IF(Calcul!$AG$2=460,"c","d")),IF(H56&lt;=40,IF(Calcul!$AG$2=460,"a0","a"),IF(Calcul!$AG$2=460,"a","b")))</f>
        <v>b</v>
      </c>
      <c r="Y56" s="31" t="str">
        <f>IF(C56&lt;=1.2,IF(H56&lt;=100,IF(Calcul!$AG$2=460,"a","c"),IF(Calcul!$AG$2=460,"c","d")),IF(H56&lt;=40,IF(Calcul!$AG$2=460,"a0","b"),IF(Calcul!$AG$2=460,"a","c")))</f>
        <v>c</v>
      </c>
      <c r="Z56" s="156">
        <f t="shared" si="0"/>
        <v>1463337.4132355491</v>
      </c>
      <c r="AA56" s="31">
        <f t="shared" si="1"/>
        <v>319453.125</v>
      </c>
    </row>
    <row r="57" spans="1:27" ht="13">
      <c r="A57" s="9">
        <v>55</v>
      </c>
      <c r="B57" s="35" t="s">
        <v>836</v>
      </c>
      <c r="C57" s="40">
        <v>1.096774193548387</v>
      </c>
      <c r="D57" s="76">
        <v>238</v>
      </c>
      <c r="E57" s="76">
        <v>340</v>
      </c>
      <c r="F57" s="76">
        <v>310</v>
      </c>
      <c r="G57" s="76">
        <v>21</v>
      </c>
      <c r="H57" s="76">
        <v>39</v>
      </c>
      <c r="I57" s="76">
        <v>30310</v>
      </c>
      <c r="J57" s="77">
        <v>592000000</v>
      </c>
      <c r="K57" s="77">
        <v>3482000</v>
      </c>
      <c r="L57" s="77">
        <v>4078000</v>
      </c>
      <c r="M57" s="78">
        <v>139.80000000000001</v>
      </c>
      <c r="N57" s="80">
        <v>9055</v>
      </c>
      <c r="O57" s="80">
        <v>194000000</v>
      </c>
      <c r="P57" s="80">
        <v>1252000</v>
      </c>
      <c r="Q57" s="80">
        <v>1913000</v>
      </c>
      <c r="R57" s="78">
        <v>80</v>
      </c>
      <c r="S57" s="79">
        <v>130.6</v>
      </c>
      <c r="T57" s="80">
        <v>14100000</v>
      </c>
      <c r="U57" s="242">
        <v>4394148500000</v>
      </c>
      <c r="V57" s="81">
        <v>24808</v>
      </c>
      <c r="W57" s="74">
        <v>27</v>
      </c>
      <c r="X57" s="31" t="str">
        <f>IF(C57&lt;=1.2,IF(H57&lt;=100,IF(Calcul!$AG$2=460,"a","b"),IF(Calcul!$AG$2=460,"c","d")),IF(H57&lt;=40,IF(Calcul!$AG$2=460,"a0","a"),IF(Calcul!$AG$2=460,"a","b")))</f>
        <v>b</v>
      </c>
      <c r="Y57" s="31" t="str">
        <f>IF(C57&lt;=1.2,IF(H57&lt;=100,IF(Calcul!$AG$2=460,"a","c"),IF(Calcul!$AG$2=460,"c","d")),IF(H57&lt;=40,IF(Calcul!$AG$2=460,"a0","b"),IF(Calcul!$AG$2=460,"a","c")))</f>
        <v>c</v>
      </c>
      <c r="Z57" s="156">
        <f t="shared" si="0"/>
        <v>2038837.4132355491</v>
      </c>
      <c r="AA57" s="31">
        <f t="shared" si="1"/>
        <v>441065.625</v>
      </c>
    </row>
    <row r="58" spans="1:27" ht="13">
      <c r="A58" s="9">
        <v>56</v>
      </c>
      <c r="B58" s="35" t="s">
        <v>837</v>
      </c>
      <c r="C58" s="40">
        <v>1.0033333333333334</v>
      </c>
      <c r="D58" s="76">
        <v>74.2</v>
      </c>
      <c r="E58" s="76">
        <v>301</v>
      </c>
      <c r="F58" s="76">
        <v>300</v>
      </c>
      <c r="G58" s="76">
        <v>8</v>
      </c>
      <c r="H58" s="76">
        <v>11</v>
      </c>
      <c r="I58" s="76">
        <v>9460</v>
      </c>
      <c r="J58" s="77">
        <v>164500000</v>
      </c>
      <c r="K58" s="77">
        <v>1093000</v>
      </c>
      <c r="L58" s="77">
        <v>1196000</v>
      </c>
      <c r="M58" s="78">
        <v>131.9</v>
      </c>
      <c r="N58" s="80">
        <v>3542</v>
      </c>
      <c r="O58" s="80">
        <v>49590000</v>
      </c>
      <c r="P58" s="80">
        <v>330600</v>
      </c>
      <c r="Q58" s="80">
        <v>505700</v>
      </c>
      <c r="R58" s="78">
        <v>72.400000000000006</v>
      </c>
      <c r="S58" s="79">
        <v>61.63</v>
      </c>
      <c r="T58" s="80">
        <v>536000</v>
      </c>
      <c r="U58" s="242">
        <v>1042629750000</v>
      </c>
      <c r="V58" s="81">
        <v>7228</v>
      </c>
      <c r="W58" s="74">
        <v>27</v>
      </c>
      <c r="X58" s="31" t="str">
        <f>IF(C58&lt;=1.2,IF(H58&lt;=100,IF(Calcul!$AG$2=460,"a","b"),IF(Calcul!$AG$2=460,"c","d")),IF(H58&lt;=40,IF(Calcul!$AG$2=460,"a0","a"),IF(Calcul!$AG$2=460,"a","b")))</f>
        <v>b</v>
      </c>
      <c r="Y58" s="31" t="str">
        <f>IF(C58&lt;=1.2,IF(H58&lt;=100,IF(Calcul!$AG$2=460,"a","c"),IF(Calcul!$AG$2=460,"c","d")),IF(H58&lt;=40,IF(Calcul!$AG$2=460,"a0","b"),IF(Calcul!$AG$2=460,"a","c")))</f>
        <v>c</v>
      </c>
      <c r="Z58" s="156">
        <f t="shared" si="0"/>
        <v>598102.47379656462</v>
      </c>
      <c r="AA58" s="31">
        <f t="shared" si="1"/>
        <v>118464.5</v>
      </c>
    </row>
    <row r="59" spans="1:27" ht="13">
      <c r="A59" s="9">
        <v>57</v>
      </c>
      <c r="B59" s="35" t="s">
        <v>838</v>
      </c>
      <c r="C59" s="40">
        <v>1.0333333333333334</v>
      </c>
      <c r="D59" s="76">
        <v>97.6</v>
      </c>
      <c r="E59" s="76">
        <v>310</v>
      </c>
      <c r="F59" s="76">
        <v>300</v>
      </c>
      <c r="G59" s="76">
        <v>9</v>
      </c>
      <c r="H59" s="76">
        <v>15.5</v>
      </c>
      <c r="I59" s="76">
        <v>12440</v>
      </c>
      <c r="J59" s="77">
        <v>229300000</v>
      </c>
      <c r="K59" s="77">
        <v>1479000</v>
      </c>
      <c r="L59" s="77">
        <v>1628000</v>
      </c>
      <c r="M59" s="78">
        <v>135.80000000000001</v>
      </c>
      <c r="N59" s="80">
        <v>4116.5</v>
      </c>
      <c r="O59" s="80">
        <v>69850000</v>
      </c>
      <c r="P59" s="80">
        <v>465700</v>
      </c>
      <c r="Q59" s="80">
        <v>709700</v>
      </c>
      <c r="R59" s="78">
        <v>74.900000000000006</v>
      </c>
      <c r="S59" s="79">
        <v>71.63</v>
      </c>
      <c r="T59" s="80">
        <v>1120000</v>
      </c>
      <c r="U59" s="242">
        <v>1514526990625</v>
      </c>
      <c r="V59" s="81">
        <v>9929</v>
      </c>
      <c r="W59" s="74">
        <v>27</v>
      </c>
      <c r="X59" s="31" t="str">
        <f>IF(C59&lt;=1.2,IF(H59&lt;=100,IF(Calcul!$AG$2=460,"a","b"),IF(Calcul!$AG$2=460,"c","d")),IF(H59&lt;=40,IF(Calcul!$AG$2=460,"a0","a"),IF(Calcul!$AG$2=460,"a","b")))</f>
        <v>b</v>
      </c>
      <c r="Y59" s="31" t="str">
        <f>IF(C59&lt;=1.2,IF(H59&lt;=100,IF(Calcul!$AG$2=460,"a","c"),IF(Calcul!$AG$2=460,"c","d")),IF(H59&lt;=40,IF(Calcul!$AG$2=460,"a0","b"),IF(Calcul!$AG$2=460,"a","c")))</f>
        <v>c</v>
      </c>
      <c r="Z59" s="156">
        <f t="shared" si="0"/>
        <v>814045.09879656462</v>
      </c>
      <c r="AA59" s="31">
        <f t="shared" si="1"/>
        <v>166685.0625</v>
      </c>
    </row>
    <row r="60" spans="1:27" ht="13">
      <c r="A60" s="9">
        <v>58</v>
      </c>
      <c r="B60" s="35" t="s">
        <v>839</v>
      </c>
      <c r="C60" s="40">
        <v>1.0666666666666667</v>
      </c>
      <c r="D60" s="76">
        <v>127</v>
      </c>
      <c r="E60" s="76">
        <v>320</v>
      </c>
      <c r="F60" s="76">
        <v>300</v>
      </c>
      <c r="G60" s="76">
        <v>11.5</v>
      </c>
      <c r="H60" s="76">
        <v>20.5</v>
      </c>
      <c r="I60" s="76">
        <v>16130</v>
      </c>
      <c r="J60" s="77">
        <v>308200000</v>
      </c>
      <c r="K60" s="77">
        <v>1926000</v>
      </c>
      <c r="L60" s="77">
        <v>2149000</v>
      </c>
      <c r="M60" s="78">
        <v>138.19999999999999</v>
      </c>
      <c r="N60" s="80">
        <v>5172.75</v>
      </c>
      <c r="O60" s="80">
        <v>92390000</v>
      </c>
      <c r="P60" s="80">
        <v>615900</v>
      </c>
      <c r="Q60" s="80">
        <v>939100</v>
      </c>
      <c r="R60" s="78">
        <v>75.7</v>
      </c>
      <c r="S60" s="79">
        <v>84.13</v>
      </c>
      <c r="T60" s="80">
        <v>2300000</v>
      </c>
      <c r="U60" s="242">
        <v>2071851524375</v>
      </c>
      <c r="V60" s="81">
        <v>12921.5</v>
      </c>
      <c r="W60" s="74">
        <v>27</v>
      </c>
      <c r="X60" s="31" t="str">
        <f>IF(C60&lt;=1.2,IF(H60&lt;=100,IF(Calcul!$AG$2=460,"a","b"),IF(Calcul!$AG$2=460,"c","d")),IF(H60&lt;=40,IF(Calcul!$AG$2=460,"a0","a"),IF(Calcul!$AG$2=460,"a","b")))</f>
        <v>b</v>
      </c>
      <c r="Y60" s="31" t="str">
        <f>IF(C60&lt;=1.2,IF(H60&lt;=100,IF(Calcul!$AG$2=460,"a","c"),IF(Calcul!$AG$2=460,"c","d")),IF(H60&lt;=40,IF(Calcul!$AG$2=460,"a0","b"),IF(Calcul!$AG$2=460,"a","c")))</f>
        <v>c</v>
      </c>
      <c r="Z60" s="156">
        <f t="shared" si="0"/>
        <v>1074620.4112965646</v>
      </c>
      <c r="AA60" s="31">
        <f t="shared" si="1"/>
        <v>219631.234375</v>
      </c>
    </row>
    <row r="61" spans="1:27" ht="13">
      <c r="A61" s="9">
        <v>59</v>
      </c>
      <c r="B61" s="35" t="s">
        <v>840</v>
      </c>
      <c r="C61" s="40">
        <v>1.1147540983606556</v>
      </c>
      <c r="D61" s="76">
        <v>186</v>
      </c>
      <c r="E61" s="76">
        <v>340</v>
      </c>
      <c r="F61" s="76">
        <v>305</v>
      </c>
      <c r="G61" s="76">
        <v>16</v>
      </c>
      <c r="H61" s="76">
        <v>30.5</v>
      </c>
      <c r="I61" s="76">
        <v>23690</v>
      </c>
      <c r="J61" s="77">
        <v>487100000</v>
      </c>
      <c r="K61" s="77">
        <v>2865000</v>
      </c>
      <c r="L61" s="77">
        <v>3274000</v>
      </c>
      <c r="M61" s="78">
        <v>143.4</v>
      </c>
      <c r="N61" s="80">
        <v>7220</v>
      </c>
      <c r="O61" s="80">
        <v>144460000</v>
      </c>
      <c r="P61" s="80">
        <v>947000</v>
      </c>
      <c r="Q61" s="80">
        <v>1445000</v>
      </c>
      <c r="R61" s="78">
        <v>78.099999999999994</v>
      </c>
      <c r="S61" s="79">
        <v>108.6</v>
      </c>
      <c r="T61" s="80">
        <v>6880000</v>
      </c>
      <c r="U61" s="242">
        <v>3459464878750</v>
      </c>
      <c r="V61" s="81">
        <v>19226</v>
      </c>
      <c r="W61" s="74">
        <v>27</v>
      </c>
      <c r="X61" s="31" t="str">
        <f>IF(C61&lt;=1.2,IF(H61&lt;=100,IF(Calcul!$AG$2=460,"a","b"),IF(Calcul!$AG$2=460,"c","d")),IF(H61&lt;=40,IF(Calcul!$AG$2=460,"a0","a"),IF(Calcul!$AG$2=460,"a","b")))</f>
        <v>b</v>
      </c>
      <c r="Y61" s="31" t="str">
        <f>IF(C61&lt;=1.2,IF(H61&lt;=100,IF(Calcul!$AG$2=460,"a","c"),IF(Calcul!$AG$2=460,"c","d")),IF(H61&lt;=40,IF(Calcul!$AG$2=460,"a0","b"),IF(Calcul!$AG$2=460,"a","c")))</f>
        <v>c</v>
      </c>
      <c r="Z61" s="156">
        <f t="shared" si="0"/>
        <v>1637005.3487965646</v>
      </c>
      <c r="AA61" s="31">
        <f t="shared" si="1"/>
        <v>335976.5625</v>
      </c>
    </row>
    <row r="62" spans="1:27" ht="13">
      <c r="A62" s="9">
        <v>60</v>
      </c>
      <c r="B62" s="35" t="s">
        <v>841</v>
      </c>
      <c r="C62" s="40">
        <v>1.1618122977346279</v>
      </c>
      <c r="D62" s="76">
        <v>245</v>
      </c>
      <c r="E62" s="76">
        <v>359</v>
      </c>
      <c r="F62" s="76">
        <v>309</v>
      </c>
      <c r="G62" s="76">
        <v>21</v>
      </c>
      <c r="H62" s="76">
        <v>40</v>
      </c>
      <c r="I62" s="76">
        <v>31200</v>
      </c>
      <c r="J62" s="77">
        <v>681300000</v>
      </c>
      <c r="K62" s="77">
        <v>3796000</v>
      </c>
      <c r="L62" s="77">
        <v>4435000</v>
      </c>
      <c r="M62" s="78">
        <v>147.80000000000001</v>
      </c>
      <c r="N62" s="80">
        <v>9480</v>
      </c>
      <c r="O62" s="80">
        <v>197100000</v>
      </c>
      <c r="P62" s="80">
        <v>1276000</v>
      </c>
      <c r="Q62" s="80">
        <v>1951000</v>
      </c>
      <c r="R62" s="78">
        <v>79.5</v>
      </c>
      <c r="S62" s="79">
        <v>132.6</v>
      </c>
      <c r="T62" s="80">
        <v>15100000</v>
      </c>
      <c r="U62" s="242">
        <v>5014273275000</v>
      </c>
      <c r="V62" s="81">
        <v>25341</v>
      </c>
      <c r="W62" s="74">
        <v>27</v>
      </c>
      <c r="X62" s="31" t="str">
        <f>IF(C62&lt;=1.2,IF(H62&lt;=100,IF(Calcul!$AG$2=460,"a","b"),IF(Calcul!$AG$2=460,"c","d")),IF(H62&lt;=40,IF(Calcul!$AG$2=460,"a0","a"),IF(Calcul!$AG$2=460,"a","b")))</f>
        <v>b</v>
      </c>
      <c r="Y62" s="31" t="str">
        <f>IF(C62&lt;=1.2,IF(H62&lt;=100,IF(Calcul!$AG$2=460,"a","c"),IF(Calcul!$AG$2=460,"c","d")),IF(H62&lt;=40,IF(Calcul!$AG$2=460,"a0","b"),IF(Calcul!$AG$2=460,"a","c")))</f>
        <v>c</v>
      </c>
      <c r="Z62" s="156">
        <f t="shared" si="0"/>
        <v>2217514.0987965646</v>
      </c>
      <c r="AA62" s="31">
        <f t="shared" si="1"/>
        <v>449280</v>
      </c>
    </row>
    <row r="63" spans="1:27" ht="13">
      <c r="A63" s="9">
        <v>61</v>
      </c>
      <c r="B63" s="35" t="s">
        <v>842</v>
      </c>
      <c r="C63" s="40">
        <v>1.0666666666666667</v>
      </c>
      <c r="D63" s="76">
        <v>78.900000000000006</v>
      </c>
      <c r="E63" s="76">
        <v>320</v>
      </c>
      <c r="F63" s="76">
        <v>300</v>
      </c>
      <c r="G63" s="76">
        <v>8.5</v>
      </c>
      <c r="H63" s="76">
        <v>11.5</v>
      </c>
      <c r="I63" s="76">
        <v>10050</v>
      </c>
      <c r="J63" s="77">
        <v>195500000</v>
      </c>
      <c r="K63" s="77">
        <v>1222000</v>
      </c>
      <c r="L63" s="77">
        <v>1341000</v>
      </c>
      <c r="M63" s="78">
        <v>139.5</v>
      </c>
      <c r="N63" s="80">
        <v>3868.75</v>
      </c>
      <c r="O63" s="80">
        <v>51850000</v>
      </c>
      <c r="P63" s="80">
        <v>345600</v>
      </c>
      <c r="Q63" s="80">
        <v>529300</v>
      </c>
      <c r="R63" s="78">
        <v>71.8</v>
      </c>
      <c r="S63" s="79">
        <v>63.13</v>
      </c>
      <c r="T63" s="80">
        <v>600000</v>
      </c>
      <c r="U63" s="242">
        <v>1233670290625</v>
      </c>
      <c r="V63" s="81">
        <v>7525.5</v>
      </c>
      <c r="W63" s="74">
        <v>27</v>
      </c>
      <c r="X63" s="31" t="str">
        <f>IF(C63&lt;=1.2,IF(H63&lt;=100,IF(Calcul!$AG$2=460,"a","b"),IF(Calcul!$AG$2=460,"c","d")),IF(H63&lt;=40,IF(Calcul!$AG$2=460,"a0","a"),IF(Calcul!$AG$2=460,"a","b")))</f>
        <v>b</v>
      </c>
      <c r="Y63" s="31" t="str">
        <f>IF(C63&lt;=1.2,IF(H63&lt;=100,IF(Calcul!$AG$2=460,"a","c"),IF(Calcul!$AG$2=460,"c","d")),IF(H63&lt;=40,IF(Calcul!$AG$2=460,"a0","b"),IF(Calcul!$AG$2=460,"a","c")))</f>
        <v>c</v>
      </c>
      <c r="Z63" s="156">
        <f t="shared" si="0"/>
        <v>670462.04159646318</v>
      </c>
      <c r="AA63" s="31">
        <f t="shared" si="1"/>
        <v>123759.765625</v>
      </c>
    </row>
    <row r="64" spans="1:27" ht="13">
      <c r="A64" s="9">
        <v>62</v>
      </c>
      <c r="B64" s="35" t="s">
        <v>843</v>
      </c>
      <c r="C64" s="40">
        <v>1.1000000000000001</v>
      </c>
      <c r="D64" s="76">
        <v>105</v>
      </c>
      <c r="E64" s="76">
        <v>330</v>
      </c>
      <c r="F64" s="76">
        <v>300</v>
      </c>
      <c r="G64" s="76">
        <v>9.5</v>
      </c>
      <c r="H64" s="76">
        <v>16.5</v>
      </c>
      <c r="I64" s="76">
        <v>13350</v>
      </c>
      <c r="J64" s="77">
        <v>276900000</v>
      </c>
      <c r="K64" s="77">
        <v>1678000</v>
      </c>
      <c r="L64" s="77">
        <v>1850000</v>
      </c>
      <c r="M64" s="78">
        <v>144</v>
      </c>
      <c r="N64" s="80">
        <v>4497.75</v>
      </c>
      <c r="O64" s="80">
        <v>74360000</v>
      </c>
      <c r="P64" s="80">
        <v>495700</v>
      </c>
      <c r="Q64" s="80">
        <v>755900</v>
      </c>
      <c r="R64" s="78">
        <v>74.599999999999994</v>
      </c>
      <c r="S64" s="79">
        <v>74.13</v>
      </c>
      <c r="T64" s="80">
        <v>1310000</v>
      </c>
      <c r="U64" s="242">
        <v>1827067027500</v>
      </c>
      <c r="V64" s="81">
        <v>10528.5</v>
      </c>
      <c r="W64" s="74">
        <v>27</v>
      </c>
      <c r="X64" s="31" t="str">
        <f>IF(C64&lt;=1.2,IF(H64&lt;=100,IF(Calcul!$AG$2=460,"a","b"),IF(Calcul!$AG$2=460,"c","d")),IF(H64&lt;=40,IF(Calcul!$AG$2=460,"a0","a"),IF(Calcul!$AG$2=460,"a","b")))</f>
        <v>b</v>
      </c>
      <c r="Y64" s="31" t="str">
        <f>IF(C64&lt;=1.2,IF(H64&lt;=100,IF(Calcul!$AG$2=460,"a","c"),IF(Calcul!$AG$2=460,"c","d")),IF(H64&lt;=40,IF(Calcul!$AG$2=460,"a0","b"),IF(Calcul!$AG$2=460,"a","c")))</f>
        <v>c</v>
      </c>
      <c r="Z64" s="156">
        <f t="shared" si="0"/>
        <v>925238.16659646318</v>
      </c>
      <c r="AA64" s="31">
        <f t="shared" si="1"/>
        <v>177308.484375</v>
      </c>
    </row>
    <row r="65" spans="1:27" ht="13">
      <c r="A65" s="9">
        <v>63</v>
      </c>
      <c r="B65" s="35" t="s">
        <v>844</v>
      </c>
      <c r="C65" s="40">
        <v>1.1333333333333333</v>
      </c>
      <c r="D65" s="76">
        <v>134</v>
      </c>
      <c r="E65" s="76">
        <v>340</v>
      </c>
      <c r="F65" s="76">
        <v>300</v>
      </c>
      <c r="G65" s="76">
        <v>12</v>
      </c>
      <c r="H65" s="76">
        <v>21.5</v>
      </c>
      <c r="I65" s="76">
        <v>17090</v>
      </c>
      <c r="J65" s="77">
        <v>366600000</v>
      </c>
      <c r="K65" s="77">
        <v>2156000</v>
      </c>
      <c r="L65" s="77">
        <v>2408000</v>
      </c>
      <c r="M65" s="78">
        <v>146.5</v>
      </c>
      <c r="N65" s="80">
        <v>5609</v>
      </c>
      <c r="O65" s="80">
        <v>96900000</v>
      </c>
      <c r="P65" s="80">
        <v>646000</v>
      </c>
      <c r="Q65" s="80">
        <v>985700</v>
      </c>
      <c r="R65" s="78">
        <v>75.3</v>
      </c>
      <c r="S65" s="79">
        <v>86.63</v>
      </c>
      <c r="T65" s="80">
        <v>2630000</v>
      </c>
      <c r="U65" s="242">
        <v>2457438506250</v>
      </c>
      <c r="V65" s="81">
        <v>13526</v>
      </c>
      <c r="W65" s="74">
        <v>27</v>
      </c>
      <c r="X65" s="31" t="str">
        <f>IF(C65&lt;=1.2,IF(H65&lt;=100,IF(Calcul!$AG$2=460,"a","b"),IF(Calcul!$AG$2=460,"c","d")),IF(H65&lt;=40,IF(Calcul!$AG$2=460,"a0","a"),IF(Calcul!$AG$2=460,"a","b")))</f>
        <v>b</v>
      </c>
      <c r="Y65" s="31" t="str">
        <f>IF(C65&lt;=1.2,IF(H65&lt;=100,IF(Calcul!$AG$2=460,"a","c"),IF(Calcul!$AG$2=460,"c","d")),IF(H65&lt;=40,IF(Calcul!$AG$2=460,"a0","b"),IF(Calcul!$AG$2=460,"a","c")))</f>
        <v>c</v>
      </c>
      <c r="Z65" s="156">
        <f t="shared" si="0"/>
        <v>1204053.4790964632</v>
      </c>
      <c r="AA65" s="31">
        <f t="shared" si="1"/>
        <v>230168.25</v>
      </c>
    </row>
    <row r="66" spans="1:27" ht="13">
      <c r="A66" s="9">
        <v>64</v>
      </c>
      <c r="B66" s="35" t="s">
        <v>845</v>
      </c>
      <c r="C66" s="40">
        <v>1.2200647249190939</v>
      </c>
      <c r="D66" s="76">
        <v>248</v>
      </c>
      <c r="E66" s="76">
        <v>377</v>
      </c>
      <c r="F66" s="76">
        <v>309</v>
      </c>
      <c r="G66" s="76">
        <v>21</v>
      </c>
      <c r="H66" s="76">
        <v>40</v>
      </c>
      <c r="I66" s="76">
        <v>31580</v>
      </c>
      <c r="J66" s="77">
        <v>763700000</v>
      </c>
      <c r="K66" s="77">
        <v>4052000</v>
      </c>
      <c r="L66" s="77">
        <v>4718000</v>
      </c>
      <c r="M66" s="78">
        <v>155.5</v>
      </c>
      <c r="N66" s="80">
        <v>9860</v>
      </c>
      <c r="O66" s="80">
        <v>197100000</v>
      </c>
      <c r="P66" s="80">
        <v>1276000</v>
      </c>
      <c r="Q66" s="80">
        <v>1953000</v>
      </c>
      <c r="R66" s="78">
        <v>79</v>
      </c>
      <c r="S66" s="79">
        <v>132.6</v>
      </c>
      <c r="T66" s="80">
        <v>15100000</v>
      </c>
      <c r="U66" s="242">
        <v>5596112475000</v>
      </c>
      <c r="V66" s="81">
        <v>25343</v>
      </c>
      <c r="W66" s="74">
        <v>27</v>
      </c>
      <c r="X66" s="31" t="str">
        <f>IF(C66&lt;=1.2,IF(H66&lt;=100,IF(Calcul!$AG$2=460,"a","b"),IF(Calcul!$AG$2=460,"c","d")),IF(H66&lt;=40,IF(Calcul!$AG$2=460,"a0","a"),IF(Calcul!$AG$2=460,"a","b")))</f>
        <v>a</v>
      </c>
      <c r="Y66" s="31" t="str">
        <f>IF(C66&lt;=1.2,IF(H66&lt;=100,IF(Calcul!$AG$2=460,"a","c"),IF(Calcul!$AG$2=460,"c","d")),IF(H66&lt;=40,IF(Calcul!$AG$2=460,"a0","b"),IF(Calcul!$AG$2=460,"a","c")))</f>
        <v>b</v>
      </c>
      <c r="Z66" s="156">
        <f t="shared" si="0"/>
        <v>2358786.1040964634</v>
      </c>
      <c r="AA66" s="31">
        <f t="shared" si="1"/>
        <v>449280</v>
      </c>
    </row>
    <row r="67" spans="1:27" ht="13">
      <c r="A67" s="9">
        <v>65</v>
      </c>
      <c r="B67" s="35" t="s">
        <v>846</v>
      </c>
      <c r="C67" s="40">
        <v>1.1299999999999999</v>
      </c>
      <c r="D67" s="76">
        <v>83.7</v>
      </c>
      <c r="E67" s="76">
        <v>339</v>
      </c>
      <c r="F67" s="76">
        <v>300</v>
      </c>
      <c r="G67" s="76">
        <v>9</v>
      </c>
      <c r="H67" s="76">
        <v>12</v>
      </c>
      <c r="I67" s="76">
        <v>10660</v>
      </c>
      <c r="J67" s="77">
        <v>230400000</v>
      </c>
      <c r="K67" s="77">
        <v>1359000</v>
      </c>
      <c r="L67" s="77">
        <v>1495000</v>
      </c>
      <c r="M67" s="78">
        <v>147</v>
      </c>
      <c r="N67" s="80">
        <v>4216</v>
      </c>
      <c r="O67" s="80">
        <v>54100000</v>
      </c>
      <c r="P67" s="80">
        <v>360700</v>
      </c>
      <c r="Q67" s="80">
        <v>553000</v>
      </c>
      <c r="R67" s="78">
        <v>71.2</v>
      </c>
      <c r="S67" s="79">
        <v>64.63</v>
      </c>
      <c r="T67" s="80">
        <v>671000</v>
      </c>
      <c r="U67" s="242">
        <v>1446214725000</v>
      </c>
      <c r="V67" s="81">
        <v>7825</v>
      </c>
      <c r="W67" s="74">
        <v>27</v>
      </c>
      <c r="X67" s="31" t="str">
        <f>IF(C67&lt;=1.2,IF(H67&lt;=100,IF(Calcul!$AG$2=460,"a","b"),IF(Calcul!$AG$2=460,"c","d")),IF(H67&lt;=40,IF(Calcul!$AG$2=460,"a0","a"),IF(Calcul!$AG$2=460,"a","b")))</f>
        <v>b</v>
      </c>
      <c r="Y67" s="31" t="str">
        <f>IF(C67&lt;=1.2,IF(H67&lt;=100,IF(Calcul!$AG$2=460,"a","c"),IF(Calcul!$AG$2=460,"c","d")),IF(H67&lt;=40,IF(Calcul!$AG$2=460,"a0","b"),IF(Calcul!$AG$2=460,"a","c")))</f>
        <v>c</v>
      </c>
      <c r="Z67" s="156">
        <f t="shared" ref="Z67:Z130" si="2">G67*(0.5*E67-H67)^2/2+(2-PI()/2)*W67^2*((0.5*E67-H67-W67)+(((1-PI()/2*0.4244)*W67)/(2-PI()/2)))+(H67*F67)*(0.5*E67-0.5*H67)</f>
        <v>747621.60939636198</v>
      </c>
      <c r="AA67" s="31">
        <f t="shared" ref="AA67:AA130" si="3">(0.5*(0.5*F67-W67-0.5*G67)+W67+0.5*G67)*H67*(0.5*F67-W67-0.5*G67)</f>
        <v>129046.5</v>
      </c>
    </row>
    <row r="68" spans="1:27" ht="13">
      <c r="A68" s="9">
        <v>66</v>
      </c>
      <c r="B68" s="35" t="s">
        <v>847</v>
      </c>
      <c r="C68" s="40">
        <v>1.1666666666666667</v>
      </c>
      <c r="D68" s="76">
        <v>112</v>
      </c>
      <c r="E68" s="76">
        <v>350</v>
      </c>
      <c r="F68" s="76">
        <v>300</v>
      </c>
      <c r="G68" s="76">
        <v>10</v>
      </c>
      <c r="H68" s="76">
        <v>17.5</v>
      </c>
      <c r="I68" s="76">
        <v>14280</v>
      </c>
      <c r="J68" s="77">
        <v>330900000</v>
      </c>
      <c r="K68" s="77">
        <v>1891000</v>
      </c>
      <c r="L68" s="77">
        <v>2088000</v>
      </c>
      <c r="M68" s="78">
        <v>152.19999999999999</v>
      </c>
      <c r="N68" s="80">
        <v>4900</v>
      </c>
      <c r="O68" s="80">
        <v>78870000</v>
      </c>
      <c r="P68" s="80">
        <v>525800</v>
      </c>
      <c r="Q68" s="80">
        <v>802300</v>
      </c>
      <c r="R68" s="78">
        <v>74.3</v>
      </c>
      <c r="S68" s="79">
        <v>76.63</v>
      </c>
      <c r="T68" s="80">
        <v>1530000</v>
      </c>
      <c r="U68" s="242">
        <v>2179892859375</v>
      </c>
      <c r="V68" s="81">
        <v>11130</v>
      </c>
      <c r="W68" s="74">
        <v>27</v>
      </c>
      <c r="X68" s="31" t="str">
        <f>IF(C68&lt;=1.2,IF(H68&lt;=100,IF(Calcul!$AG$2=460,"a","b"),IF(Calcul!$AG$2=460,"c","d")),IF(H68&lt;=40,IF(Calcul!$AG$2=460,"a0","a"),IF(Calcul!$AG$2=460,"a","b")))</f>
        <v>b</v>
      </c>
      <c r="Y68" s="31" t="str">
        <f>IF(C68&lt;=1.2,IF(H68&lt;=100,IF(Calcul!$AG$2=460,"a","c"),IF(Calcul!$AG$2=460,"c","d")),IF(H68&lt;=40,IF(Calcul!$AG$2=460,"a0","b"),IF(Calcul!$AG$2=460,"a","c")))</f>
        <v>c</v>
      </c>
      <c r="Z68" s="156">
        <f t="shared" si="2"/>
        <v>1044237.234396362</v>
      </c>
      <c r="AA68" s="31">
        <f t="shared" si="3"/>
        <v>187915</v>
      </c>
    </row>
    <row r="69" spans="1:27" ht="13">
      <c r="A69" s="9">
        <v>67</v>
      </c>
      <c r="B69" s="35" t="s">
        <v>848</v>
      </c>
      <c r="C69" s="40">
        <v>1.2</v>
      </c>
      <c r="D69" s="76">
        <v>142</v>
      </c>
      <c r="E69" s="76">
        <v>360</v>
      </c>
      <c r="F69" s="76">
        <v>300</v>
      </c>
      <c r="G69" s="76">
        <v>12.5</v>
      </c>
      <c r="H69" s="76">
        <v>22.5</v>
      </c>
      <c r="I69" s="76">
        <v>18060</v>
      </c>
      <c r="J69" s="77">
        <v>431900000</v>
      </c>
      <c r="K69" s="77">
        <v>2400000</v>
      </c>
      <c r="L69" s="77">
        <v>2683000</v>
      </c>
      <c r="M69" s="78">
        <v>154.6</v>
      </c>
      <c r="N69" s="80">
        <v>6056.25</v>
      </c>
      <c r="O69" s="80">
        <v>101400000</v>
      </c>
      <c r="P69" s="80">
        <v>676100</v>
      </c>
      <c r="Q69" s="80">
        <v>1032000</v>
      </c>
      <c r="R69" s="78">
        <v>74.900000000000006</v>
      </c>
      <c r="S69" s="79">
        <v>89.13</v>
      </c>
      <c r="T69" s="80">
        <v>2980000</v>
      </c>
      <c r="U69" s="242">
        <v>2887523437500</v>
      </c>
      <c r="V69" s="81">
        <v>14122.5</v>
      </c>
      <c r="W69" s="74">
        <v>27</v>
      </c>
      <c r="X69" s="31" t="str">
        <f>IF(C69&lt;=1.2,IF(H69&lt;=100,IF(Calcul!$AG$2=460,"a","b"),IF(Calcul!$AG$2=460,"c","d")),IF(H69&lt;=40,IF(Calcul!$AG$2=460,"a0","a"),IF(Calcul!$AG$2=460,"a","b")))</f>
        <v>b</v>
      </c>
      <c r="Y69" s="31" t="str">
        <f>IF(C69&lt;=1.2,IF(H69&lt;=100,IF(Calcul!$AG$2=460,"a","c"),IF(Calcul!$AG$2=460,"c","d")),IF(H69&lt;=40,IF(Calcul!$AG$2=460,"a0","b"),IF(Calcul!$AG$2=460,"a","c")))</f>
        <v>c</v>
      </c>
      <c r="Z69" s="156">
        <f t="shared" si="2"/>
        <v>1341495.046896362</v>
      </c>
      <c r="AA69" s="31">
        <f t="shared" si="3"/>
        <v>240687.421875</v>
      </c>
    </row>
    <row r="70" spans="1:27" ht="13">
      <c r="A70" s="9">
        <v>68</v>
      </c>
      <c r="B70" s="35" t="s">
        <v>849</v>
      </c>
      <c r="C70" s="40">
        <v>1.2824675324675325</v>
      </c>
      <c r="D70" s="76">
        <v>250</v>
      </c>
      <c r="E70" s="76">
        <v>395</v>
      </c>
      <c r="F70" s="76">
        <v>308</v>
      </c>
      <c r="G70" s="76">
        <v>21</v>
      </c>
      <c r="H70" s="76">
        <v>40</v>
      </c>
      <c r="I70" s="76">
        <v>31880</v>
      </c>
      <c r="J70" s="77">
        <v>848700000</v>
      </c>
      <c r="K70" s="77">
        <v>4297000</v>
      </c>
      <c r="L70" s="77">
        <v>4989000</v>
      </c>
      <c r="M70" s="78">
        <v>163.19999999999999</v>
      </c>
      <c r="N70" s="80">
        <v>10240</v>
      </c>
      <c r="O70" s="80">
        <v>195200000</v>
      </c>
      <c r="P70" s="80">
        <v>1268000</v>
      </c>
      <c r="Q70" s="80">
        <v>1942000</v>
      </c>
      <c r="R70" s="78">
        <v>78.3</v>
      </c>
      <c r="S70" s="79">
        <v>132.6</v>
      </c>
      <c r="T70" s="80">
        <v>15100000</v>
      </c>
      <c r="U70" s="242">
        <v>6150020000000</v>
      </c>
      <c r="V70" s="81">
        <v>25265</v>
      </c>
      <c r="W70" s="74">
        <v>27</v>
      </c>
      <c r="X70" s="31" t="str">
        <f>IF(C70&lt;=1.2,IF(H70&lt;=100,IF(Calcul!$AG$2=460,"a","b"),IF(Calcul!$AG$2=460,"c","d")),IF(H70&lt;=40,IF(Calcul!$AG$2=460,"a0","a"),IF(Calcul!$AG$2=460,"a","b")))</f>
        <v>a</v>
      </c>
      <c r="Y70" s="31" t="str">
        <f>IF(C70&lt;=1.2,IF(H70&lt;=100,IF(Calcul!$AG$2=460,"a","c"),IF(Calcul!$AG$2=460,"c","d")),IF(H70&lt;=40,IF(Calcul!$AG$2=460,"a0","b"),IF(Calcul!$AG$2=460,"a","c")))</f>
        <v>b</v>
      </c>
      <c r="Z70" s="156">
        <f t="shared" si="2"/>
        <v>2494659.1093963617</v>
      </c>
      <c r="AA70" s="31">
        <f t="shared" si="3"/>
        <v>446195</v>
      </c>
    </row>
    <row r="71" spans="1:27" ht="13">
      <c r="A71" s="9">
        <v>69</v>
      </c>
      <c r="B71" s="35" t="s">
        <v>850</v>
      </c>
      <c r="C71" s="40">
        <v>1.26</v>
      </c>
      <c r="D71" s="76">
        <v>92.4</v>
      </c>
      <c r="E71" s="76">
        <v>378</v>
      </c>
      <c r="F71" s="76">
        <v>300</v>
      </c>
      <c r="G71" s="76">
        <v>9.5</v>
      </c>
      <c r="H71" s="76">
        <v>13</v>
      </c>
      <c r="I71" s="76">
        <v>11770</v>
      </c>
      <c r="J71" s="77">
        <v>312500000</v>
      </c>
      <c r="K71" s="77">
        <v>1654000</v>
      </c>
      <c r="L71" s="77">
        <v>1824000</v>
      </c>
      <c r="M71" s="78">
        <v>163</v>
      </c>
      <c r="N71" s="80">
        <v>4795.5</v>
      </c>
      <c r="O71" s="80">
        <v>58610000</v>
      </c>
      <c r="P71" s="80">
        <v>390800</v>
      </c>
      <c r="Q71" s="80">
        <v>599700</v>
      </c>
      <c r="R71" s="78">
        <v>70.599999999999994</v>
      </c>
      <c r="S71" s="79">
        <v>67.13</v>
      </c>
      <c r="T71" s="80">
        <v>813000</v>
      </c>
      <c r="U71" s="242">
        <v>1952079312500</v>
      </c>
      <c r="V71" s="81">
        <v>8426</v>
      </c>
      <c r="W71" s="74">
        <v>27</v>
      </c>
      <c r="X71" s="31" t="str">
        <f>IF(C71&lt;=1.2,IF(H71&lt;=100,IF(Calcul!$AG$2=460,"a","b"),IF(Calcul!$AG$2=460,"c","d")),IF(H71&lt;=40,IF(Calcul!$AG$2=460,"a0","a"),IF(Calcul!$AG$2=460,"a","b")))</f>
        <v>a</v>
      </c>
      <c r="Y71" s="31" t="str">
        <f>IF(C71&lt;=1.2,IF(H71&lt;=100,IF(Calcul!$AG$2=460,"a","c"),IF(Calcul!$AG$2=460,"c","d")),IF(H71&lt;=40,IF(Calcul!$AG$2=460,"a0","b"),IF(Calcul!$AG$2=460,"a","c")))</f>
        <v>b</v>
      </c>
      <c r="Z71" s="156">
        <f t="shared" si="2"/>
        <v>912067.93973504251</v>
      </c>
      <c r="AA71" s="31">
        <f t="shared" si="3"/>
        <v>139697.59375</v>
      </c>
    </row>
    <row r="72" spans="1:27" ht="13">
      <c r="A72" s="9">
        <v>70</v>
      </c>
      <c r="B72" s="35" t="s">
        <v>851</v>
      </c>
      <c r="C72" s="40">
        <v>1.3</v>
      </c>
      <c r="D72" s="76">
        <v>125</v>
      </c>
      <c r="E72" s="76">
        <v>390</v>
      </c>
      <c r="F72" s="76">
        <v>300</v>
      </c>
      <c r="G72" s="76">
        <v>11</v>
      </c>
      <c r="H72" s="76">
        <v>19</v>
      </c>
      <c r="I72" s="76">
        <v>15900</v>
      </c>
      <c r="J72" s="77">
        <v>450700000</v>
      </c>
      <c r="K72" s="77">
        <v>2311000</v>
      </c>
      <c r="L72" s="77">
        <v>2562000</v>
      </c>
      <c r="M72" s="78">
        <v>168.4</v>
      </c>
      <c r="N72" s="80">
        <v>5735</v>
      </c>
      <c r="O72" s="80">
        <v>85640000</v>
      </c>
      <c r="P72" s="80">
        <v>570900</v>
      </c>
      <c r="Q72" s="80">
        <v>872900</v>
      </c>
      <c r="R72" s="78">
        <v>73.400000000000006</v>
      </c>
      <c r="S72" s="79">
        <v>80.63</v>
      </c>
      <c r="T72" s="80">
        <v>1930000</v>
      </c>
      <c r="U72" s="242">
        <v>2946893810000</v>
      </c>
      <c r="V72" s="81">
        <v>12028</v>
      </c>
      <c r="W72" s="74">
        <v>27</v>
      </c>
      <c r="X72" s="31" t="str">
        <f>IF(C72&lt;=1.2,IF(H72&lt;=100,IF(Calcul!$AG$2=460,"a","b"),IF(Calcul!$AG$2=460,"c","d")),IF(H72&lt;=40,IF(Calcul!$AG$2=460,"a0","a"),IF(Calcul!$AG$2=460,"a","b")))</f>
        <v>a</v>
      </c>
      <c r="Y72" s="31" t="str">
        <f>IF(C72&lt;=1.2,IF(H72&lt;=100,IF(Calcul!$AG$2=460,"a","c"),IF(Calcul!$AG$2=460,"c","d")),IF(H72&lt;=40,IF(Calcul!$AG$2=460,"a0","b"),IF(Calcul!$AG$2=460,"a","c")))</f>
        <v>b</v>
      </c>
      <c r="Z72" s="156">
        <f t="shared" si="2"/>
        <v>1280899.9397350426</v>
      </c>
      <c r="AA72" s="31">
        <f t="shared" si="3"/>
        <v>203715.625</v>
      </c>
    </row>
    <row r="73" spans="1:27" ht="13">
      <c r="A73" s="9">
        <v>71</v>
      </c>
      <c r="B73" s="35" t="s">
        <v>852</v>
      </c>
      <c r="C73" s="40">
        <v>1.3333333333333333</v>
      </c>
      <c r="D73" s="76">
        <v>155</v>
      </c>
      <c r="E73" s="76">
        <v>400</v>
      </c>
      <c r="F73" s="76">
        <v>300</v>
      </c>
      <c r="G73" s="76">
        <v>13.5</v>
      </c>
      <c r="H73" s="76">
        <v>24</v>
      </c>
      <c r="I73" s="76">
        <v>19780</v>
      </c>
      <c r="J73" s="77">
        <v>576800000</v>
      </c>
      <c r="K73" s="77">
        <v>2884000</v>
      </c>
      <c r="L73" s="77">
        <v>3232000</v>
      </c>
      <c r="M73" s="78">
        <v>170.8</v>
      </c>
      <c r="N73" s="80">
        <v>7000</v>
      </c>
      <c r="O73" s="80">
        <v>108200000</v>
      </c>
      <c r="P73" s="80">
        <v>721300</v>
      </c>
      <c r="Q73" s="80">
        <v>1104000</v>
      </c>
      <c r="R73" s="78">
        <v>74</v>
      </c>
      <c r="S73" s="79">
        <v>93.13</v>
      </c>
      <c r="T73" s="80">
        <v>3610000</v>
      </c>
      <c r="U73" s="242">
        <v>3824220800000</v>
      </c>
      <c r="V73" s="81">
        <v>15028</v>
      </c>
      <c r="W73" s="74">
        <v>27</v>
      </c>
      <c r="X73" s="31" t="str">
        <f>IF(C73&lt;=1.2,IF(H73&lt;=100,IF(Calcul!$AG$2=460,"a","b"),IF(Calcul!$AG$2=460,"c","d")),IF(H73&lt;=40,IF(Calcul!$AG$2=460,"a0","a"),IF(Calcul!$AG$2=460,"a","b")))</f>
        <v>a</v>
      </c>
      <c r="Y73" s="31" t="str">
        <f>IF(C73&lt;=1.2,IF(H73&lt;=100,IF(Calcul!$AG$2=460,"a","c"),IF(Calcul!$AG$2=460,"c","d")),IF(H73&lt;=40,IF(Calcul!$AG$2=460,"a0","b"),IF(Calcul!$AG$2=460,"a","c")))</f>
        <v>b</v>
      </c>
      <c r="Z73" s="156">
        <f t="shared" si="2"/>
        <v>1615869.9397350426</v>
      </c>
      <c r="AA73" s="31">
        <f t="shared" si="3"/>
        <v>256331.25</v>
      </c>
    </row>
    <row r="74" spans="1:27" ht="13">
      <c r="A74" s="9">
        <v>72</v>
      </c>
      <c r="B74" s="35" t="s">
        <v>853</v>
      </c>
      <c r="C74" s="40">
        <v>1.4071661237785016</v>
      </c>
      <c r="D74" s="76">
        <v>256</v>
      </c>
      <c r="E74" s="76">
        <v>432</v>
      </c>
      <c r="F74" s="76">
        <v>307</v>
      </c>
      <c r="G74" s="76">
        <v>21</v>
      </c>
      <c r="H74" s="76">
        <v>40</v>
      </c>
      <c r="I74" s="76">
        <v>32580</v>
      </c>
      <c r="J74" s="77">
        <v>1041000000</v>
      </c>
      <c r="K74" s="77">
        <v>4820000</v>
      </c>
      <c r="L74" s="77">
        <v>5571000</v>
      </c>
      <c r="M74" s="78">
        <v>178.8</v>
      </c>
      <c r="N74" s="80">
        <v>11020</v>
      </c>
      <c r="O74" s="80">
        <v>193400000</v>
      </c>
      <c r="P74" s="80">
        <v>1260000</v>
      </c>
      <c r="Q74" s="80">
        <v>1934000</v>
      </c>
      <c r="R74" s="78">
        <v>77</v>
      </c>
      <c r="S74" s="79">
        <v>132.6</v>
      </c>
      <c r="T74" s="80">
        <v>15200000</v>
      </c>
      <c r="U74" s="242">
        <v>7429654400000</v>
      </c>
      <c r="V74" s="81">
        <v>25188</v>
      </c>
      <c r="W74" s="74">
        <v>27</v>
      </c>
      <c r="X74" s="31" t="str">
        <f>IF(C74&lt;=1.2,IF(H74&lt;=100,IF(Calcul!$AG$2=460,"a","b"),IF(Calcul!$AG$2=460,"c","d")),IF(H74&lt;=40,IF(Calcul!$AG$2=460,"a0","a"),IF(Calcul!$AG$2=460,"a","b")))</f>
        <v>a</v>
      </c>
      <c r="Y74" s="31" t="str">
        <f>IF(C74&lt;=1.2,IF(H74&lt;=100,IF(Calcul!$AG$2=460,"a","c"),IF(Calcul!$AG$2=460,"c","d")),IF(H74&lt;=40,IF(Calcul!$AG$2=460,"a0","b"),IF(Calcul!$AG$2=460,"a","c")))</f>
        <v>b</v>
      </c>
      <c r="Z74" s="156">
        <f t="shared" si="2"/>
        <v>2785309.9397350424</v>
      </c>
      <c r="AA74" s="31">
        <f t="shared" si="3"/>
        <v>443120</v>
      </c>
    </row>
    <row r="75" spans="1:27" ht="13">
      <c r="A75" s="9">
        <v>73</v>
      </c>
      <c r="B75" s="35" t="s">
        <v>854</v>
      </c>
      <c r="C75" s="40">
        <v>1.4166666666666667</v>
      </c>
      <c r="D75" s="76">
        <v>99.7</v>
      </c>
      <c r="E75" s="76">
        <v>425</v>
      </c>
      <c r="F75" s="76">
        <v>300</v>
      </c>
      <c r="G75" s="76">
        <v>10</v>
      </c>
      <c r="H75" s="76">
        <v>13.5</v>
      </c>
      <c r="I75" s="76">
        <v>12710</v>
      </c>
      <c r="J75" s="77">
        <v>418900000</v>
      </c>
      <c r="K75" s="77">
        <v>1971000</v>
      </c>
      <c r="L75" s="77">
        <v>2183000</v>
      </c>
      <c r="M75" s="78">
        <v>181.6</v>
      </c>
      <c r="N75" s="80">
        <v>5474</v>
      </c>
      <c r="O75" s="80">
        <v>60880000</v>
      </c>
      <c r="P75" s="80">
        <v>405800</v>
      </c>
      <c r="Q75" s="80">
        <v>624400</v>
      </c>
      <c r="R75" s="78">
        <v>69.2</v>
      </c>
      <c r="S75" s="79">
        <v>68.63</v>
      </c>
      <c r="T75" s="80">
        <v>914000</v>
      </c>
      <c r="U75" s="242">
        <v>2577236845000</v>
      </c>
      <c r="V75" s="81">
        <v>8730</v>
      </c>
      <c r="W75" s="74">
        <v>27</v>
      </c>
      <c r="X75" s="31" t="str">
        <f>IF(C75&lt;=1.2,IF(H75&lt;=100,IF(Calcul!$AG$2=460,"a","b"),IF(Calcul!$AG$2=460,"c","d")),IF(H75&lt;=40,IF(Calcul!$AG$2=460,"a0","a"),IF(Calcul!$AG$2=460,"a","b")))</f>
        <v>a</v>
      </c>
      <c r="Y75" s="31" t="str">
        <f>IF(C75&lt;=1.2,IF(H75&lt;=100,IF(Calcul!$AG$2=460,"a","c"),IF(Calcul!$AG$2=460,"c","d")),IF(H75&lt;=40,IF(Calcul!$AG$2=460,"a0","b"),IF(Calcul!$AG$2=460,"a","c")))</f>
        <v>b</v>
      </c>
      <c r="Z75" s="156">
        <f t="shared" si="2"/>
        <v>1091670.8977236724</v>
      </c>
      <c r="AA75" s="31">
        <f t="shared" si="3"/>
        <v>144963</v>
      </c>
    </row>
    <row r="76" spans="1:27" ht="13">
      <c r="A76" s="9">
        <v>74</v>
      </c>
      <c r="B76" s="35" t="s">
        <v>855</v>
      </c>
      <c r="C76" s="40">
        <v>1.4666666666666666</v>
      </c>
      <c r="D76" s="76">
        <v>140</v>
      </c>
      <c r="E76" s="76">
        <v>440</v>
      </c>
      <c r="F76" s="76">
        <v>300</v>
      </c>
      <c r="G76" s="76">
        <v>11.5</v>
      </c>
      <c r="H76" s="76">
        <v>21</v>
      </c>
      <c r="I76" s="76">
        <v>17800</v>
      </c>
      <c r="J76" s="77">
        <v>637200000</v>
      </c>
      <c r="K76" s="77">
        <v>2896000</v>
      </c>
      <c r="L76" s="77">
        <v>3216000</v>
      </c>
      <c r="M76" s="78">
        <v>189.2</v>
      </c>
      <c r="N76" s="80">
        <v>6575.5</v>
      </c>
      <c r="O76" s="80">
        <v>94650000</v>
      </c>
      <c r="P76" s="80">
        <v>631000</v>
      </c>
      <c r="Q76" s="80">
        <v>965500</v>
      </c>
      <c r="R76" s="78">
        <v>72.900000000000006</v>
      </c>
      <c r="S76" s="79">
        <v>85.13</v>
      </c>
      <c r="T76" s="80">
        <v>2500000</v>
      </c>
      <c r="U76" s="242">
        <v>4154212162500</v>
      </c>
      <c r="V76" s="81">
        <v>13223</v>
      </c>
      <c r="W76" s="74">
        <v>27</v>
      </c>
      <c r="X76" s="31" t="str">
        <f>IF(C76&lt;=1.2,IF(H76&lt;=100,IF(Calcul!$AG$2=460,"a","b"),IF(Calcul!$AG$2=460,"c","d")),IF(H76&lt;=40,IF(Calcul!$AG$2=460,"a0","a"),IF(Calcul!$AG$2=460,"a","b")))</f>
        <v>a</v>
      </c>
      <c r="Y76" s="31" t="str">
        <f>IF(C76&lt;=1.2,IF(H76&lt;=100,IF(Calcul!$AG$2=460,"a","c"),IF(Calcul!$AG$2=460,"c","d")),IF(H76&lt;=40,IF(Calcul!$AG$2=460,"a0","b"),IF(Calcul!$AG$2=460,"a","c")))</f>
        <v>b</v>
      </c>
      <c r="Z76" s="156">
        <f t="shared" si="2"/>
        <v>1607934.1477236724</v>
      </c>
      <c r="AA76" s="31">
        <f t="shared" si="3"/>
        <v>224988.09375</v>
      </c>
    </row>
    <row r="77" spans="1:27" ht="13">
      <c r="A77" s="9">
        <v>75</v>
      </c>
      <c r="B77" s="35" t="s">
        <v>856</v>
      </c>
      <c r="C77" s="40">
        <v>1.5</v>
      </c>
      <c r="D77" s="76">
        <v>171</v>
      </c>
      <c r="E77" s="76">
        <v>450</v>
      </c>
      <c r="F77" s="76">
        <v>300</v>
      </c>
      <c r="G77" s="76">
        <v>14</v>
      </c>
      <c r="H77" s="76">
        <v>26</v>
      </c>
      <c r="I77" s="76">
        <v>21800</v>
      </c>
      <c r="J77" s="77">
        <v>798900000</v>
      </c>
      <c r="K77" s="77">
        <v>3551000</v>
      </c>
      <c r="L77" s="77">
        <v>3982000</v>
      </c>
      <c r="M77" s="78">
        <v>191.4</v>
      </c>
      <c r="N77" s="80">
        <v>7968</v>
      </c>
      <c r="O77" s="80">
        <v>117200000</v>
      </c>
      <c r="P77" s="80">
        <v>781400</v>
      </c>
      <c r="Q77" s="80">
        <v>1198000</v>
      </c>
      <c r="R77" s="78">
        <v>73.3</v>
      </c>
      <c r="S77" s="79">
        <v>97.63</v>
      </c>
      <c r="T77" s="80">
        <v>4480000</v>
      </c>
      <c r="U77" s="242">
        <v>5267436800000</v>
      </c>
      <c r="V77" s="81">
        <v>16228</v>
      </c>
      <c r="W77" s="74">
        <v>27</v>
      </c>
      <c r="X77" s="31" t="str">
        <f>IF(C77&lt;=1.2,IF(H77&lt;=100,IF(Calcul!$AG$2=460,"a","b"),IF(Calcul!$AG$2=460,"c","d")),IF(H77&lt;=40,IF(Calcul!$AG$2=460,"a0","a"),IF(Calcul!$AG$2=460,"a","b")))</f>
        <v>a</v>
      </c>
      <c r="Y77" s="31" t="str">
        <f>IF(C77&lt;=1.2,IF(H77&lt;=100,IF(Calcul!$AG$2=460,"a","c"),IF(Calcul!$AG$2=460,"c","d")),IF(H77&lt;=40,IF(Calcul!$AG$2=460,"a0","b"),IF(Calcul!$AG$2=460,"a","c")))</f>
        <v>b</v>
      </c>
      <c r="Z77" s="156">
        <f t="shared" si="2"/>
        <v>1991185.3977236724</v>
      </c>
      <c r="AA77" s="31">
        <f t="shared" si="3"/>
        <v>277472</v>
      </c>
    </row>
    <row r="78" spans="1:27" ht="13">
      <c r="A78" s="9">
        <v>76</v>
      </c>
      <c r="B78" s="35" t="s">
        <v>857</v>
      </c>
      <c r="C78" s="40">
        <v>1.5570032573289903</v>
      </c>
      <c r="D78" s="76">
        <v>263</v>
      </c>
      <c r="E78" s="76">
        <v>478</v>
      </c>
      <c r="F78" s="76">
        <v>307</v>
      </c>
      <c r="G78" s="76">
        <v>21</v>
      </c>
      <c r="H78" s="76">
        <v>40</v>
      </c>
      <c r="I78" s="76">
        <v>33540</v>
      </c>
      <c r="J78" s="77">
        <v>1315000000</v>
      </c>
      <c r="K78" s="77">
        <v>5501000</v>
      </c>
      <c r="L78" s="77">
        <v>6331000</v>
      </c>
      <c r="M78" s="78">
        <v>198</v>
      </c>
      <c r="N78" s="80">
        <v>11980</v>
      </c>
      <c r="O78" s="80">
        <v>193400000</v>
      </c>
      <c r="P78" s="80">
        <v>1260000</v>
      </c>
      <c r="Q78" s="80">
        <v>1939000</v>
      </c>
      <c r="R78" s="78">
        <v>75.900000000000006</v>
      </c>
      <c r="S78" s="79">
        <v>132.6</v>
      </c>
      <c r="T78" s="80">
        <v>15300000</v>
      </c>
      <c r="U78" s="242">
        <v>9275657400000</v>
      </c>
      <c r="V78" s="81">
        <v>25182</v>
      </c>
      <c r="W78" s="74">
        <v>27</v>
      </c>
      <c r="X78" s="31" t="str">
        <f>IF(C78&lt;=1.2,IF(H78&lt;=100,IF(Calcul!$AG$2=460,"a","b"),IF(Calcul!$AG$2=460,"c","d")),IF(H78&lt;=40,IF(Calcul!$AG$2=460,"a0","a"),IF(Calcul!$AG$2=460,"a","b")))</f>
        <v>a</v>
      </c>
      <c r="Y78" s="31" t="str">
        <f>IF(C78&lt;=1.2,IF(H78&lt;=100,IF(Calcul!$AG$2=460,"a","c"),IF(Calcul!$AG$2=460,"c","d")),IF(H78&lt;=40,IF(Calcul!$AG$2=460,"a0","b"),IF(Calcul!$AG$2=460,"a","c")))</f>
        <v>b</v>
      </c>
      <c r="Z78" s="156">
        <f t="shared" si="2"/>
        <v>3165508.8977236724</v>
      </c>
      <c r="AA78" s="31">
        <f t="shared" si="3"/>
        <v>443120</v>
      </c>
    </row>
    <row r="79" spans="1:27" ht="13">
      <c r="A79" s="9">
        <v>77</v>
      </c>
      <c r="B79" s="35" t="s">
        <v>858</v>
      </c>
      <c r="C79" s="40">
        <v>1.5733333333333333</v>
      </c>
      <c r="D79" s="76">
        <v>107</v>
      </c>
      <c r="E79" s="76">
        <v>472</v>
      </c>
      <c r="F79" s="76">
        <v>300</v>
      </c>
      <c r="G79" s="76">
        <v>10.5</v>
      </c>
      <c r="H79" s="76">
        <v>14</v>
      </c>
      <c r="I79" s="76">
        <v>13690</v>
      </c>
      <c r="J79" s="77">
        <v>546400000</v>
      </c>
      <c r="K79" s="77">
        <v>2315000</v>
      </c>
      <c r="L79" s="77">
        <v>2576000</v>
      </c>
      <c r="M79" s="78">
        <v>199.8</v>
      </c>
      <c r="N79" s="80">
        <v>6193</v>
      </c>
      <c r="O79" s="80">
        <v>63140000</v>
      </c>
      <c r="P79" s="80">
        <v>420900</v>
      </c>
      <c r="Q79" s="80">
        <v>649300</v>
      </c>
      <c r="R79" s="78">
        <v>67.900000000000006</v>
      </c>
      <c r="S79" s="79">
        <v>70.13</v>
      </c>
      <c r="T79" s="80">
        <v>1030000</v>
      </c>
      <c r="U79" s="242">
        <v>3311124739999.9995</v>
      </c>
      <c r="V79" s="81">
        <v>9028</v>
      </c>
      <c r="W79" s="74">
        <v>27</v>
      </c>
      <c r="X79" s="31" t="str">
        <f>IF(C79&lt;=1.2,IF(H79&lt;=100,IF(Calcul!$AG$2=460,"a","b"),IF(Calcul!$AG$2=460,"c","d")),IF(H79&lt;=40,IF(Calcul!$AG$2=460,"a0","a"),IF(Calcul!$AG$2=460,"a","b")))</f>
        <v>a</v>
      </c>
      <c r="Y79" s="31" t="str">
        <f>IF(C79&lt;=1.2,IF(H79&lt;=100,IF(Calcul!$AG$2=460,"a","c"),IF(Calcul!$AG$2=460,"c","d")),IF(H79&lt;=40,IF(Calcul!$AG$2=460,"a0","b"),IF(Calcul!$AG$2=460,"a","c")))</f>
        <v>b</v>
      </c>
      <c r="Z79" s="156">
        <f t="shared" si="2"/>
        <v>1288115.8557123025</v>
      </c>
      <c r="AA79" s="31">
        <f t="shared" si="3"/>
        <v>150219.5625</v>
      </c>
    </row>
    <row r="80" spans="1:27" ht="13">
      <c r="A80" s="9">
        <v>78</v>
      </c>
      <c r="B80" s="35" t="s">
        <v>859</v>
      </c>
      <c r="C80" s="40">
        <v>1.6333333333333333</v>
      </c>
      <c r="D80" s="76">
        <v>155</v>
      </c>
      <c r="E80" s="76">
        <v>490</v>
      </c>
      <c r="F80" s="76">
        <v>300</v>
      </c>
      <c r="G80" s="76">
        <v>12</v>
      </c>
      <c r="H80" s="76">
        <v>23</v>
      </c>
      <c r="I80" s="76">
        <v>19750</v>
      </c>
      <c r="J80" s="77">
        <v>869700000</v>
      </c>
      <c r="K80" s="77">
        <v>3550000</v>
      </c>
      <c r="L80" s="77">
        <v>3949000</v>
      </c>
      <c r="M80" s="78">
        <v>209.8</v>
      </c>
      <c r="N80" s="80">
        <v>7468</v>
      </c>
      <c r="O80" s="80">
        <v>103700000</v>
      </c>
      <c r="P80" s="80">
        <v>691100</v>
      </c>
      <c r="Q80" s="80">
        <v>1059000</v>
      </c>
      <c r="R80" s="78">
        <v>72.400000000000006</v>
      </c>
      <c r="S80" s="79">
        <v>89.63</v>
      </c>
      <c r="T80" s="80">
        <v>3180000</v>
      </c>
      <c r="U80" s="242">
        <v>5653957325000</v>
      </c>
      <c r="V80" s="81">
        <v>14422</v>
      </c>
      <c r="W80" s="74">
        <v>27</v>
      </c>
      <c r="X80" s="31" t="str">
        <f>IF(C80&lt;=1.2,IF(H80&lt;=100,IF(Calcul!$AG$2=460,"a","b"),IF(Calcul!$AG$2=460,"c","d")),IF(H80&lt;=40,IF(Calcul!$AG$2=460,"a0","a"),IF(Calcul!$AG$2=460,"a","b")))</f>
        <v>a</v>
      </c>
      <c r="Y80" s="31" t="str">
        <f>IF(C80&lt;=1.2,IF(H80&lt;=100,IF(Calcul!$AG$2=460,"a","c"),IF(Calcul!$AG$2=460,"c","d")),IF(H80&lt;=40,IF(Calcul!$AG$2=460,"a0","b"),IF(Calcul!$AG$2=460,"a","c")))</f>
        <v>b</v>
      </c>
      <c r="Z80" s="156">
        <f t="shared" si="2"/>
        <v>1974428.8557123025</v>
      </c>
      <c r="AA80" s="31">
        <f t="shared" si="3"/>
        <v>246226.5</v>
      </c>
    </row>
    <row r="81" spans="1:27" ht="13">
      <c r="A81" s="9">
        <v>79</v>
      </c>
      <c r="B81" s="35" t="s">
        <v>860</v>
      </c>
      <c r="C81" s="40">
        <v>1.6666666666666667</v>
      </c>
      <c r="D81" s="76">
        <v>187</v>
      </c>
      <c r="E81" s="76">
        <v>500</v>
      </c>
      <c r="F81" s="76">
        <v>300</v>
      </c>
      <c r="G81" s="76">
        <v>14.5</v>
      </c>
      <c r="H81" s="76">
        <v>28</v>
      </c>
      <c r="I81" s="76">
        <v>23860</v>
      </c>
      <c r="J81" s="77">
        <v>1072000000</v>
      </c>
      <c r="K81" s="77">
        <v>4287000</v>
      </c>
      <c r="L81" s="77">
        <v>4815000</v>
      </c>
      <c r="M81" s="78">
        <v>211.9</v>
      </c>
      <c r="N81" s="80">
        <v>8978</v>
      </c>
      <c r="O81" s="80">
        <v>126200000</v>
      </c>
      <c r="P81" s="80">
        <v>841600</v>
      </c>
      <c r="Q81" s="80">
        <v>1292000</v>
      </c>
      <c r="R81" s="78">
        <v>72.7</v>
      </c>
      <c r="S81" s="79">
        <v>102.1</v>
      </c>
      <c r="T81" s="80">
        <v>5480000</v>
      </c>
      <c r="U81" s="242">
        <v>7028835200000</v>
      </c>
      <c r="V81" s="81">
        <v>17422</v>
      </c>
      <c r="W81" s="74">
        <v>27</v>
      </c>
      <c r="X81" s="31" t="str">
        <f>IF(C81&lt;=1.2,IF(H81&lt;=100,IF(Calcul!$AG$2=460,"a","b"),IF(Calcul!$AG$2=460,"c","d")),IF(H81&lt;=40,IF(Calcul!$AG$2=460,"a0","a"),IF(Calcul!$AG$2=460,"a","b")))</f>
        <v>a</v>
      </c>
      <c r="Y81" s="31" t="str">
        <f>IF(C81&lt;=1.2,IF(H81&lt;=100,IF(Calcul!$AG$2=460,"a","c"),IF(Calcul!$AG$2=460,"c","d")),IF(H81&lt;=40,IF(Calcul!$AG$2=460,"a0","b"),IF(Calcul!$AG$2=460,"a","c")))</f>
        <v>b</v>
      </c>
      <c r="Z81" s="156">
        <f t="shared" si="2"/>
        <v>2407283.8557123025</v>
      </c>
      <c r="AA81" s="31">
        <f t="shared" si="3"/>
        <v>298577.125</v>
      </c>
    </row>
    <row r="82" spans="1:27" ht="13">
      <c r="A82" s="9">
        <v>80</v>
      </c>
      <c r="B82" s="35" t="s">
        <v>861</v>
      </c>
      <c r="C82" s="40">
        <v>1.7124183006535947</v>
      </c>
      <c r="D82" s="76">
        <v>270</v>
      </c>
      <c r="E82" s="76">
        <v>524</v>
      </c>
      <c r="F82" s="76">
        <v>306</v>
      </c>
      <c r="G82" s="76">
        <v>21</v>
      </c>
      <c r="H82" s="76">
        <v>40</v>
      </c>
      <c r="I82" s="76">
        <v>34430</v>
      </c>
      <c r="J82" s="77">
        <v>1619000000</v>
      </c>
      <c r="K82" s="77">
        <v>6180000</v>
      </c>
      <c r="L82" s="77">
        <v>7094000</v>
      </c>
      <c r="M82" s="78">
        <v>216.9</v>
      </c>
      <c r="N82" s="80">
        <v>12950</v>
      </c>
      <c r="O82" s="80">
        <v>191500000</v>
      </c>
      <c r="P82" s="80">
        <v>1252000</v>
      </c>
      <c r="Q82" s="80">
        <v>1932000</v>
      </c>
      <c r="R82" s="78">
        <v>74.599999999999994</v>
      </c>
      <c r="S82" s="79">
        <v>132.6</v>
      </c>
      <c r="T82" s="80">
        <v>15400000</v>
      </c>
      <c r="U82" s="242">
        <v>11215006000000</v>
      </c>
      <c r="V82" s="81">
        <v>25106</v>
      </c>
      <c r="W82" s="74">
        <v>27</v>
      </c>
      <c r="X82" s="31" t="str">
        <f>IF(C82&lt;=1.2,IF(H82&lt;=100,IF(Calcul!$AG$2=460,"a","b"),IF(Calcul!$AG$2=460,"c","d")),IF(H82&lt;=40,IF(Calcul!$AG$2=460,"a0","a"),IF(Calcul!$AG$2=460,"a","b")))</f>
        <v>a</v>
      </c>
      <c r="Y82" s="31" t="str">
        <f>IF(C82&lt;=1.2,IF(H82&lt;=100,IF(Calcul!$AG$2=460,"a","c"),IF(Calcul!$AG$2=460,"c","d")),IF(H82&lt;=40,IF(Calcul!$AG$2=460,"a0","b"),IF(Calcul!$AG$2=460,"a","c")))</f>
        <v>b</v>
      </c>
      <c r="Z82" s="156">
        <f t="shared" si="2"/>
        <v>3547136.8557123025</v>
      </c>
      <c r="AA82" s="31">
        <f t="shared" si="3"/>
        <v>440055</v>
      </c>
    </row>
    <row r="83" spans="1:27" ht="13">
      <c r="A83" s="9">
        <v>81</v>
      </c>
      <c r="B83" s="35" t="s">
        <v>862</v>
      </c>
      <c r="C83" s="40">
        <v>1.74</v>
      </c>
      <c r="D83" s="76">
        <v>120</v>
      </c>
      <c r="E83" s="76">
        <v>522</v>
      </c>
      <c r="F83" s="76">
        <v>300</v>
      </c>
      <c r="G83" s="76">
        <v>11.5</v>
      </c>
      <c r="H83" s="76">
        <v>15</v>
      </c>
      <c r="I83" s="76">
        <v>15280</v>
      </c>
      <c r="J83" s="77">
        <v>728700000</v>
      </c>
      <c r="K83" s="77">
        <v>2792000</v>
      </c>
      <c r="L83" s="77">
        <v>3128000</v>
      </c>
      <c r="M83" s="78">
        <v>218.4</v>
      </c>
      <c r="N83" s="80">
        <v>7262.5</v>
      </c>
      <c r="O83" s="80">
        <v>67670000</v>
      </c>
      <c r="P83" s="80">
        <v>451100</v>
      </c>
      <c r="Q83" s="80">
        <v>698600</v>
      </c>
      <c r="R83" s="78">
        <v>66.5</v>
      </c>
      <c r="S83" s="79">
        <v>73.13</v>
      </c>
      <c r="T83" s="80">
        <v>1270000</v>
      </c>
      <c r="U83" s="242">
        <v>4348626457500</v>
      </c>
      <c r="V83" s="81">
        <v>9622</v>
      </c>
      <c r="W83" s="74">
        <v>27</v>
      </c>
      <c r="X83" s="31" t="str">
        <f>IF(C83&lt;=1.2,IF(H83&lt;=100,IF(Calcul!$AG$2=460,"a","b"),IF(Calcul!$AG$2=460,"c","d")),IF(H83&lt;=40,IF(Calcul!$AG$2=460,"a0","a"),IF(Calcul!$AG$2=460,"a","b")))</f>
        <v>a</v>
      </c>
      <c r="Y83" s="31" t="str">
        <f>IF(C83&lt;=1.2,IF(H83&lt;=100,IF(Calcul!$AG$2=460,"a","c"),IF(Calcul!$AG$2=460,"c","d")),IF(H83&lt;=40,IF(Calcul!$AG$2=460,"a0","b"),IF(Calcul!$AG$2=460,"a","c")))</f>
        <v>b</v>
      </c>
      <c r="Z83" s="156">
        <f t="shared" si="2"/>
        <v>1563801.2031786991</v>
      </c>
      <c r="AA83" s="31">
        <f t="shared" si="3"/>
        <v>160705.78125</v>
      </c>
    </row>
    <row r="84" spans="1:27" ht="13">
      <c r="A84" s="9">
        <v>82</v>
      </c>
      <c r="B84" s="35" t="s">
        <v>863</v>
      </c>
      <c r="C84" s="40">
        <v>1.8</v>
      </c>
      <c r="D84" s="76">
        <v>166</v>
      </c>
      <c r="E84" s="76">
        <v>540</v>
      </c>
      <c r="F84" s="76">
        <v>300</v>
      </c>
      <c r="G84" s="76">
        <v>12.5</v>
      </c>
      <c r="H84" s="76">
        <v>24</v>
      </c>
      <c r="I84" s="76">
        <v>21180</v>
      </c>
      <c r="J84" s="77">
        <v>1119000000</v>
      </c>
      <c r="K84" s="77">
        <v>4146000</v>
      </c>
      <c r="L84" s="77">
        <v>4622000</v>
      </c>
      <c r="M84" s="78">
        <v>229.9</v>
      </c>
      <c r="N84" s="80">
        <v>8376</v>
      </c>
      <c r="O84" s="80">
        <v>108200000</v>
      </c>
      <c r="P84" s="80">
        <v>721300</v>
      </c>
      <c r="Q84" s="80">
        <v>1107000</v>
      </c>
      <c r="R84" s="78">
        <v>71.5</v>
      </c>
      <c r="S84" s="79">
        <v>92.13</v>
      </c>
      <c r="T84" s="80">
        <v>3600000</v>
      </c>
      <c r="U84" s="242">
        <v>7202224800000</v>
      </c>
      <c r="V84" s="81">
        <v>15030</v>
      </c>
      <c r="W84" s="74">
        <v>27</v>
      </c>
      <c r="X84" s="31" t="str">
        <f>IF(C84&lt;=1.2,IF(H84&lt;=100,IF(Calcul!$AG$2=460,"a","b"),IF(Calcul!$AG$2=460,"c","d")),IF(H84&lt;=40,IF(Calcul!$AG$2=460,"a0","a"),IF(Calcul!$AG$2=460,"a","b")))</f>
        <v>a</v>
      </c>
      <c r="Y84" s="31" t="str">
        <f>IF(C84&lt;=1.2,IF(H84&lt;=100,IF(Calcul!$AG$2=460,"a","c"),IF(Calcul!$AG$2=460,"c","d")),IF(H84&lt;=40,IF(Calcul!$AG$2=460,"a0","b"),IF(Calcul!$AG$2=460,"a","c")))</f>
        <v>b</v>
      </c>
      <c r="Z84" s="156">
        <f t="shared" si="2"/>
        <v>2310909.2031786991</v>
      </c>
      <c r="AA84" s="31">
        <f t="shared" si="3"/>
        <v>256733.25</v>
      </c>
    </row>
    <row r="85" spans="1:27" ht="13">
      <c r="A85" s="9">
        <v>83</v>
      </c>
      <c r="B85" s="35" t="s">
        <v>864</v>
      </c>
      <c r="C85" s="40">
        <v>1.8333333333333333</v>
      </c>
      <c r="D85" s="76">
        <v>199</v>
      </c>
      <c r="E85" s="76">
        <v>550</v>
      </c>
      <c r="F85" s="76">
        <v>300</v>
      </c>
      <c r="G85" s="76">
        <v>15</v>
      </c>
      <c r="H85" s="76">
        <v>29</v>
      </c>
      <c r="I85" s="76">
        <v>25410</v>
      </c>
      <c r="J85" s="77">
        <v>1367000000</v>
      </c>
      <c r="K85" s="77">
        <v>4971000</v>
      </c>
      <c r="L85" s="77">
        <v>5591000</v>
      </c>
      <c r="M85" s="78">
        <v>232</v>
      </c>
      <c r="N85" s="80">
        <v>10011</v>
      </c>
      <c r="O85" s="80">
        <v>130800000</v>
      </c>
      <c r="P85" s="80">
        <v>871800</v>
      </c>
      <c r="Q85" s="80">
        <v>1341000</v>
      </c>
      <c r="R85" s="78">
        <v>71.7</v>
      </c>
      <c r="S85" s="79">
        <v>104.6</v>
      </c>
      <c r="T85" s="80">
        <v>6100000</v>
      </c>
      <c r="U85" s="242">
        <v>8876120700000</v>
      </c>
      <c r="V85" s="81">
        <v>18030</v>
      </c>
      <c r="W85" s="74">
        <v>27</v>
      </c>
      <c r="X85" s="31" t="str">
        <f>IF(C85&lt;=1.2,IF(H85&lt;=100,IF(Calcul!$AG$2=460,"a","b"),IF(Calcul!$AG$2=460,"c","d")),IF(H85&lt;=40,IF(Calcul!$AG$2=460,"a0","a"),IF(Calcul!$AG$2=460,"a","b")))</f>
        <v>a</v>
      </c>
      <c r="Y85" s="31" t="str">
        <f>IF(C85&lt;=1.2,IF(H85&lt;=100,IF(Calcul!$AG$2=460,"a","c"),IF(Calcul!$AG$2=460,"c","d")),IF(H85&lt;=40,IF(Calcul!$AG$2=460,"a0","b"),IF(Calcul!$AG$2=460,"a","c")))</f>
        <v>b</v>
      </c>
      <c r="Z85" s="156">
        <f t="shared" si="2"/>
        <v>2795304.2031786991</v>
      </c>
      <c r="AA85" s="31">
        <f t="shared" si="3"/>
        <v>308991.375</v>
      </c>
    </row>
    <row r="86" spans="1:27" ht="13">
      <c r="A86" s="9">
        <v>84</v>
      </c>
      <c r="B86" s="35" t="s">
        <v>865</v>
      </c>
      <c r="C86" s="40">
        <v>1.869281045751634</v>
      </c>
      <c r="D86" s="76">
        <v>278</v>
      </c>
      <c r="E86" s="76">
        <v>572</v>
      </c>
      <c r="F86" s="76">
        <v>306</v>
      </c>
      <c r="G86" s="76">
        <v>21</v>
      </c>
      <c r="H86" s="76">
        <v>40</v>
      </c>
      <c r="I86" s="76">
        <v>35440</v>
      </c>
      <c r="J86" s="77">
        <v>1980000000</v>
      </c>
      <c r="K86" s="77">
        <v>6923000</v>
      </c>
      <c r="L86" s="77">
        <v>7933000</v>
      </c>
      <c r="M86" s="78">
        <v>236.4</v>
      </c>
      <c r="N86" s="80">
        <v>13960</v>
      </c>
      <c r="O86" s="80">
        <v>191600000</v>
      </c>
      <c r="P86" s="80">
        <v>1252000</v>
      </c>
      <c r="Q86" s="80">
        <v>1937000</v>
      </c>
      <c r="R86" s="78">
        <v>73.5</v>
      </c>
      <c r="S86" s="79">
        <v>132.6</v>
      </c>
      <c r="T86" s="80">
        <v>15600000</v>
      </c>
      <c r="U86" s="242">
        <v>13556849600000</v>
      </c>
      <c r="V86" s="81">
        <v>25108</v>
      </c>
      <c r="W86" s="74">
        <v>27</v>
      </c>
      <c r="X86" s="31" t="str">
        <f>IF(C86&lt;=1.2,IF(H86&lt;=100,IF(Calcul!$AG$2=460,"a","b"),IF(Calcul!$AG$2=460,"c","d")),IF(H86&lt;=40,IF(Calcul!$AG$2=460,"a0","a"),IF(Calcul!$AG$2=460,"a","b")))</f>
        <v>a</v>
      </c>
      <c r="Y86" s="31" t="str">
        <f>IF(C86&lt;=1.2,IF(H86&lt;=100,IF(Calcul!$AG$2=460,"a","c"),IF(Calcul!$AG$2=460,"c","d")),IF(H86&lt;=40,IF(Calcul!$AG$2=460,"a0","b"),IF(Calcul!$AG$2=460,"a","c")))</f>
        <v>b</v>
      </c>
      <c r="Z86" s="156">
        <f t="shared" si="2"/>
        <v>3966342.2031786991</v>
      </c>
      <c r="AA86" s="31">
        <f t="shared" si="3"/>
        <v>440055</v>
      </c>
    </row>
    <row r="87" spans="1:27" ht="13">
      <c r="A87" s="9">
        <v>85</v>
      </c>
      <c r="B87" s="35" t="s">
        <v>866</v>
      </c>
      <c r="C87" s="40">
        <v>1.9033333333333333</v>
      </c>
      <c r="D87" s="76">
        <v>129</v>
      </c>
      <c r="E87" s="76">
        <v>571</v>
      </c>
      <c r="F87" s="76">
        <v>300</v>
      </c>
      <c r="G87" s="76">
        <v>12</v>
      </c>
      <c r="H87" s="76">
        <v>15.5</v>
      </c>
      <c r="I87" s="76">
        <v>16410</v>
      </c>
      <c r="J87" s="77">
        <v>919000000</v>
      </c>
      <c r="K87" s="77">
        <v>3218000</v>
      </c>
      <c r="L87" s="77">
        <v>3623000</v>
      </c>
      <c r="M87" s="78">
        <v>236.6</v>
      </c>
      <c r="N87" s="80">
        <v>8133</v>
      </c>
      <c r="O87" s="80">
        <v>69930000</v>
      </c>
      <c r="P87" s="80">
        <v>466200</v>
      </c>
      <c r="Q87" s="80">
        <v>724500</v>
      </c>
      <c r="R87" s="78">
        <v>65.3</v>
      </c>
      <c r="S87" s="79">
        <v>74.63</v>
      </c>
      <c r="T87" s="80">
        <v>1420000</v>
      </c>
      <c r="U87" s="242">
        <v>5394754220625</v>
      </c>
      <c r="V87" s="81">
        <v>9930</v>
      </c>
      <c r="W87" s="74">
        <v>27</v>
      </c>
      <c r="X87" s="31" t="str">
        <f>IF(C87&lt;=1.2,IF(H87&lt;=100,IF(Calcul!$AG$2=460,"a","b"),IF(Calcul!$AG$2=460,"c","d")),IF(H87&lt;=40,IF(Calcul!$AG$2=460,"a0","a"),IF(Calcul!$AG$2=460,"a","b")))</f>
        <v>a</v>
      </c>
      <c r="Y87" s="31" t="str">
        <f>IF(C87&lt;=1.2,IF(H87&lt;=100,IF(Calcul!$AG$2=460,"a","c"),IF(Calcul!$AG$2=460,"c","d")),IF(H87&lt;=40,IF(Calcul!$AG$2=460,"a0","b"),IF(Calcul!$AG$2=460,"a","c")))</f>
        <v>b</v>
      </c>
      <c r="Z87" s="156">
        <f t="shared" si="2"/>
        <v>1811531.0506450955</v>
      </c>
      <c r="AA87" s="31">
        <f t="shared" si="3"/>
        <v>165935.25</v>
      </c>
    </row>
    <row r="88" spans="1:27" ht="13">
      <c r="A88" s="9">
        <v>86</v>
      </c>
      <c r="B88" s="35" t="s">
        <v>867</v>
      </c>
      <c r="C88" s="40">
        <v>1.9666666666666666</v>
      </c>
      <c r="D88" s="76">
        <v>178</v>
      </c>
      <c r="E88" s="76">
        <v>590</v>
      </c>
      <c r="F88" s="76">
        <v>300</v>
      </c>
      <c r="G88" s="76">
        <v>13</v>
      </c>
      <c r="H88" s="76">
        <v>25</v>
      </c>
      <c r="I88" s="76">
        <v>22650</v>
      </c>
      <c r="J88" s="77">
        <v>1412000000</v>
      </c>
      <c r="K88" s="77">
        <v>4787000</v>
      </c>
      <c r="L88" s="77">
        <v>5350000</v>
      </c>
      <c r="M88" s="78">
        <v>249.7</v>
      </c>
      <c r="N88" s="80">
        <v>9325</v>
      </c>
      <c r="O88" s="80">
        <v>112700000</v>
      </c>
      <c r="P88" s="80">
        <v>751400</v>
      </c>
      <c r="Q88" s="80">
        <v>1156000</v>
      </c>
      <c r="R88" s="78">
        <v>70.5</v>
      </c>
      <c r="S88" s="79">
        <v>94.63</v>
      </c>
      <c r="T88" s="80">
        <v>4070000</v>
      </c>
      <c r="U88" s="242">
        <v>8994164375000</v>
      </c>
      <c r="V88" s="81">
        <v>15630</v>
      </c>
      <c r="W88" s="74">
        <v>27</v>
      </c>
      <c r="X88" s="31" t="str">
        <f>IF(C88&lt;=1.2,IF(H88&lt;=100,IF(Calcul!$AG$2=460,"a","b"),IF(Calcul!$AG$2=460,"c","d")),IF(H88&lt;=40,IF(Calcul!$AG$2=460,"a0","a"),IF(Calcul!$AG$2=460,"a","b")))</f>
        <v>a</v>
      </c>
      <c r="Y88" s="31" t="str">
        <f>IF(C88&lt;=1.2,IF(H88&lt;=100,IF(Calcul!$AG$2=460,"a","c"),IF(Calcul!$AG$2=460,"c","d")),IF(H88&lt;=40,IF(Calcul!$AG$2=460,"a0","b"),IF(Calcul!$AG$2=460,"a","c")))</f>
        <v>b</v>
      </c>
      <c r="Z88" s="156">
        <f t="shared" si="2"/>
        <v>2675193.5506450953</v>
      </c>
      <c r="AA88" s="31">
        <f t="shared" si="3"/>
        <v>267221.875</v>
      </c>
    </row>
    <row r="89" spans="1:27" ht="13">
      <c r="A89" s="9">
        <v>87</v>
      </c>
      <c r="B89" s="35" t="s">
        <v>868</v>
      </c>
      <c r="C89" s="40">
        <v>2</v>
      </c>
      <c r="D89" s="76">
        <v>212</v>
      </c>
      <c r="E89" s="76">
        <v>600</v>
      </c>
      <c r="F89" s="76">
        <v>300</v>
      </c>
      <c r="G89" s="76">
        <v>15.5</v>
      </c>
      <c r="H89" s="76">
        <v>30</v>
      </c>
      <c r="I89" s="76">
        <v>27000</v>
      </c>
      <c r="J89" s="77">
        <v>1710000000</v>
      </c>
      <c r="K89" s="77">
        <v>5701000</v>
      </c>
      <c r="L89" s="77">
        <v>6425000</v>
      </c>
      <c r="M89" s="78">
        <v>251.7</v>
      </c>
      <c r="N89" s="80">
        <v>11085</v>
      </c>
      <c r="O89" s="80">
        <v>135300000</v>
      </c>
      <c r="P89" s="80">
        <v>902000</v>
      </c>
      <c r="Q89" s="80">
        <v>1391000</v>
      </c>
      <c r="R89" s="78">
        <v>70.8</v>
      </c>
      <c r="S89" s="79">
        <v>107.1</v>
      </c>
      <c r="T89" s="80">
        <v>6770000</v>
      </c>
      <c r="U89" s="242">
        <v>10989742500000</v>
      </c>
      <c r="V89" s="81">
        <v>18630</v>
      </c>
      <c r="W89" s="74">
        <v>27</v>
      </c>
      <c r="X89" s="31" t="str">
        <f>IF(C89&lt;=1.2,IF(H89&lt;=100,IF(Calcul!$AG$2=460,"a","b"),IF(Calcul!$AG$2=460,"c","d")),IF(H89&lt;=40,IF(Calcul!$AG$2=460,"a0","a"),IF(Calcul!$AG$2=460,"a","b")))</f>
        <v>a</v>
      </c>
      <c r="Y89" s="31" t="str">
        <f>IF(C89&lt;=1.2,IF(H89&lt;=100,IF(Calcul!$AG$2=460,"a","c"),IF(Calcul!$AG$2=460,"c","d")),IF(H89&lt;=40,IF(Calcul!$AG$2=460,"a0","b"),IF(Calcul!$AG$2=460,"a","c")))</f>
        <v>b</v>
      </c>
      <c r="Z89" s="156">
        <f t="shared" si="2"/>
        <v>3212568.5506450953</v>
      </c>
      <c r="AA89" s="31">
        <f t="shared" si="3"/>
        <v>319386.5625</v>
      </c>
    </row>
    <row r="90" spans="1:27" ht="13">
      <c r="A90" s="9">
        <v>88</v>
      </c>
      <c r="B90" s="35" t="s">
        <v>869</v>
      </c>
      <c r="C90" s="40">
        <v>2.0327868852459017</v>
      </c>
      <c r="D90" s="76">
        <v>285</v>
      </c>
      <c r="E90" s="76">
        <v>620</v>
      </c>
      <c r="F90" s="76">
        <v>305</v>
      </c>
      <c r="G90" s="76">
        <v>21</v>
      </c>
      <c r="H90" s="76">
        <v>40</v>
      </c>
      <c r="I90" s="76">
        <v>36370</v>
      </c>
      <c r="J90" s="77">
        <v>2374000000</v>
      </c>
      <c r="K90" s="77">
        <v>7660000</v>
      </c>
      <c r="L90" s="77">
        <v>8772000</v>
      </c>
      <c r="M90" s="78">
        <v>255.5</v>
      </c>
      <c r="N90" s="80">
        <v>14970</v>
      </c>
      <c r="O90" s="80">
        <v>189800000</v>
      </c>
      <c r="P90" s="80">
        <v>1244000</v>
      </c>
      <c r="Q90" s="80">
        <v>1930000</v>
      </c>
      <c r="R90" s="78">
        <v>72.2</v>
      </c>
      <c r="S90" s="79">
        <v>132.6</v>
      </c>
      <c r="T90" s="80">
        <v>15700000</v>
      </c>
      <c r="U90" s="242">
        <v>15962180000000</v>
      </c>
      <c r="V90" s="81">
        <v>25030</v>
      </c>
      <c r="W90" s="74">
        <v>27</v>
      </c>
      <c r="X90" s="31" t="str">
        <f>IF(C90&lt;=1.2,IF(H90&lt;=100,IF(Calcul!$AG$2=460,"a","b"),IF(Calcul!$AG$2=460,"c","d")),IF(H90&lt;=40,IF(Calcul!$AG$2=460,"a0","a"),IF(Calcul!$AG$2=460,"a","b")))</f>
        <v>a</v>
      </c>
      <c r="Y90" s="31" t="str">
        <f>IF(C90&lt;=1.2,IF(H90&lt;=100,IF(Calcul!$AG$2=460,"a","c"),IF(Calcul!$AG$2=460,"c","d")),IF(H90&lt;=40,IF(Calcul!$AG$2=460,"a0","b"),IF(Calcul!$AG$2=460,"a","c")))</f>
        <v>b</v>
      </c>
      <c r="Z90" s="156">
        <f t="shared" si="2"/>
        <v>4386043.5506450953</v>
      </c>
      <c r="AA90" s="31">
        <f t="shared" si="3"/>
        <v>437000</v>
      </c>
    </row>
    <row r="91" spans="1:27" ht="13">
      <c r="A91" s="9">
        <v>89</v>
      </c>
      <c r="B91" s="35" t="s">
        <v>870</v>
      </c>
      <c r="C91" s="40">
        <v>2.0387096774193547</v>
      </c>
      <c r="D91" s="76">
        <v>337</v>
      </c>
      <c r="E91" s="76">
        <v>632</v>
      </c>
      <c r="F91" s="76">
        <v>310</v>
      </c>
      <c r="G91" s="76">
        <v>25.5</v>
      </c>
      <c r="H91" s="76">
        <v>46</v>
      </c>
      <c r="I91" s="76">
        <v>42920</v>
      </c>
      <c r="J91" s="77">
        <v>2832000000</v>
      </c>
      <c r="K91" s="77">
        <v>8961000</v>
      </c>
      <c r="L91" s="77">
        <v>10380000</v>
      </c>
      <c r="M91" s="78">
        <v>256.89999999999998</v>
      </c>
      <c r="N91" s="80">
        <v>18057</v>
      </c>
      <c r="O91" s="80">
        <v>229400000</v>
      </c>
      <c r="P91" s="80">
        <v>1480000</v>
      </c>
      <c r="Q91" s="80">
        <v>2310000</v>
      </c>
      <c r="R91" s="78">
        <v>73.099999999999994</v>
      </c>
      <c r="S91" s="79">
        <v>149.1</v>
      </c>
      <c r="T91" s="80">
        <v>24400000</v>
      </c>
      <c r="U91" s="242">
        <v>19693760600000</v>
      </c>
      <c r="V91" s="81">
        <v>29150</v>
      </c>
      <c r="W91" s="74">
        <v>27</v>
      </c>
      <c r="X91" s="31" t="str">
        <f>IF(C91&lt;=1.2,IF(H91&lt;=100,IF(Calcul!$AG$2=460,"a","b"),IF(Calcul!$AG$2=460,"c","d")),IF(H91&lt;=40,IF(Calcul!$AG$2=460,"a0","a"),IF(Calcul!$AG$2=460,"a","b")))</f>
        <v>b</v>
      </c>
      <c r="Y91" s="31" t="str">
        <f>IF(C91&lt;=1.2,IF(H91&lt;=100,IF(Calcul!$AG$2=460,"a","c"),IF(Calcul!$AG$2=460,"c","d")),IF(H91&lt;=40,IF(Calcul!$AG$2=460,"a0","b"),IF(Calcul!$AG$2=460,"a","c")))</f>
        <v>c</v>
      </c>
      <c r="Z91" s="156">
        <f t="shared" si="2"/>
        <v>5190248.5506450953</v>
      </c>
      <c r="AA91" s="31">
        <f t="shared" si="3"/>
        <v>516233.5625</v>
      </c>
    </row>
    <row r="92" spans="1:27" ht="13">
      <c r="A92" s="9">
        <v>90</v>
      </c>
      <c r="B92" s="35" t="s">
        <v>871</v>
      </c>
      <c r="C92" s="40">
        <v>2.0571428571428569</v>
      </c>
      <c r="D92" s="76">
        <v>399</v>
      </c>
      <c r="E92" s="76">
        <v>648</v>
      </c>
      <c r="F92" s="76">
        <v>315</v>
      </c>
      <c r="G92" s="76">
        <v>30</v>
      </c>
      <c r="H92" s="76">
        <v>54</v>
      </c>
      <c r="I92" s="76">
        <v>50850</v>
      </c>
      <c r="J92" s="77">
        <v>3446000000</v>
      </c>
      <c r="K92" s="77">
        <v>10640000</v>
      </c>
      <c r="L92" s="77">
        <v>12460000</v>
      </c>
      <c r="M92" s="78">
        <v>260.3</v>
      </c>
      <c r="N92" s="80">
        <v>21366</v>
      </c>
      <c r="O92" s="80">
        <v>282800000</v>
      </c>
      <c r="P92" s="80">
        <v>1796000</v>
      </c>
      <c r="Q92" s="80">
        <v>2814000</v>
      </c>
      <c r="R92" s="78">
        <v>74.599999999999994</v>
      </c>
      <c r="S92" s="79">
        <v>169.6</v>
      </c>
      <c r="T92" s="80">
        <v>39300000</v>
      </c>
      <c r="U92" s="242">
        <v>24945505200000</v>
      </c>
      <c r="V92" s="81">
        <v>34650</v>
      </c>
      <c r="W92" s="74">
        <v>27</v>
      </c>
      <c r="X92" s="31" t="str">
        <f>IF(C92&lt;=1.2,IF(H92&lt;=100,IF(Calcul!$AG$2=460,"a","b"),IF(Calcul!$AG$2=460,"c","d")),IF(H92&lt;=40,IF(Calcul!$AG$2=460,"a0","a"),IF(Calcul!$AG$2=460,"a","b")))</f>
        <v>b</v>
      </c>
      <c r="Y92" s="31" t="str">
        <f>IF(C92&lt;=1.2,IF(H92&lt;=100,IF(Calcul!$AG$2=460,"a","c"),IF(Calcul!$AG$2=460,"c","d")),IF(H92&lt;=40,IF(Calcul!$AG$2=460,"a0","b"),IF(Calcul!$AG$2=460,"a","c")))</f>
        <v>c</v>
      </c>
      <c r="Z92" s="156">
        <f t="shared" si="2"/>
        <v>6228063.5506450953</v>
      </c>
      <c r="AA92" s="31">
        <f t="shared" si="3"/>
        <v>622140.75</v>
      </c>
    </row>
    <row r="93" spans="1:27" ht="13">
      <c r="A93" s="9">
        <v>91</v>
      </c>
      <c r="B93" s="35" t="s">
        <v>872</v>
      </c>
      <c r="C93" s="40">
        <v>2.0666666666666669</v>
      </c>
      <c r="D93" s="76">
        <v>138</v>
      </c>
      <c r="E93" s="76">
        <v>620</v>
      </c>
      <c r="F93" s="76">
        <v>300</v>
      </c>
      <c r="G93" s="76">
        <v>12.5</v>
      </c>
      <c r="H93" s="76">
        <v>16</v>
      </c>
      <c r="I93" s="76">
        <v>17580</v>
      </c>
      <c r="J93" s="77">
        <v>1139000000</v>
      </c>
      <c r="K93" s="77">
        <v>3676000</v>
      </c>
      <c r="L93" s="77">
        <v>4160000</v>
      </c>
      <c r="M93" s="78">
        <v>254.6</v>
      </c>
      <c r="N93" s="80">
        <v>9044</v>
      </c>
      <c r="O93" s="80">
        <v>72210000</v>
      </c>
      <c r="P93" s="80">
        <v>481400</v>
      </c>
      <c r="Q93" s="80">
        <v>750700</v>
      </c>
      <c r="R93" s="78">
        <v>64.099999999999994</v>
      </c>
      <c r="S93" s="79">
        <v>76.13</v>
      </c>
      <c r="T93" s="80">
        <v>1580000</v>
      </c>
      <c r="U93" s="242">
        <v>6585840840000</v>
      </c>
      <c r="V93" s="81">
        <v>10230</v>
      </c>
      <c r="W93" s="74">
        <v>27</v>
      </c>
      <c r="X93" s="31" t="str">
        <f>IF(C93&lt;=1.2,IF(H93&lt;=100,IF(Calcul!$AG$2=460,"a","b"),IF(Calcul!$AG$2=460,"c","d")),IF(H93&lt;=40,IF(Calcul!$AG$2=460,"a0","a"),IF(Calcul!$AG$2=460,"a","b")))</f>
        <v>a</v>
      </c>
      <c r="Y93" s="31" t="str">
        <f>IF(C93&lt;=1.2,IF(H93&lt;=100,IF(Calcul!$AG$2=460,"a","c"),IF(Calcul!$AG$2=460,"c","d")),IF(H93&lt;=40,IF(Calcul!$AG$2=460,"a0","b"),IF(Calcul!$AG$2=460,"a","c")))</f>
        <v>b</v>
      </c>
      <c r="Z93" s="156">
        <f t="shared" si="2"/>
        <v>2079927.8981114919</v>
      </c>
      <c r="AA93" s="31">
        <f t="shared" si="3"/>
        <v>171155.5</v>
      </c>
    </row>
    <row r="94" spans="1:27" ht="13">
      <c r="A94" s="9">
        <v>92</v>
      </c>
      <c r="B94" s="35" t="s">
        <v>873</v>
      </c>
      <c r="C94" s="40">
        <v>2.1333333333333333</v>
      </c>
      <c r="D94" s="76">
        <v>190</v>
      </c>
      <c r="E94" s="76">
        <v>640</v>
      </c>
      <c r="F94" s="76">
        <v>300</v>
      </c>
      <c r="G94" s="76">
        <v>13.5</v>
      </c>
      <c r="H94" s="76">
        <v>26</v>
      </c>
      <c r="I94" s="76">
        <v>24160</v>
      </c>
      <c r="J94" s="77">
        <v>1752000000</v>
      </c>
      <c r="K94" s="77">
        <v>5474000</v>
      </c>
      <c r="L94" s="77">
        <v>6136000</v>
      </c>
      <c r="M94" s="78">
        <v>269.3</v>
      </c>
      <c r="N94" s="80">
        <v>10315</v>
      </c>
      <c r="O94" s="80">
        <v>117200000</v>
      </c>
      <c r="P94" s="80">
        <v>781600</v>
      </c>
      <c r="Q94" s="80">
        <v>1205000</v>
      </c>
      <c r="R94" s="78">
        <v>69.7</v>
      </c>
      <c r="S94" s="79">
        <v>97.13</v>
      </c>
      <c r="T94" s="80">
        <v>4576000</v>
      </c>
      <c r="U94" s="242">
        <v>11045982800000</v>
      </c>
      <c r="V94" s="81">
        <v>16222</v>
      </c>
      <c r="W94" s="74">
        <v>27</v>
      </c>
      <c r="X94" s="31" t="str">
        <f>IF(C94&lt;=1.2,IF(H94&lt;=100,IF(Calcul!$AG$2=460,"a","b"),IF(Calcul!$AG$2=460,"c","d")),IF(H94&lt;=40,IF(Calcul!$AG$2=460,"a0","a"),IF(Calcul!$AG$2=460,"a","b")))</f>
        <v>a</v>
      </c>
      <c r="Y94" s="31" t="str">
        <f>IF(C94&lt;=1.2,IF(H94&lt;=100,IF(Calcul!$AG$2=460,"a","c"),IF(Calcul!$AG$2=460,"c","d")),IF(H94&lt;=40,IF(Calcul!$AG$2=460,"a0","b"),IF(Calcul!$AG$2=460,"a","c")))</f>
        <v>b</v>
      </c>
      <c r="Z94" s="156">
        <f t="shared" si="2"/>
        <v>3068145.8981114919</v>
      </c>
      <c r="AA94" s="31">
        <f t="shared" si="3"/>
        <v>277692.1875</v>
      </c>
    </row>
    <row r="95" spans="1:27" ht="13">
      <c r="A95" s="9">
        <v>93</v>
      </c>
      <c r="B95" s="35" t="s">
        <v>874</v>
      </c>
      <c r="C95" s="40">
        <v>2.1666666666666665</v>
      </c>
      <c r="D95" s="76">
        <v>225</v>
      </c>
      <c r="E95" s="76">
        <v>650</v>
      </c>
      <c r="F95" s="76">
        <v>300</v>
      </c>
      <c r="G95" s="76">
        <v>16</v>
      </c>
      <c r="H95" s="76">
        <v>31</v>
      </c>
      <c r="I95" s="76">
        <v>28630</v>
      </c>
      <c r="J95" s="77">
        <v>2106000000</v>
      </c>
      <c r="K95" s="77">
        <v>6480000</v>
      </c>
      <c r="L95" s="77">
        <v>7320000</v>
      </c>
      <c r="M95" s="78">
        <v>271.2</v>
      </c>
      <c r="N95" s="80">
        <v>12200</v>
      </c>
      <c r="O95" s="80">
        <v>139800000</v>
      </c>
      <c r="P95" s="80">
        <v>932300</v>
      </c>
      <c r="Q95" s="80">
        <v>1441000</v>
      </c>
      <c r="R95" s="78">
        <v>69.900000000000006</v>
      </c>
      <c r="S95" s="79">
        <v>109.6</v>
      </c>
      <c r="T95" s="80">
        <v>7490000</v>
      </c>
      <c r="U95" s="242">
        <v>13391476950000</v>
      </c>
      <c r="V95" s="81">
        <v>19222</v>
      </c>
      <c r="W95" s="74">
        <v>27</v>
      </c>
      <c r="X95" s="31" t="str">
        <f>IF(C95&lt;=1.2,IF(H95&lt;=100,IF(Calcul!$AG$2=460,"a","b"),IF(Calcul!$AG$2=460,"c","d")),IF(H95&lt;=40,IF(Calcul!$AG$2=460,"a0","a"),IF(Calcul!$AG$2=460,"a","b")))</f>
        <v>a</v>
      </c>
      <c r="Y95" s="31" t="str">
        <f>IF(C95&lt;=1.2,IF(H95&lt;=100,IF(Calcul!$AG$2=460,"a","c"),IF(Calcul!$AG$2=460,"c","d")),IF(H95&lt;=40,IF(Calcul!$AG$2=460,"a0","b"),IF(Calcul!$AG$2=460,"a","c")))</f>
        <v>b</v>
      </c>
      <c r="Z95" s="156">
        <f t="shared" si="2"/>
        <v>3659940.8981114919</v>
      </c>
      <c r="AA95" s="31">
        <f t="shared" si="3"/>
        <v>329762.5</v>
      </c>
    </row>
    <row r="96" spans="1:27" ht="13">
      <c r="A96" s="9">
        <v>94</v>
      </c>
      <c r="B96" s="35" t="s">
        <v>875</v>
      </c>
      <c r="C96" s="40">
        <v>2.1901639344262294</v>
      </c>
      <c r="D96" s="76">
        <v>293</v>
      </c>
      <c r="E96" s="76">
        <v>668</v>
      </c>
      <c r="F96" s="76">
        <v>305</v>
      </c>
      <c r="G96" s="76">
        <v>21</v>
      </c>
      <c r="H96" s="76">
        <v>40</v>
      </c>
      <c r="I96" s="76">
        <v>37370</v>
      </c>
      <c r="J96" s="77">
        <v>2817000000</v>
      </c>
      <c r="K96" s="77">
        <v>8433000</v>
      </c>
      <c r="L96" s="77">
        <v>9657000</v>
      </c>
      <c r="M96" s="78">
        <v>274.5</v>
      </c>
      <c r="N96" s="80">
        <v>15970</v>
      </c>
      <c r="O96" s="80">
        <v>189800000</v>
      </c>
      <c r="P96" s="80">
        <v>1245000</v>
      </c>
      <c r="Q96" s="80">
        <v>1936000</v>
      </c>
      <c r="R96" s="78">
        <v>71.3</v>
      </c>
      <c r="S96" s="79">
        <v>132.6</v>
      </c>
      <c r="T96" s="80">
        <v>15800000</v>
      </c>
      <c r="U96" s="242">
        <v>18713520800000</v>
      </c>
      <c r="V96" s="81">
        <v>25022</v>
      </c>
      <c r="W96" s="74">
        <v>27</v>
      </c>
      <c r="X96" s="31" t="str">
        <f>IF(C96&lt;=1.2,IF(H96&lt;=100,IF(Calcul!$AG$2=460,"a","b"),IF(Calcul!$AG$2=460,"c","d")),IF(H96&lt;=40,IF(Calcul!$AG$2=460,"a0","a"),IF(Calcul!$AG$2=460,"a","b")))</f>
        <v>a</v>
      </c>
      <c r="Y96" s="31" t="str">
        <f>IF(C96&lt;=1.2,IF(H96&lt;=100,IF(Calcul!$AG$2=460,"a","c"),IF(Calcul!$AG$2=460,"c","d")),IF(H96&lt;=40,IF(Calcul!$AG$2=460,"a0","b"),IF(Calcul!$AG$2=460,"a","c")))</f>
        <v>b</v>
      </c>
      <c r="Z96" s="156">
        <f t="shared" si="2"/>
        <v>4828480.8981114924</v>
      </c>
      <c r="AA96" s="31">
        <f t="shared" si="3"/>
        <v>437000</v>
      </c>
    </row>
    <row r="97" spans="1:27" ht="13">
      <c r="A97" s="9">
        <v>95</v>
      </c>
      <c r="B97" s="35" t="s">
        <v>876</v>
      </c>
      <c r="C97" s="40">
        <v>2.2006472491909386</v>
      </c>
      <c r="D97" s="76">
        <v>343</v>
      </c>
      <c r="E97" s="76">
        <v>680</v>
      </c>
      <c r="F97" s="76">
        <v>309</v>
      </c>
      <c r="G97" s="76">
        <v>25</v>
      </c>
      <c r="H97" s="76">
        <v>46</v>
      </c>
      <c r="I97" s="76">
        <v>43750</v>
      </c>
      <c r="J97" s="77">
        <v>3337000000</v>
      </c>
      <c r="K97" s="77">
        <v>9815000</v>
      </c>
      <c r="L97" s="77">
        <v>11350000</v>
      </c>
      <c r="M97" s="78">
        <v>276.2</v>
      </c>
      <c r="N97" s="80">
        <v>18956</v>
      </c>
      <c r="O97" s="80">
        <v>227200000</v>
      </c>
      <c r="P97" s="80">
        <v>1470000</v>
      </c>
      <c r="Q97" s="80">
        <v>2300000</v>
      </c>
      <c r="R97" s="78">
        <v>72.099999999999994</v>
      </c>
      <c r="S97" s="79">
        <v>148.6</v>
      </c>
      <c r="T97" s="80">
        <v>24400000</v>
      </c>
      <c r="U97" s="242">
        <v>22831100800000</v>
      </c>
      <c r="V97" s="81">
        <v>29050</v>
      </c>
      <c r="W97" s="74">
        <v>27</v>
      </c>
      <c r="X97" s="31" t="str">
        <f>IF(C97&lt;=1.2,IF(H97&lt;=100,IF(Calcul!$AG$2=460,"a","b"),IF(Calcul!$AG$2=460,"c","d")),IF(H97&lt;=40,IF(Calcul!$AG$2=460,"a0","a"),IF(Calcul!$AG$2=460,"a","b")))</f>
        <v>b</v>
      </c>
      <c r="Y97" s="31" t="str">
        <f>IF(C97&lt;=1.2,IF(H97&lt;=100,IF(Calcul!$AG$2=460,"a","c"),IF(Calcul!$AG$2=460,"c","d")),IF(H97&lt;=40,IF(Calcul!$AG$2=460,"a0","b"),IF(Calcul!$AG$2=460,"a","c")))</f>
        <v>c</v>
      </c>
      <c r="Z97" s="156">
        <f t="shared" si="2"/>
        <v>5676390.8981114924</v>
      </c>
      <c r="AA97" s="31">
        <f t="shared" si="3"/>
        <v>513130</v>
      </c>
    </row>
    <row r="98" spans="1:27" ht="13">
      <c r="A98" s="9">
        <v>96</v>
      </c>
      <c r="B98" s="35" t="s">
        <v>877</v>
      </c>
      <c r="C98" s="40">
        <v>2.2165605095541401</v>
      </c>
      <c r="D98" s="76">
        <v>407</v>
      </c>
      <c r="E98" s="76">
        <v>696</v>
      </c>
      <c r="F98" s="76">
        <v>314</v>
      </c>
      <c r="G98" s="76">
        <v>29.5</v>
      </c>
      <c r="H98" s="76">
        <v>54</v>
      </c>
      <c r="I98" s="76">
        <v>51880</v>
      </c>
      <c r="J98" s="77">
        <v>4054000000</v>
      </c>
      <c r="K98" s="77">
        <v>11650000</v>
      </c>
      <c r="L98" s="77">
        <v>13620000</v>
      </c>
      <c r="M98" s="78">
        <v>279.5</v>
      </c>
      <c r="N98" s="80">
        <v>22477</v>
      </c>
      <c r="O98" s="80">
        <v>280200000</v>
      </c>
      <c r="P98" s="80">
        <v>1785000</v>
      </c>
      <c r="Q98" s="80">
        <v>2803000</v>
      </c>
      <c r="R98" s="78">
        <v>73.5</v>
      </c>
      <c r="S98" s="79">
        <v>169.1</v>
      </c>
      <c r="T98" s="80">
        <v>39300000</v>
      </c>
      <c r="U98" s="242">
        <v>28872088200000</v>
      </c>
      <c r="V98" s="81">
        <v>34534</v>
      </c>
      <c r="W98" s="74">
        <v>27</v>
      </c>
      <c r="X98" s="31" t="str">
        <f>IF(C98&lt;=1.2,IF(H98&lt;=100,IF(Calcul!$AG$2=460,"a","b"),IF(Calcul!$AG$2=460,"c","d")),IF(H98&lt;=40,IF(Calcul!$AG$2=460,"a0","a"),IF(Calcul!$AG$2=460,"a","b")))</f>
        <v>b</v>
      </c>
      <c r="Y98" s="31" t="str">
        <f>IF(C98&lt;=1.2,IF(H98&lt;=100,IF(Calcul!$AG$2=460,"a","c"),IF(Calcul!$AG$2=460,"c","d")),IF(H98&lt;=40,IF(Calcul!$AG$2=460,"a0","b"),IF(Calcul!$AG$2=460,"a","c")))</f>
        <v>c</v>
      </c>
      <c r="Z98" s="156">
        <f t="shared" si="2"/>
        <v>6807909.8981114924</v>
      </c>
      <c r="AA98" s="31">
        <f t="shared" si="3"/>
        <v>618460.3125</v>
      </c>
    </row>
    <row r="99" spans="1:27" ht="13">
      <c r="A99" s="9">
        <v>97</v>
      </c>
      <c r="B99" s="35" t="s">
        <v>878</v>
      </c>
      <c r="C99" s="40">
        <v>2.2333333333333334</v>
      </c>
      <c r="D99" s="76">
        <v>150</v>
      </c>
      <c r="E99" s="76">
        <v>670</v>
      </c>
      <c r="F99" s="76">
        <v>300</v>
      </c>
      <c r="G99" s="76">
        <v>13</v>
      </c>
      <c r="H99" s="76">
        <v>17</v>
      </c>
      <c r="I99" s="76">
        <v>19090</v>
      </c>
      <c r="J99" s="77">
        <v>1427000000</v>
      </c>
      <c r="K99" s="77">
        <v>4260000</v>
      </c>
      <c r="L99" s="77">
        <v>4840000</v>
      </c>
      <c r="M99" s="78">
        <v>273.39999999999998</v>
      </c>
      <c r="N99" s="80">
        <v>10029</v>
      </c>
      <c r="O99" s="80">
        <v>76730000</v>
      </c>
      <c r="P99" s="80">
        <v>511500</v>
      </c>
      <c r="Q99" s="80">
        <v>799700</v>
      </c>
      <c r="R99" s="78">
        <v>63.4</v>
      </c>
      <c r="S99" s="79">
        <v>78.63</v>
      </c>
      <c r="T99" s="80">
        <v>1860000</v>
      </c>
      <c r="U99" s="242">
        <v>8179590642500</v>
      </c>
      <c r="V99" s="81">
        <v>10822</v>
      </c>
      <c r="W99" s="74">
        <v>27</v>
      </c>
      <c r="X99" s="31" t="str">
        <f>IF(C99&lt;=1.2,IF(H99&lt;=100,IF(Calcul!$AG$2=460,"a","b"),IF(Calcul!$AG$2=460,"c","d")),IF(H99&lt;=40,IF(Calcul!$AG$2=460,"a0","a"),IF(Calcul!$AG$2=460,"a","b")))</f>
        <v>a</v>
      </c>
      <c r="Y99" s="31" t="str">
        <f>IF(C99&lt;=1.2,IF(H99&lt;=100,IF(Calcul!$AG$2=460,"a","c"),IF(Calcul!$AG$2=460,"c","d")),IF(H99&lt;=40,IF(Calcul!$AG$2=460,"a0","b"),IF(Calcul!$AG$2=460,"a","c")))</f>
        <v>b</v>
      </c>
      <c r="Z99" s="156">
        <f t="shared" si="2"/>
        <v>2420068.2455778886</v>
      </c>
      <c r="AA99" s="31">
        <f t="shared" si="3"/>
        <v>181710.875</v>
      </c>
    </row>
    <row r="100" spans="1:27" ht="13">
      <c r="A100" s="9">
        <v>98</v>
      </c>
      <c r="B100" s="35" t="s">
        <v>879</v>
      </c>
      <c r="C100" s="40">
        <v>2.2999999999999998</v>
      </c>
      <c r="D100" s="76">
        <v>204</v>
      </c>
      <c r="E100" s="76">
        <v>690</v>
      </c>
      <c r="F100" s="76">
        <v>300</v>
      </c>
      <c r="G100" s="76">
        <v>14.5</v>
      </c>
      <c r="H100" s="76">
        <v>27</v>
      </c>
      <c r="I100" s="76">
        <v>26050</v>
      </c>
      <c r="J100" s="77">
        <v>2153000000</v>
      </c>
      <c r="K100" s="77">
        <v>6241000</v>
      </c>
      <c r="L100" s="77">
        <v>7032000</v>
      </c>
      <c r="M100" s="78">
        <v>287.5</v>
      </c>
      <c r="N100" s="80">
        <v>11699.5</v>
      </c>
      <c r="O100" s="80">
        <v>121800000</v>
      </c>
      <c r="P100" s="80">
        <v>811900</v>
      </c>
      <c r="Q100" s="80">
        <v>1257000</v>
      </c>
      <c r="R100" s="78">
        <v>68.400000000000006</v>
      </c>
      <c r="S100" s="79">
        <v>100.1</v>
      </c>
      <c r="T100" s="80">
        <v>5220000</v>
      </c>
      <c r="U100" s="242">
        <v>13384876050000</v>
      </c>
      <c r="V100" s="81">
        <v>16828</v>
      </c>
      <c r="W100" s="74">
        <v>27</v>
      </c>
      <c r="X100" s="31" t="str">
        <f>IF(C100&lt;=1.2,IF(H100&lt;=100,IF(Calcul!$AG$2=460,"a","b"),IF(Calcul!$AG$2=460,"c","d")),IF(H100&lt;=40,IF(Calcul!$AG$2=460,"a0","a"),IF(Calcul!$AG$2=460,"a","b")))</f>
        <v>a</v>
      </c>
      <c r="Y100" s="31" t="str">
        <f>IF(C100&lt;=1.2,IF(H100&lt;=100,IF(Calcul!$AG$2=460,"a","c"),IF(Calcul!$AG$2=460,"c","d")),IF(H100&lt;=40,IF(Calcul!$AG$2=460,"a0","b"),IF(Calcul!$AG$2=460,"a","c")))</f>
        <v>b</v>
      </c>
      <c r="Z100" s="156">
        <f t="shared" si="2"/>
        <v>3515911.2455778886</v>
      </c>
      <c r="AA100" s="31">
        <f t="shared" si="3"/>
        <v>287913.65625</v>
      </c>
    </row>
    <row r="101" spans="1:27" ht="13">
      <c r="A101" s="9">
        <v>99</v>
      </c>
      <c r="B101" s="35" t="s">
        <v>880</v>
      </c>
      <c r="C101" s="40">
        <v>2.3333333333333335</v>
      </c>
      <c r="D101" s="76">
        <v>241</v>
      </c>
      <c r="E101" s="76">
        <v>700</v>
      </c>
      <c r="F101" s="76">
        <v>300</v>
      </c>
      <c r="G101" s="76">
        <v>17</v>
      </c>
      <c r="H101" s="76">
        <v>32</v>
      </c>
      <c r="I101" s="76">
        <v>30640</v>
      </c>
      <c r="J101" s="77">
        <v>2569000000</v>
      </c>
      <c r="K101" s="77">
        <v>7340000</v>
      </c>
      <c r="L101" s="77">
        <v>8327000</v>
      </c>
      <c r="M101" s="78">
        <v>289.60000000000002</v>
      </c>
      <c r="N101" s="80">
        <v>13712</v>
      </c>
      <c r="O101" s="80">
        <v>144400000</v>
      </c>
      <c r="P101" s="80">
        <v>962700</v>
      </c>
      <c r="Q101" s="80">
        <v>1495000</v>
      </c>
      <c r="R101" s="78">
        <v>68.7</v>
      </c>
      <c r="S101" s="79">
        <v>112.6</v>
      </c>
      <c r="T101" s="80">
        <v>8390000</v>
      </c>
      <c r="U101" s="242">
        <v>16108686400000</v>
      </c>
      <c r="V101" s="81">
        <v>19828</v>
      </c>
      <c r="W101" s="74">
        <v>27</v>
      </c>
      <c r="X101" s="31" t="str">
        <f>IF(C101&lt;=1.2,IF(H101&lt;=100,IF(Calcul!$AG$2=460,"a","b"),IF(Calcul!$AG$2=460,"c","d")),IF(H101&lt;=40,IF(Calcul!$AG$2=460,"a0","a"),IF(Calcul!$AG$2=460,"a","b")))</f>
        <v>a</v>
      </c>
      <c r="Y101" s="31" t="str">
        <f>IF(C101&lt;=1.2,IF(H101&lt;=100,IF(Calcul!$AG$2=460,"a","c"),IF(Calcul!$AG$2=460,"c","d")),IF(H101&lt;=40,IF(Calcul!$AG$2=460,"a0","b"),IF(Calcul!$AG$2=460,"a","c")))</f>
        <v>b</v>
      </c>
      <c r="Z101" s="156">
        <f t="shared" si="2"/>
        <v>4163566.2455778886</v>
      </c>
      <c r="AA101" s="31">
        <f t="shared" si="3"/>
        <v>339836</v>
      </c>
    </row>
    <row r="102" spans="1:27" ht="13">
      <c r="A102" s="9">
        <v>100</v>
      </c>
      <c r="B102" s="35" t="s">
        <v>881</v>
      </c>
      <c r="C102" s="40">
        <v>2.3552631578947367</v>
      </c>
      <c r="D102" s="76">
        <v>301</v>
      </c>
      <c r="E102" s="76">
        <v>716</v>
      </c>
      <c r="F102" s="76">
        <v>304</v>
      </c>
      <c r="G102" s="76">
        <v>21</v>
      </c>
      <c r="H102" s="76">
        <v>40</v>
      </c>
      <c r="I102" s="76">
        <v>38300</v>
      </c>
      <c r="J102" s="77">
        <v>3293000000</v>
      </c>
      <c r="K102" s="77">
        <v>9198000</v>
      </c>
      <c r="L102" s="77">
        <v>10540000</v>
      </c>
      <c r="M102" s="78">
        <v>293.2</v>
      </c>
      <c r="N102" s="80">
        <v>16980</v>
      </c>
      <c r="O102" s="80">
        <v>188000000</v>
      </c>
      <c r="P102" s="80">
        <v>1240000</v>
      </c>
      <c r="Q102" s="80">
        <v>1929000</v>
      </c>
      <c r="R102" s="78">
        <v>70.099999999999994</v>
      </c>
      <c r="S102" s="79">
        <v>132.6</v>
      </c>
      <c r="T102" s="80">
        <v>15900000</v>
      </c>
      <c r="U102" s="242">
        <v>21477872000000</v>
      </c>
      <c r="V102" s="81">
        <v>24944</v>
      </c>
      <c r="W102" s="74">
        <v>27</v>
      </c>
      <c r="X102" s="31" t="str">
        <f>IF(C102&lt;=1.2,IF(H102&lt;=100,IF(Calcul!$AG$2=460,"a","b"),IF(Calcul!$AG$2=460,"c","d")),IF(H102&lt;=40,IF(Calcul!$AG$2=460,"a0","a"),IF(Calcul!$AG$2=460,"a","b")))</f>
        <v>a</v>
      </c>
      <c r="Y102" s="31" t="str">
        <f>IF(C102&lt;=1.2,IF(H102&lt;=100,IF(Calcul!$AG$2=460,"a","c"),IF(Calcul!$AG$2=460,"c","d")),IF(H102&lt;=40,IF(Calcul!$AG$2=460,"a0","b"),IF(Calcul!$AG$2=460,"a","c")))</f>
        <v>b</v>
      </c>
      <c r="Z102" s="156">
        <f t="shared" si="2"/>
        <v>5269494.2455778886</v>
      </c>
      <c r="AA102" s="31">
        <f t="shared" si="3"/>
        <v>433955</v>
      </c>
    </row>
    <row r="103" spans="1:27" ht="13">
      <c r="A103" s="9">
        <v>101</v>
      </c>
      <c r="B103" s="35" t="s">
        <v>882</v>
      </c>
      <c r="C103" s="40">
        <v>2.3636363636363638</v>
      </c>
      <c r="D103" s="76">
        <v>352</v>
      </c>
      <c r="E103" s="76">
        <v>728</v>
      </c>
      <c r="F103" s="76">
        <v>308</v>
      </c>
      <c r="G103" s="76">
        <v>25</v>
      </c>
      <c r="H103" s="76">
        <v>46</v>
      </c>
      <c r="I103" s="76">
        <v>44860</v>
      </c>
      <c r="J103" s="77">
        <v>3897000000</v>
      </c>
      <c r="K103" s="77">
        <v>10710000</v>
      </c>
      <c r="L103" s="77">
        <v>12390000</v>
      </c>
      <c r="M103" s="78">
        <v>294.7</v>
      </c>
      <c r="N103" s="80">
        <v>20158</v>
      </c>
      <c r="O103" s="80">
        <v>225100000</v>
      </c>
      <c r="P103" s="80">
        <v>1461000</v>
      </c>
      <c r="Q103" s="80">
        <v>2293000</v>
      </c>
      <c r="R103" s="78">
        <v>70.8</v>
      </c>
      <c r="S103" s="79">
        <v>148.6</v>
      </c>
      <c r="T103" s="80">
        <v>24500000</v>
      </c>
      <c r="U103" s="242">
        <v>26174853100000</v>
      </c>
      <c r="V103" s="81">
        <v>28960</v>
      </c>
      <c r="W103" s="74">
        <v>27</v>
      </c>
      <c r="X103" s="31" t="str">
        <f>IF(C103&lt;=1.2,IF(H103&lt;=100,IF(Calcul!$AG$2=460,"a","b"),IF(Calcul!$AG$2=460,"c","d")),IF(H103&lt;=40,IF(Calcul!$AG$2=460,"a0","a"),IF(Calcul!$AG$2=460,"a","b")))</f>
        <v>b</v>
      </c>
      <c r="Y103" s="31" t="str">
        <f>IF(C103&lt;=1.2,IF(H103&lt;=100,IF(Calcul!$AG$2=460,"a","c"),IF(Calcul!$AG$2=460,"c","d")),IF(H103&lt;=40,IF(Calcul!$AG$2=460,"a0","b"),IF(Calcul!$AG$2=460,"a","c")))</f>
        <v>c</v>
      </c>
      <c r="Z103" s="156">
        <f t="shared" si="2"/>
        <v>6192950.2455778886</v>
      </c>
      <c r="AA103" s="31">
        <f t="shared" si="3"/>
        <v>509582.25</v>
      </c>
    </row>
    <row r="104" spans="1:27" ht="13">
      <c r="A104" s="9">
        <v>102</v>
      </c>
      <c r="B104" s="35" t="s">
        <v>883</v>
      </c>
      <c r="C104" s="40">
        <v>2.3769968051118209</v>
      </c>
      <c r="D104" s="76">
        <v>418</v>
      </c>
      <c r="E104" s="76">
        <v>744</v>
      </c>
      <c r="F104" s="76">
        <v>313</v>
      </c>
      <c r="G104" s="76">
        <v>29.5</v>
      </c>
      <c r="H104" s="76">
        <v>54</v>
      </c>
      <c r="I104" s="76">
        <v>53190</v>
      </c>
      <c r="J104" s="77">
        <v>4725000000</v>
      </c>
      <c r="K104" s="77">
        <v>12700000</v>
      </c>
      <c r="L104" s="77">
        <v>14840000</v>
      </c>
      <c r="M104" s="78">
        <v>298</v>
      </c>
      <c r="N104" s="80">
        <v>23895</v>
      </c>
      <c r="O104" s="80">
        <v>277600000</v>
      </c>
      <c r="P104" s="80">
        <v>1774000</v>
      </c>
      <c r="Q104" s="80">
        <v>2797000</v>
      </c>
      <c r="R104" s="78">
        <v>72.2</v>
      </c>
      <c r="S104" s="79">
        <v>169.1</v>
      </c>
      <c r="T104" s="80">
        <v>39600000</v>
      </c>
      <c r="U104" s="242">
        <v>33041340000000</v>
      </c>
      <c r="V104" s="81">
        <v>34428</v>
      </c>
      <c r="W104" s="74">
        <v>27</v>
      </c>
      <c r="X104" s="31" t="str">
        <f>IF(C104&lt;=1.2,IF(H104&lt;=100,IF(Calcul!$AG$2=460,"a","b"),IF(Calcul!$AG$2=460,"c","d")),IF(H104&lt;=40,IF(Calcul!$AG$2=460,"a0","a"),IF(Calcul!$AG$2=460,"a","b")))</f>
        <v>b</v>
      </c>
      <c r="Y104" s="31" t="str">
        <f>IF(C104&lt;=1.2,IF(H104&lt;=100,IF(Calcul!$AG$2=460,"a","c"),IF(Calcul!$AG$2=460,"c","d")),IF(H104&lt;=40,IF(Calcul!$AG$2=460,"a0","b"),IF(Calcul!$AG$2=460,"a","c")))</f>
        <v>c</v>
      </c>
      <c r="Z104" s="156">
        <f t="shared" si="2"/>
        <v>7420381.2455778886</v>
      </c>
      <c r="AA104" s="31">
        <f t="shared" si="3"/>
        <v>614228.0625</v>
      </c>
    </row>
    <row r="105" spans="1:27" ht="13">
      <c r="A105" s="9">
        <v>103</v>
      </c>
      <c r="B105" s="35" t="s">
        <v>884</v>
      </c>
      <c r="C105" s="40">
        <v>2.5666666666666669</v>
      </c>
      <c r="D105" s="76">
        <v>172</v>
      </c>
      <c r="E105" s="76">
        <v>770</v>
      </c>
      <c r="F105" s="76">
        <v>300</v>
      </c>
      <c r="G105" s="76">
        <v>14</v>
      </c>
      <c r="H105" s="76">
        <v>18</v>
      </c>
      <c r="I105" s="76">
        <v>21850</v>
      </c>
      <c r="J105" s="77">
        <v>2089000000</v>
      </c>
      <c r="K105" s="77">
        <v>5426000</v>
      </c>
      <c r="L105" s="77">
        <v>6225000</v>
      </c>
      <c r="M105" s="78">
        <v>309.2</v>
      </c>
      <c r="N105" s="80">
        <v>12382</v>
      </c>
      <c r="O105" s="80">
        <v>81340000</v>
      </c>
      <c r="P105" s="80">
        <v>542200</v>
      </c>
      <c r="Q105" s="80">
        <v>856600</v>
      </c>
      <c r="R105" s="78">
        <v>61</v>
      </c>
      <c r="S105" s="79">
        <v>85.15</v>
      </c>
      <c r="T105" s="80">
        <v>2430000</v>
      </c>
      <c r="U105" s="242">
        <v>11499523840000</v>
      </c>
      <c r="V105" s="81">
        <v>11574</v>
      </c>
      <c r="W105" s="74">
        <v>30</v>
      </c>
      <c r="X105" s="31" t="str">
        <f>IF(C105&lt;=1.2,IF(H105&lt;=100,IF(Calcul!$AG$2=460,"a","b"),IF(Calcul!$AG$2=460,"c","d")),IF(H105&lt;=40,IF(Calcul!$AG$2=460,"a0","a"),IF(Calcul!$AG$2=460,"a","b")))</f>
        <v>a</v>
      </c>
      <c r="Y105" s="31" t="str">
        <f>IF(C105&lt;=1.2,IF(H105&lt;=100,IF(Calcul!$AG$2=460,"a","c"),IF(Calcul!$AG$2=460,"c","d")),IF(H105&lt;=40,IF(Calcul!$AG$2=460,"a0","b"),IF(Calcul!$AG$2=460,"a","c")))</f>
        <v>b</v>
      </c>
      <c r="Z105" s="156">
        <f t="shared" si="2"/>
        <v>3112401.0331336306</v>
      </c>
      <c r="AA105" s="31">
        <f t="shared" si="3"/>
        <v>190179</v>
      </c>
    </row>
    <row r="106" spans="1:27" ht="13">
      <c r="A106" s="9">
        <v>104</v>
      </c>
      <c r="B106" s="35" t="s">
        <v>885</v>
      </c>
      <c r="C106" s="40">
        <v>2.6333333333333333</v>
      </c>
      <c r="D106" s="76">
        <v>224</v>
      </c>
      <c r="E106" s="76">
        <v>790</v>
      </c>
      <c r="F106" s="76">
        <v>300</v>
      </c>
      <c r="G106" s="76">
        <v>15</v>
      </c>
      <c r="H106" s="76">
        <v>28</v>
      </c>
      <c r="I106" s="76">
        <v>28580</v>
      </c>
      <c r="J106" s="77">
        <v>3034000000</v>
      </c>
      <c r="K106" s="77">
        <v>7682000</v>
      </c>
      <c r="L106" s="77">
        <v>8699000</v>
      </c>
      <c r="M106" s="78">
        <v>325.8</v>
      </c>
      <c r="N106" s="80">
        <v>13880</v>
      </c>
      <c r="O106" s="80">
        <v>126400000</v>
      </c>
      <c r="P106" s="80">
        <v>842600</v>
      </c>
      <c r="Q106" s="80">
        <v>1312000</v>
      </c>
      <c r="R106" s="78">
        <v>66.5</v>
      </c>
      <c r="S106" s="79">
        <v>106.1</v>
      </c>
      <c r="T106" s="80">
        <v>6090000</v>
      </c>
      <c r="U106" s="242">
        <v>18348350400000</v>
      </c>
      <c r="V106" s="81">
        <v>17570</v>
      </c>
      <c r="W106" s="74">
        <v>30</v>
      </c>
      <c r="X106" s="31" t="str">
        <f>IF(C106&lt;=1.2,IF(H106&lt;=100,IF(Calcul!$AG$2=460,"a","b"),IF(Calcul!$AG$2=460,"c","d")),IF(H106&lt;=40,IF(Calcul!$AG$2=460,"a0","a"),IF(Calcul!$AG$2=460,"a","b")))</f>
        <v>a</v>
      </c>
      <c r="Y106" s="31" t="str">
        <f>IF(C106&lt;=1.2,IF(H106&lt;=100,IF(Calcul!$AG$2=460,"a","c"),IF(Calcul!$AG$2=460,"c","d")),IF(H106&lt;=40,IF(Calcul!$AG$2=460,"a0","b"),IF(Calcul!$AG$2=460,"a","c")))</f>
        <v>b</v>
      </c>
      <c r="Z106" s="156">
        <f t="shared" si="2"/>
        <v>4349745.5331336306</v>
      </c>
      <c r="AA106" s="31">
        <f t="shared" si="3"/>
        <v>295312.5</v>
      </c>
    </row>
    <row r="107" spans="1:27" ht="13">
      <c r="A107" s="9">
        <v>105</v>
      </c>
      <c r="B107" s="35" t="s">
        <v>886</v>
      </c>
      <c r="C107" s="40">
        <v>2.6666666666666665</v>
      </c>
      <c r="D107" s="76">
        <v>262</v>
      </c>
      <c r="E107" s="76">
        <v>800</v>
      </c>
      <c r="F107" s="76">
        <v>300</v>
      </c>
      <c r="G107" s="76">
        <v>17.5</v>
      </c>
      <c r="H107" s="76">
        <v>33</v>
      </c>
      <c r="I107" s="76">
        <v>33420</v>
      </c>
      <c r="J107" s="77">
        <v>3591000000</v>
      </c>
      <c r="K107" s="77">
        <v>8977000</v>
      </c>
      <c r="L107" s="77">
        <v>10230000</v>
      </c>
      <c r="M107" s="78">
        <v>327.8</v>
      </c>
      <c r="N107" s="80">
        <v>16177.5</v>
      </c>
      <c r="O107" s="80">
        <v>149000000</v>
      </c>
      <c r="P107" s="80">
        <v>993600</v>
      </c>
      <c r="Q107" s="80">
        <v>1553000</v>
      </c>
      <c r="R107" s="78">
        <v>66.8</v>
      </c>
      <c r="S107" s="79">
        <v>118.6</v>
      </c>
      <c r="T107" s="80">
        <v>9587000</v>
      </c>
      <c r="U107" s="242">
        <v>21913765250000</v>
      </c>
      <c r="V107" s="81">
        <v>20575</v>
      </c>
      <c r="W107" s="74">
        <v>30</v>
      </c>
      <c r="X107" s="31" t="str">
        <f>IF(C107&lt;=1.2,IF(H107&lt;=100,IF(Calcul!$AG$2=460,"a","b"),IF(Calcul!$AG$2=460,"c","d")),IF(H107&lt;=40,IF(Calcul!$AG$2=460,"a0","a"),IF(Calcul!$AG$2=460,"a","b")))</f>
        <v>a</v>
      </c>
      <c r="Y107" s="31" t="str">
        <f>IF(C107&lt;=1.2,IF(H107&lt;=100,IF(Calcul!$AG$2=460,"a","c"),IF(Calcul!$AG$2=460,"c","d")),IF(H107&lt;=40,IF(Calcul!$AG$2=460,"a0","b"),IF(Calcul!$AG$2=460,"a","c")))</f>
        <v>b</v>
      </c>
      <c r="Z107" s="156">
        <f t="shared" si="2"/>
        <v>5114356.7831336306</v>
      </c>
      <c r="AA107" s="31">
        <f t="shared" si="3"/>
        <v>346474.21875</v>
      </c>
    </row>
    <row r="108" spans="1:27" ht="13">
      <c r="A108" s="9">
        <v>106</v>
      </c>
      <c r="B108" s="35" t="s">
        <v>887</v>
      </c>
      <c r="C108" s="40">
        <v>2.6864686468646863</v>
      </c>
      <c r="D108" s="76">
        <v>317</v>
      </c>
      <c r="E108" s="76">
        <v>814</v>
      </c>
      <c r="F108" s="76">
        <v>303</v>
      </c>
      <c r="G108" s="76">
        <v>21</v>
      </c>
      <c r="H108" s="76">
        <v>40</v>
      </c>
      <c r="I108" s="76">
        <v>40430</v>
      </c>
      <c r="J108" s="77">
        <v>4426000000</v>
      </c>
      <c r="K108" s="77">
        <v>10870000</v>
      </c>
      <c r="L108" s="77">
        <v>12490000</v>
      </c>
      <c r="M108" s="78">
        <v>330.9</v>
      </c>
      <c r="N108" s="80">
        <v>19430</v>
      </c>
      <c r="O108" s="80">
        <v>186300000</v>
      </c>
      <c r="P108" s="80">
        <v>1230000</v>
      </c>
      <c r="Q108" s="80">
        <v>1930000</v>
      </c>
      <c r="R108" s="78">
        <v>67.900000000000006</v>
      </c>
      <c r="S108" s="79">
        <v>136.1</v>
      </c>
      <c r="T108" s="80">
        <v>16600000</v>
      </c>
      <c r="U108" s="242">
        <v>27901964700000</v>
      </c>
      <c r="V108" s="81">
        <v>25016</v>
      </c>
      <c r="W108" s="74">
        <v>30</v>
      </c>
      <c r="X108" s="31" t="str">
        <f>IF(C108&lt;=1.2,IF(H108&lt;=100,IF(Calcul!$AG$2=460,"a","b"),IF(Calcul!$AG$2=460,"c","d")),IF(H108&lt;=40,IF(Calcul!$AG$2=460,"a0","a"),IF(Calcul!$AG$2=460,"a","b")))</f>
        <v>a</v>
      </c>
      <c r="Y108" s="31" t="str">
        <f>IF(C108&lt;=1.2,IF(H108&lt;=100,IF(Calcul!$AG$2=460,"a","c"),IF(Calcul!$AG$2=460,"c","d")),IF(H108&lt;=40,IF(Calcul!$AG$2=460,"a0","b"),IF(Calcul!$AG$2=460,"a","c")))</f>
        <v>b</v>
      </c>
      <c r="Z108" s="156">
        <f t="shared" si="2"/>
        <v>6243852.5331336306</v>
      </c>
      <c r="AA108" s="31">
        <f t="shared" si="3"/>
        <v>426240</v>
      </c>
    </row>
    <row r="109" spans="1:27" ht="13">
      <c r="A109" s="9">
        <v>107</v>
      </c>
      <c r="B109" s="35" t="s">
        <v>888</v>
      </c>
      <c r="C109" s="40">
        <v>2.6818181818181817</v>
      </c>
      <c r="D109" s="76">
        <v>373</v>
      </c>
      <c r="E109" s="76">
        <v>826</v>
      </c>
      <c r="F109" s="76">
        <v>308</v>
      </c>
      <c r="G109" s="76">
        <v>25</v>
      </c>
      <c r="H109" s="76">
        <v>46</v>
      </c>
      <c r="I109" s="76">
        <v>47460</v>
      </c>
      <c r="J109" s="77">
        <v>5239000000</v>
      </c>
      <c r="K109" s="77">
        <v>12690000</v>
      </c>
      <c r="L109" s="77">
        <v>14700000</v>
      </c>
      <c r="M109" s="78">
        <v>332.3</v>
      </c>
      <c r="N109" s="80">
        <v>23034</v>
      </c>
      <c r="O109" s="80">
        <v>225300000</v>
      </c>
      <c r="P109" s="80">
        <v>1463000</v>
      </c>
      <c r="Q109" s="80">
        <v>2311000</v>
      </c>
      <c r="R109" s="78">
        <v>68.900000000000006</v>
      </c>
      <c r="S109" s="79">
        <v>152.1</v>
      </c>
      <c r="T109" s="80">
        <v>25532000</v>
      </c>
      <c r="U109" s="242">
        <v>34268130000000</v>
      </c>
      <c r="V109" s="81">
        <v>29110</v>
      </c>
      <c r="W109" s="74">
        <v>30</v>
      </c>
      <c r="X109" s="31" t="str">
        <f>IF(C109&lt;=1.2,IF(H109&lt;=100,IF(Calcul!$AG$2=460,"a","b"),IF(Calcul!$AG$2=460,"c","d")),IF(H109&lt;=40,IF(Calcul!$AG$2=460,"a0","a"),IF(Calcul!$AG$2=460,"a","b")))</f>
        <v>b</v>
      </c>
      <c r="Y109" s="31" t="str">
        <f>IF(C109&lt;=1.2,IF(H109&lt;=100,IF(Calcul!$AG$2=460,"a","c"),IF(Calcul!$AG$2=460,"c","d")),IF(H109&lt;=40,IF(Calcul!$AG$2=460,"a0","b"),IF(Calcul!$AG$2=460,"a","c")))</f>
        <v>c</v>
      </c>
      <c r="Z109" s="156">
        <f t="shared" si="2"/>
        <v>7348310.5331336306</v>
      </c>
      <c r="AA109" s="31">
        <f t="shared" si="3"/>
        <v>503924.25</v>
      </c>
    </row>
    <row r="110" spans="1:27" ht="13">
      <c r="A110" s="9">
        <v>108</v>
      </c>
      <c r="B110" s="35" t="s">
        <v>889</v>
      </c>
      <c r="C110" s="40">
        <v>2.6900958466453675</v>
      </c>
      <c r="D110" s="76">
        <v>444</v>
      </c>
      <c r="E110" s="76">
        <v>842</v>
      </c>
      <c r="F110" s="76">
        <v>313</v>
      </c>
      <c r="G110" s="76">
        <v>30</v>
      </c>
      <c r="H110" s="76">
        <v>54</v>
      </c>
      <c r="I110" s="76">
        <v>56600</v>
      </c>
      <c r="J110" s="77">
        <v>6345000000</v>
      </c>
      <c r="K110" s="77">
        <v>15070000</v>
      </c>
      <c r="L110" s="77">
        <v>17640000</v>
      </c>
      <c r="M110" s="78">
        <v>334.8</v>
      </c>
      <c r="N110" s="80">
        <v>27656</v>
      </c>
      <c r="O110" s="80">
        <v>278000000</v>
      </c>
      <c r="P110" s="80">
        <v>1776000</v>
      </c>
      <c r="Q110" s="80">
        <v>2827000</v>
      </c>
      <c r="R110" s="78">
        <v>70.099999999999994</v>
      </c>
      <c r="S110" s="79">
        <v>173.1</v>
      </c>
      <c r="T110" s="80">
        <v>41500000</v>
      </c>
      <c r="U110" s="242">
        <v>43155608000000</v>
      </c>
      <c r="V110" s="81">
        <v>34580</v>
      </c>
      <c r="W110" s="74">
        <v>30</v>
      </c>
      <c r="X110" s="31" t="str">
        <f>IF(C110&lt;=1.2,IF(H110&lt;=100,IF(Calcul!$AG$2=460,"a","b"),IF(Calcul!$AG$2=460,"c","d")),IF(H110&lt;=40,IF(Calcul!$AG$2=460,"a0","a"),IF(Calcul!$AG$2=460,"a","b")))</f>
        <v>b</v>
      </c>
      <c r="Y110" s="31" t="str">
        <f>IF(C110&lt;=1.2,IF(H110&lt;=100,IF(Calcul!$AG$2=460,"a","c"),IF(Calcul!$AG$2=460,"c","d")),IF(H110&lt;=40,IF(Calcul!$AG$2=460,"a0","b"),IF(Calcul!$AG$2=460,"a","c")))</f>
        <v>c</v>
      </c>
      <c r="Z110" s="156">
        <f t="shared" si="2"/>
        <v>8818901.0331336297</v>
      </c>
      <c r="AA110" s="31">
        <f t="shared" si="3"/>
        <v>606615.75</v>
      </c>
    </row>
    <row r="111" spans="1:27" ht="13">
      <c r="A111" s="9">
        <v>109</v>
      </c>
      <c r="B111" s="35" t="s">
        <v>890</v>
      </c>
      <c r="C111" s="40">
        <v>2.9</v>
      </c>
      <c r="D111" s="76">
        <v>198</v>
      </c>
      <c r="E111" s="76">
        <v>870</v>
      </c>
      <c r="F111" s="76">
        <v>300</v>
      </c>
      <c r="G111" s="76">
        <v>15</v>
      </c>
      <c r="H111" s="76">
        <v>20</v>
      </c>
      <c r="I111" s="76">
        <v>25220</v>
      </c>
      <c r="J111" s="77">
        <v>3011000000</v>
      </c>
      <c r="K111" s="77">
        <v>6923000</v>
      </c>
      <c r="L111" s="77">
        <v>7999000</v>
      </c>
      <c r="M111" s="78">
        <v>345.5</v>
      </c>
      <c r="N111" s="80">
        <v>14720</v>
      </c>
      <c r="O111" s="80">
        <v>90410000</v>
      </c>
      <c r="P111" s="80">
        <v>602800</v>
      </c>
      <c r="Q111" s="80">
        <v>957700</v>
      </c>
      <c r="R111" s="78">
        <v>59.9</v>
      </c>
      <c r="S111" s="79">
        <v>90.15</v>
      </c>
      <c r="T111" s="80">
        <v>3220000</v>
      </c>
      <c r="U111" s="242">
        <v>16330306250000</v>
      </c>
      <c r="V111" s="81">
        <v>12770</v>
      </c>
      <c r="W111" s="74">
        <v>30</v>
      </c>
      <c r="X111" s="31" t="str">
        <f>IF(C111&lt;=1.2,IF(H111&lt;=100,IF(Calcul!$AG$2=460,"a","b"),IF(Calcul!$AG$2=460,"c","d")),IF(H111&lt;=40,IF(Calcul!$AG$2=460,"a0","a"),IF(Calcul!$AG$2=460,"a","b")))</f>
        <v>a</v>
      </c>
      <c r="Y111" s="31" t="str">
        <f>IF(C111&lt;=1.2,IF(H111&lt;=100,IF(Calcul!$AG$2=460,"a","c"),IF(Calcul!$AG$2=460,"c","d")),IF(H111&lt;=40,IF(Calcul!$AG$2=460,"a0","b"),IF(Calcul!$AG$2=460,"a","c")))</f>
        <v>b</v>
      </c>
      <c r="Z111" s="156">
        <f t="shared" si="2"/>
        <v>3999407.131816091</v>
      </c>
      <c r="AA111" s="31">
        <f t="shared" si="3"/>
        <v>210937.5</v>
      </c>
    </row>
    <row r="112" spans="1:27" ht="13">
      <c r="A112" s="9">
        <v>110</v>
      </c>
      <c r="B112" s="35" t="s">
        <v>891</v>
      </c>
      <c r="C112" s="40">
        <v>2.9666666666666668</v>
      </c>
      <c r="D112" s="76">
        <v>252</v>
      </c>
      <c r="E112" s="76">
        <v>890</v>
      </c>
      <c r="F112" s="76">
        <v>300</v>
      </c>
      <c r="G112" s="76">
        <v>16</v>
      </c>
      <c r="H112" s="76">
        <v>30</v>
      </c>
      <c r="I112" s="76">
        <v>32050</v>
      </c>
      <c r="J112" s="77">
        <v>4221000000</v>
      </c>
      <c r="K112" s="77">
        <v>9485000</v>
      </c>
      <c r="L112" s="77">
        <v>10810000</v>
      </c>
      <c r="M112" s="78">
        <v>362.9</v>
      </c>
      <c r="N112" s="80">
        <v>16330</v>
      </c>
      <c r="O112" s="80">
        <v>135500000</v>
      </c>
      <c r="P112" s="80">
        <v>903200</v>
      </c>
      <c r="Q112" s="80">
        <v>1414000</v>
      </c>
      <c r="R112" s="78">
        <v>65</v>
      </c>
      <c r="S112" s="79">
        <v>111.1</v>
      </c>
      <c r="T112" s="80">
        <v>7490000</v>
      </c>
      <c r="U112" s="242">
        <v>25053950000000</v>
      </c>
      <c r="V112" s="81">
        <v>18770</v>
      </c>
      <c r="W112" s="74">
        <v>30</v>
      </c>
      <c r="X112" s="31" t="str">
        <f>IF(C112&lt;=1.2,IF(H112&lt;=100,IF(Calcul!$AG$2=460,"a","b"),IF(Calcul!$AG$2=460,"c","d")),IF(H112&lt;=40,IF(Calcul!$AG$2=460,"a0","a"),IF(Calcul!$AG$2=460,"a","b")))</f>
        <v>a</v>
      </c>
      <c r="Y112" s="31" t="str">
        <f>IF(C112&lt;=1.2,IF(H112&lt;=100,IF(Calcul!$AG$2=460,"a","c"),IF(Calcul!$AG$2=460,"c","d")),IF(H112&lt;=40,IF(Calcul!$AG$2=460,"a0","b"),IF(Calcul!$AG$2=460,"a","c")))</f>
        <v>b</v>
      </c>
      <c r="Z112" s="156">
        <f t="shared" si="2"/>
        <v>5405519.631816091</v>
      </c>
      <c r="AA112" s="31">
        <f t="shared" si="3"/>
        <v>315840</v>
      </c>
    </row>
    <row r="113" spans="1:27" ht="13">
      <c r="A113" s="9">
        <v>111</v>
      </c>
      <c r="B113" s="35" t="s">
        <v>892</v>
      </c>
      <c r="C113" s="40">
        <v>3</v>
      </c>
      <c r="D113" s="76">
        <v>291</v>
      </c>
      <c r="E113" s="76">
        <v>900</v>
      </c>
      <c r="F113" s="76">
        <v>300</v>
      </c>
      <c r="G113" s="76">
        <v>18.5</v>
      </c>
      <c r="H113" s="76">
        <v>35</v>
      </c>
      <c r="I113" s="76">
        <v>37130</v>
      </c>
      <c r="J113" s="77">
        <v>4941000000</v>
      </c>
      <c r="K113" s="77">
        <v>10980000</v>
      </c>
      <c r="L113" s="77">
        <v>12580000</v>
      </c>
      <c r="M113" s="78">
        <v>364.8</v>
      </c>
      <c r="N113" s="80">
        <v>18877.5</v>
      </c>
      <c r="O113" s="80">
        <v>158200000</v>
      </c>
      <c r="P113" s="80">
        <v>1050000</v>
      </c>
      <c r="Q113" s="80">
        <v>1658000</v>
      </c>
      <c r="R113" s="78">
        <v>65.3</v>
      </c>
      <c r="S113" s="79">
        <v>123.6</v>
      </c>
      <c r="T113" s="80">
        <v>11500000</v>
      </c>
      <c r="U113" s="242">
        <v>29592298750000</v>
      </c>
      <c r="V113" s="81">
        <v>21775</v>
      </c>
      <c r="W113" s="74">
        <v>30</v>
      </c>
      <c r="X113" s="31" t="str">
        <f>IF(C113&lt;=1.2,IF(H113&lt;=100,IF(Calcul!$AG$2=460,"a","b"),IF(Calcul!$AG$2=460,"c","d")),IF(H113&lt;=40,IF(Calcul!$AG$2=460,"a0","a"),IF(Calcul!$AG$2=460,"a","b")))</f>
        <v>a</v>
      </c>
      <c r="Y113" s="31" t="str">
        <f>IF(C113&lt;=1.2,IF(H113&lt;=100,IF(Calcul!$AG$2=460,"a","c"),IF(Calcul!$AG$2=460,"c","d")),IF(H113&lt;=40,IF(Calcul!$AG$2=460,"a0","b"),IF(Calcul!$AG$2=460,"a","c")))</f>
        <v>b</v>
      </c>
      <c r="Z113" s="156">
        <f t="shared" si="2"/>
        <v>6292050.881816091</v>
      </c>
      <c r="AA113" s="31">
        <f t="shared" si="3"/>
        <v>366790.15625</v>
      </c>
    </row>
    <row r="114" spans="1:27" ht="13">
      <c r="A114" s="9">
        <v>112</v>
      </c>
      <c r="B114" s="35" t="s">
        <v>893</v>
      </c>
      <c r="C114" s="40">
        <v>3.0132450331125828</v>
      </c>
      <c r="D114" s="76">
        <v>333</v>
      </c>
      <c r="E114" s="76">
        <v>910</v>
      </c>
      <c r="F114" s="76">
        <v>302</v>
      </c>
      <c r="G114" s="76">
        <v>21</v>
      </c>
      <c r="H114" s="76">
        <v>40</v>
      </c>
      <c r="I114" s="76">
        <v>42360</v>
      </c>
      <c r="J114" s="77">
        <v>5704000000</v>
      </c>
      <c r="K114" s="77">
        <v>12540000</v>
      </c>
      <c r="L114" s="77">
        <v>14440000</v>
      </c>
      <c r="M114" s="78">
        <v>367</v>
      </c>
      <c r="N114" s="80">
        <v>21440</v>
      </c>
      <c r="O114" s="80">
        <v>184500000</v>
      </c>
      <c r="P114" s="80">
        <v>1220000</v>
      </c>
      <c r="Q114" s="80">
        <v>1929000</v>
      </c>
      <c r="R114" s="78">
        <v>66</v>
      </c>
      <c r="S114" s="79">
        <v>136.1</v>
      </c>
      <c r="T114" s="80">
        <v>16800000</v>
      </c>
      <c r="U114" s="242">
        <v>34912012500000</v>
      </c>
      <c r="V114" s="81">
        <v>24930</v>
      </c>
      <c r="W114" s="74">
        <v>30</v>
      </c>
      <c r="X114" s="31" t="str">
        <f>IF(C114&lt;=1.2,IF(H114&lt;=100,IF(Calcul!$AG$2=460,"a","b"),IF(Calcul!$AG$2=460,"c","d")),IF(H114&lt;=40,IF(Calcul!$AG$2=460,"a0","a"),IF(Calcul!$AG$2=460,"a","b")))</f>
        <v>a</v>
      </c>
      <c r="Y114" s="31" t="str">
        <f>IF(C114&lt;=1.2,IF(H114&lt;=100,IF(Calcul!$AG$2=460,"a","c"),IF(Calcul!$AG$2=460,"c","d")),IF(H114&lt;=40,IF(Calcul!$AG$2=460,"a0","b"),IF(Calcul!$AG$2=460,"a","c")))</f>
        <v>b</v>
      </c>
      <c r="Z114" s="156">
        <f t="shared" si="2"/>
        <v>7220882.131816091</v>
      </c>
      <c r="AA114" s="31">
        <f t="shared" si="3"/>
        <v>423215</v>
      </c>
    </row>
    <row r="115" spans="1:27" ht="13">
      <c r="A115" s="9">
        <v>113</v>
      </c>
      <c r="B115" s="35" t="s">
        <v>894</v>
      </c>
      <c r="C115" s="40">
        <v>3.003257328990228</v>
      </c>
      <c r="D115" s="76">
        <v>391</v>
      </c>
      <c r="E115" s="76">
        <v>922</v>
      </c>
      <c r="F115" s="76">
        <v>307</v>
      </c>
      <c r="G115" s="76">
        <v>25</v>
      </c>
      <c r="H115" s="76">
        <v>46</v>
      </c>
      <c r="I115" s="76">
        <v>49770</v>
      </c>
      <c r="J115" s="77">
        <v>6743000000</v>
      </c>
      <c r="K115" s="77">
        <v>14630000</v>
      </c>
      <c r="L115" s="77">
        <v>16990000</v>
      </c>
      <c r="M115" s="78">
        <v>368.1</v>
      </c>
      <c r="N115" s="80">
        <v>25436</v>
      </c>
      <c r="O115" s="80">
        <v>223200000</v>
      </c>
      <c r="P115" s="80">
        <v>1454000</v>
      </c>
      <c r="Q115" s="80">
        <v>2312000</v>
      </c>
      <c r="R115" s="78">
        <v>67</v>
      </c>
      <c r="S115" s="79">
        <v>152.1</v>
      </c>
      <c r="T115" s="80">
        <v>26000000</v>
      </c>
      <c r="U115" s="242">
        <v>42819580800000</v>
      </c>
      <c r="V115" s="81">
        <v>29020</v>
      </c>
      <c r="W115" s="74">
        <v>30</v>
      </c>
      <c r="X115" s="31" t="str">
        <f>IF(C115&lt;=1.2,IF(H115&lt;=100,IF(Calcul!$AG$2=460,"a","b"),IF(Calcul!$AG$2=460,"c","d")),IF(H115&lt;=40,IF(Calcul!$AG$2=460,"a0","a"),IF(Calcul!$AG$2=460,"a","b")))</f>
        <v>b</v>
      </c>
      <c r="Y115" s="31" t="str">
        <f>IF(C115&lt;=1.2,IF(H115&lt;=100,IF(Calcul!$AG$2=460,"a","c"),IF(Calcul!$AG$2=460,"c","d")),IF(H115&lt;=40,IF(Calcul!$AG$2=460,"a0","b"),IF(Calcul!$AG$2=460,"a","c")))</f>
        <v>c</v>
      </c>
      <c r="Z115" s="156">
        <f t="shared" si="2"/>
        <v>8495968.131816091</v>
      </c>
      <c r="AA115" s="31">
        <f t="shared" si="3"/>
        <v>500388</v>
      </c>
    </row>
    <row r="116" spans="1:27" ht="13">
      <c r="A116" s="9">
        <v>114</v>
      </c>
      <c r="B116" s="35" t="s">
        <v>895</v>
      </c>
      <c r="C116" s="40">
        <v>3.0064102564102564</v>
      </c>
      <c r="D116" s="76">
        <v>466</v>
      </c>
      <c r="E116" s="76">
        <v>938</v>
      </c>
      <c r="F116" s="76">
        <v>312</v>
      </c>
      <c r="G116" s="76">
        <v>30</v>
      </c>
      <c r="H116" s="76">
        <v>54</v>
      </c>
      <c r="I116" s="76">
        <v>59370</v>
      </c>
      <c r="J116" s="77">
        <v>8149000000</v>
      </c>
      <c r="K116" s="77">
        <v>17380000</v>
      </c>
      <c r="L116" s="77">
        <v>20380000</v>
      </c>
      <c r="M116" s="78">
        <v>370.5</v>
      </c>
      <c r="N116" s="80">
        <v>30534</v>
      </c>
      <c r="O116" s="80">
        <v>275600000</v>
      </c>
      <c r="P116" s="80">
        <v>1767000</v>
      </c>
      <c r="Q116" s="80">
        <v>2832000</v>
      </c>
      <c r="R116" s="78">
        <v>68.099999999999994</v>
      </c>
      <c r="S116" s="79">
        <v>173.1</v>
      </c>
      <c r="T116" s="80">
        <v>42300000</v>
      </c>
      <c r="U116" s="242">
        <v>53842318400000</v>
      </c>
      <c r="V116" s="81">
        <v>34470</v>
      </c>
      <c r="W116" s="74">
        <v>30</v>
      </c>
      <c r="X116" s="31" t="str">
        <f>IF(C116&lt;=1.2,IF(H116&lt;=100,IF(Calcul!$AG$2=460,"a","b"),IF(Calcul!$AG$2=460,"c","d")),IF(H116&lt;=40,IF(Calcul!$AG$2=460,"a0","a"),IF(Calcul!$AG$2=460,"a","b")))</f>
        <v>b</v>
      </c>
      <c r="Y116" s="31" t="str">
        <f>IF(C116&lt;=1.2,IF(H116&lt;=100,IF(Calcul!$AG$2=460,"a","c"),IF(Calcul!$AG$2=460,"c","d")),IF(H116&lt;=40,IF(Calcul!$AG$2=460,"a0","b"),IF(Calcul!$AG$2=460,"a","c")))</f>
        <v>c</v>
      </c>
      <c r="Z116" s="156">
        <f t="shared" si="2"/>
        <v>10187910.631816091</v>
      </c>
      <c r="AA116" s="31">
        <f t="shared" si="3"/>
        <v>602397</v>
      </c>
    </row>
    <row r="117" spans="1:27" ht="13">
      <c r="A117" s="9">
        <v>115</v>
      </c>
      <c r="B117" s="35" t="s">
        <v>896</v>
      </c>
      <c r="C117" s="40">
        <v>3.2333333333333334</v>
      </c>
      <c r="D117" s="76">
        <v>222</v>
      </c>
      <c r="E117" s="76">
        <v>970</v>
      </c>
      <c r="F117" s="76">
        <v>300</v>
      </c>
      <c r="G117" s="76">
        <v>16</v>
      </c>
      <c r="H117" s="76">
        <v>21</v>
      </c>
      <c r="I117" s="76">
        <v>28220</v>
      </c>
      <c r="J117" s="77">
        <v>4065000000</v>
      </c>
      <c r="K117" s="77">
        <v>8380000</v>
      </c>
      <c r="L117" s="77">
        <v>9777000</v>
      </c>
      <c r="M117" s="78">
        <v>379.5</v>
      </c>
      <c r="N117" s="80">
        <v>17216</v>
      </c>
      <c r="O117" s="80">
        <v>95010000</v>
      </c>
      <c r="P117" s="80">
        <v>633400</v>
      </c>
      <c r="Q117" s="80">
        <v>1016000</v>
      </c>
      <c r="R117" s="78">
        <v>58</v>
      </c>
      <c r="S117" s="79">
        <v>93.15</v>
      </c>
      <c r="T117" s="80">
        <v>3870000</v>
      </c>
      <c r="U117" s="242">
        <v>21391525252500</v>
      </c>
      <c r="V117" s="81">
        <v>13372</v>
      </c>
      <c r="W117" s="74">
        <v>30</v>
      </c>
      <c r="X117" s="31" t="str">
        <f>IF(C117&lt;=1.2,IF(H117&lt;=100,IF(Calcul!$AG$2=460,"a","b"),IF(Calcul!$AG$2=460,"c","d")),IF(H117&lt;=40,IF(Calcul!$AG$2=460,"a0","a"),IF(Calcul!$AG$2=460,"a","b")))</f>
        <v>a</v>
      </c>
      <c r="Y117" s="31" t="str">
        <f>IF(C117&lt;=1.2,IF(H117&lt;=100,IF(Calcul!$AG$2=460,"a","c"),IF(Calcul!$AG$2=460,"c","d")),IF(H117&lt;=40,IF(Calcul!$AG$2=460,"a0","b"),IF(Calcul!$AG$2=460,"a","c")))</f>
        <v>b</v>
      </c>
      <c r="Z117" s="156">
        <f t="shared" si="2"/>
        <v>4888365.5138044357</v>
      </c>
      <c r="AA117" s="31">
        <f t="shared" si="3"/>
        <v>221088</v>
      </c>
    </row>
    <row r="118" spans="1:27" ht="13">
      <c r="A118" s="9">
        <v>116</v>
      </c>
      <c r="B118" s="35" t="s">
        <v>897</v>
      </c>
      <c r="C118" s="40">
        <v>3.2666666666666666</v>
      </c>
      <c r="D118" s="76">
        <v>249</v>
      </c>
      <c r="E118" s="76">
        <v>980</v>
      </c>
      <c r="F118" s="76">
        <v>300</v>
      </c>
      <c r="G118" s="76">
        <v>16.5</v>
      </c>
      <c r="H118" s="76">
        <v>26</v>
      </c>
      <c r="I118" s="76">
        <v>31680</v>
      </c>
      <c r="J118" s="77">
        <v>4811000000</v>
      </c>
      <c r="K118" s="77">
        <v>9818000</v>
      </c>
      <c r="L118" s="77">
        <v>11350000</v>
      </c>
      <c r="M118" s="78">
        <v>389.7</v>
      </c>
      <c r="N118" s="80">
        <v>18069</v>
      </c>
      <c r="O118" s="80">
        <v>117500000</v>
      </c>
      <c r="P118" s="80">
        <v>784000</v>
      </c>
      <c r="Q118" s="80">
        <v>1245000</v>
      </c>
      <c r="R118" s="78">
        <v>60.9</v>
      </c>
      <c r="S118" s="79">
        <v>103.6</v>
      </c>
      <c r="T118" s="80">
        <v>5820000</v>
      </c>
      <c r="U118" s="242">
        <v>26734657500000</v>
      </c>
      <c r="V118" s="81">
        <v>16368</v>
      </c>
      <c r="W118" s="74">
        <v>30</v>
      </c>
      <c r="X118" s="31" t="str">
        <f>IF(C118&lt;=1.2,IF(H118&lt;=100,IF(Calcul!$AG$2=460,"a","b"),IF(Calcul!$AG$2=460,"c","d")),IF(H118&lt;=40,IF(Calcul!$AG$2=460,"a0","a"),IF(Calcul!$AG$2=460,"a","b")))</f>
        <v>a</v>
      </c>
      <c r="Y118" s="31" t="str">
        <f>IF(C118&lt;=1.2,IF(H118&lt;=100,IF(Calcul!$AG$2=460,"a","c"),IF(Calcul!$AG$2=460,"c","d")),IF(H118&lt;=40,IF(Calcul!$AG$2=460,"a0","b"),IF(Calcul!$AG$2=460,"a","c")))</f>
        <v>b</v>
      </c>
      <c r="Z118" s="156">
        <f t="shared" si="2"/>
        <v>5673439.5138044357</v>
      </c>
      <c r="AA118" s="31">
        <f t="shared" si="3"/>
        <v>273480.1875</v>
      </c>
    </row>
    <row r="119" spans="1:27" ht="13">
      <c r="A119" s="9">
        <v>117</v>
      </c>
      <c r="B119" s="35" t="s">
        <v>898</v>
      </c>
      <c r="C119" s="40">
        <v>3.3</v>
      </c>
      <c r="D119" s="76">
        <v>272</v>
      </c>
      <c r="E119" s="76">
        <v>990</v>
      </c>
      <c r="F119" s="76">
        <v>300</v>
      </c>
      <c r="G119" s="76">
        <v>16.5</v>
      </c>
      <c r="H119" s="76">
        <v>31</v>
      </c>
      <c r="I119" s="76">
        <v>34680</v>
      </c>
      <c r="J119" s="77">
        <v>5537999999.999999</v>
      </c>
      <c r="K119" s="77">
        <v>11190000</v>
      </c>
      <c r="L119" s="77">
        <v>12820000</v>
      </c>
      <c r="M119" s="78">
        <v>399.6</v>
      </c>
      <c r="N119" s="80">
        <v>18451.5</v>
      </c>
      <c r="O119" s="80">
        <v>140000000</v>
      </c>
      <c r="P119" s="80">
        <v>933600</v>
      </c>
      <c r="Q119" s="80">
        <v>1470000</v>
      </c>
      <c r="R119" s="78">
        <v>63.5</v>
      </c>
      <c r="S119" s="79">
        <v>113.6</v>
      </c>
      <c r="T119" s="80">
        <v>8350000</v>
      </c>
      <c r="U119" s="242">
        <v>32188835000000</v>
      </c>
      <c r="V119" s="81">
        <v>19368</v>
      </c>
      <c r="W119" s="74">
        <v>30</v>
      </c>
      <c r="X119" s="31" t="str">
        <f>IF(C119&lt;=1.2,IF(H119&lt;=100,IF(Calcul!$AG$2=460,"a","b"),IF(Calcul!$AG$2=460,"c","d")),IF(H119&lt;=40,IF(Calcul!$AG$2=460,"a0","a"),IF(Calcul!$AG$2=460,"a","b")))</f>
        <v>a</v>
      </c>
      <c r="Y119" s="31" t="str">
        <f>IF(C119&lt;=1.2,IF(H119&lt;=100,IF(Calcul!$AG$2=460,"a","c"),IF(Calcul!$AG$2=460,"c","d")),IF(H119&lt;=40,IF(Calcul!$AG$2=460,"a0","b"),IF(Calcul!$AG$2=460,"a","c")))</f>
        <v>b</v>
      </c>
      <c r="Z119" s="156">
        <f t="shared" si="2"/>
        <v>6412189.5138044357</v>
      </c>
      <c r="AA119" s="31">
        <f t="shared" si="3"/>
        <v>326072.53125</v>
      </c>
    </row>
    <row r="120" spans="1:27" ht="13">
      <c r="A120" s="9">
        <v>118</v>
      </c>
      <c r="B120" s="35" t="s">
        <v>899</v>
      </c>
      <c r="C120" s="40">
        <v>3.3333333333333335</v>
      </c>
      <c r="D120" s="76">
        <v>314</v>
      </c>
      <c r="E120" s="76">
        <v>1000</v>
      </c>
      <c r="F120" s="76">
        <v>300</v>
      </c>
      <c r="G120" s="76">
        <v>19</v>
      </c>
      <c r="H120" s="76">
        <v>36</v>
      </c>
      <c r="I120" s="76">
        <v>40000</v>
      </c>
      <c r="J120" s="77">
        <v>6447000000</v>
      </c>
      <c r="K120" s="77">
        <v>12890000</v>
      </c>
      <c r="L120" s="77">
        <v>14860000</v>
      </c>
      <c r="M120" s="78">
        <v>401.5</v>
      </c>
      <c r="N120" s="80">
        <v>21244</v>
      </c>
      <c r="O120" s="80">
        <v>162800000</v>
      </c>
      <c r="P120" s="80">
        <v>1085000</v>
      </c>
      <c r="Q120" s="80">
        <v>1716000</v>
      </c>
      <c r="R120" s="78">
        <v>63.8</v>
      </c>
      <c r="S120" s="79">
        <v>126.1</v>
      </c>
      <c r="T120" s="80">
        <v>12700000</v>
      </c>
      <c r="U120" s="242">
        <v>37822347200000</v>
      </c>
      <c r="V120" s="81">
        <v>22368</v>
      </c>
      <c r="W120" s="74">
        <v>30</v>
      </c>
      <c r="X120" s="31" t="str">
        <f>IF(C120&lt;=1.2,IF(H120&lt;=100,IF(Calcul!$AG$2=460,"a","b"),IF(Calcul!$AG$2=460,"c","d")),IF(H120&lt;=40,IF(Calcul!$AG$2=460,"a0","a"),IF(Calcul!$AG$2=460,"a","b")))</f>
        <v>a</v>
      </c>
      <c r="Y120" s="31" t="str">
        <f>IF(C120&lt;=1.2,IF(H120&lt;=100,IF(Calcul!$AG$2=460,"a","c"),IF(Calcul!$AG$2=460,"c","d")),IF(H120&lt;=40,IF(Calcul!$AG$2=460,"a0","b"),IF(Calcul!$AG$2=460,"a","c")))</f>
        <v>b</v>
      </c>
      <c r="Z120" s="156">
        <f t="shared" si="2"/>
        <v>7427559.5138044357</v>
      </c>
      <c r="AA120" s="31">
        <f t="shared" si="3"/>
        <v>376915.5</v>
      </c>
    </row>
    <row r="121" spans="1:27" ht="13">
      <c r="A121" s="9">
        <v>119</v>
      </c>
      <c r="B121" s="35" t="s">
        <v>900</v>
      </c>
      <c r="C121" s="40">
        <v>3.3377483443708611</v>
      </c>
      <c r="D121" s="76">
        <v>349</v>
      </c>
      <c r="E121" s="76">
        <v>1008</v>
      </c>
      <c r="F121" s="76">
        <v>302</v>
      </c>
      <c r="G121" s="76">
        <v>21</v>
      </c>
      <c r="H121" s="76">
        <v>40</v>
      </c>
      <c r="I121" s="76">
        <v>44420</v>
      </c>
      <c r="J121" s="77">
        <v>7223000000</v>
      </c>
      <c r="K121" s="77">
        <v>14330000</v>
      </c>
      <c r="L121" s="77">
        <v>16570000</v>
      </c>
      <c r="M121" s="78">
        <v>403.2</v>
      </c>
      <c r="N121" s="80">
        <v>23500</v>
      </c>
      <c r="O121" s="80">
        <v>184600000</v>
      </c>
      <c r="P121" s="80">
        <v>1222000</v>
      </c>
      <c r="Q121" s="80">
        <v>1940000</v>
      </c>
      <c r="R121" s="78">
        <v>64.5</v>
      </c>
      <c r="S121" s="79">
        <v>136.1</v>
      </c>
      <c r="T121" s="80">
        <v>17100000</v>
      </c>
      <c r="U121" s="242">
        <v>43243657600000</v>
      </c>
      <c r="V121" s="81">
        <v>24932</v>
      </c>
      <c r="W121" s="74">
        <v>30</v>
      </c>
      <c r="X121" s="31" t="str">
        <f>IF(C121&lt;=1.2,IF(H121&lt;=100,IF(Calcul!$AG$2=460,"a","b"),IF(Calcul!$AG$2=460,"c","d")),IF(H121&lt;=40,IF(Calcul!$AG$2=460,"a0","a"),IF(Calcul!$AG$2=460,"a","b")))</f>
        <v>a</v>
      </c>
      <c r="Y121" s="31" t="str">
        <f>IF(C121&lt;=1.2,IF(H121&lt;=100,IF(Calcul!$AG$2=460,"a","c"),IF(Calcul!$AG$2=460,"c","d")),IF(H121&lt;=40,IF(Calcul!$AG$2=460,"a0","b"),IF(Calcul!$AG$2=460,"a","c")))</f>
        <v>b</v>
      </c>
      <c r="Z121" s="156">
        <f t="shared" si="2"/>
        <v>8283975.5138044357</v>
      </c>
      <c r="AA121" s="31">
        <f t="shared" si="3"/>
        <v>423215</v>
      </c>
    </row>
    <row r="122" spans="1:27" ht="13">
      <c r="A122" s="9">
        <v>120</v>
      </c>
      <c r="B122" s="35" t="s">
        <v>901</v>
      </c>
      <c r="C122" s="40">
        <v>3.3531353135313533</v>
      </c>
      <c r="D122" s="76">
        <v>393</v>
      </c>
      <c r="E122" s="76">
        <v>1016</v>
      </c>
      <c r="F122" s="76">
        <v>303</v>
      </c>
      <c r="G122" s="76">
        <v>24.4</v>
      </c>
      <c r="H122" s="76">
        <v>43.9</v>
      </c>
      <c r="I122" s="76">
        <v>50020</v>
      </c>
      <c r="J122" s="77">
        <v>8077000000.000001</v>
      </c>
      <c r="K122" s="77">
        <v>15900000</v>
      </c>
      <c r="L122" s="77">
        <v>18540000</v>
      </c>
      <c r="M122" s="78">
        <v>401.8</v>
      </c>
      <c r="N122" s="80">
        <v>27121.760000000002</v>
      </c>
      <c r="O122" s="80">
        <v>205000000</v>
      </c>
      <c r="P122" s="80">
        <v>1353000</v>
      </c>
      <c r="Q122" s="80">
        <v>2168000</v>
      </c>
      <c r="R122" s="78">
        <v>64</v>
      </c>
      <c r="S122" s="79">
        <v>147.30000000000001</v>
      </c>
      <c r="T122" s="80">
        <v>23300000</v>
      </c>
      <c r="U122" s="242">
        <v>48430143512500</v>
      </c>
      <c r="V122" s="81">
        <v>27371.920000000002</v>
      </c>
      <c r="W122" s="74">
        <v>30</v>
      </c>
      <c r="X122" s="31" t="str">
        <f>IF(C122&lt;=1.2,IF(H122&lt;=100,IF(Calcul!$AG$2=460,"a","b"),IF(Calcul!$AG$2=460,"c","d")),IF(H122&lt;=40,IF(Calcul!$AG$2=460,"a0","a"),IF(Calcul!$AG$2=460,"a","b")))</f>
        <v>b</v>
      </c>
      <c r="Y122" s="31" t="str">
        <f>IF(C122&lt;=1.2,IF(H122&lt;=100,IF(Calcul!$AG$2=460,"a","c"),IF(Calcul!$AG$2=460,"c","d")),IF(H122&lt;=40,IF(Calcul!$AG$2=460,"a0","b"),IF(Calcul!$AG$2=460,"a","c")))</f>
        <v>c</v>
      </c>
      <c r="Z122" s="156">
        <f t="shared" si="2"/>
        <v>9269720.909135025</v>
      </c>
      <c r="AA122" s="31">
        <f t="shared" si="3"/>
        <v>464712.44949999999</v>
      </c>
    </row>
    <row r="123" spans="1:27" ht="13">
      <c r="A123" s="9">
        <v>121</v>
      </c>
      <c r="B123" s="35" t="s">
        <v>902</v>
      </c>
      <c r="C123" s="40">
        <v>3.3552631578947367</v>
      </c>
      <c r="D123" s="76">
        <v>415</v>
      </c>
      <c r="E123" s="76">
        <v>1020</v>
      </c>
      <c r="F123" s="76">
        <v>304</v>
      </c>
      <c r="G123" s="76">
        <v>26</v>
      </c>
      <c r="H123" s="76">
        <v>46</v>
      </c>
      <c r="I123" s="76">
        <v>52870</v>
      </c>
      <c r="J123" s="77">
        <v>8531000000</v>
      </c>
      <c r="K123" s="77">
        <v>16728000</v>
      </c>
      <c r="L123" s="77">
        <v>19571000</v>
      </c>
      <c r="M123" s="78">
        <v>401.7</v>
      </c>
      <c r="N123" s="80">
        <v>28858</v>
      </c>
      <c r="O123" s="80">
        <v>217100000</v>
      </c>
      <c r="P123" s="80">
        <v>1428000</v>
      </c>
      <c r="Q123" s="80">
        <v>2298000</v>
      </c>
      <c r="R123" s="78">
        <v>64.099999999999994</v>
      </c>
      <c r="S123" s="79">
        <v>153.1</v>
      </c>
      <c r="T123" s="80">
        <v>27000000</v>
      </c>
      <c r="U123" s="242">
        <v>51489389900000</v>
      </c>
      <c r="V123" s="81">
        <v>28742</v>
      </c>
      <c r="W123" s="74">
        <v>30</v>
      </c>
      <c r="X123" s="31" t="str">
        <f>IF(C123&lt;=1.2,IF(H123&lt;=100,IF(Calcul!$AG$2=460,"a","b"),IF(Calcul!$AG$2=460,"c","d")),IF(H123&lt;=40,IF(Calcul!$AG$2=460,"a0","a"),IF(Calcul!$AG$2=460,"a","b")))</f>
        <v>b</v>
      </c>
      <c r="Y123" s="31" t="str">
        <f>IF(C123&lt;=1.2,IF(H123&lt;=100,IF(Calcul!$AG$2=460,"a","c"),IF(Calcul!$AG$2=460,"c","d")),IF(H123&lt;=40,IF(Calcul!$AG$2=460,"a0","b"),IF(Calcul!$AG$2=460,"a","c")))</f>
        <v>c</v>
      </c>
      <c r="Z123" s="156">
        <f t="shared" si="2"/>
        <v>9785703.5138044357</v>
      </c>
      <c r="AA123" s="31">
        <f t="shared" si="3"/>
        <v>488865</v>
      </c>
    </row>
    <row r="124" spans="1:27" ht="13">
      <c r="A124" s="9">
        <v>122</v>
      </c>
      <c r="B124" s="35" t="s">
        <v>903</v>
      </c>
      <c r="C124" s="40">
        <v>3.3639344262295081</v>
      </c>
      <c r="D124" s="76">
        <v>438</v>
      </c>
      <c r="E124" s="76">
        <v>1026</v>
      </c>
      <c r="F124" s="76">
        <v>305</v>
      </c>
      <c r="G124" s="76">
        <v>26.9</v>
      </c>
      <c r="H124" s="76">
        <v>49</v>
      </c>
      <c r="I124" s="76">
        <v>55600</v>
      </c>
      <c r="J124" s="77">
        <v>9092000000</v>
      </c>
      <c r="K124" s="77">
        <v>17720000</v>
      </c>
      <c r="L124" s="77">
        <v>20750000</v>
      </c>
      <c r="M124" s="78">
        <v>404.3</v>
      </c>
      <c r="N124" s="80">
        <v>29968.1</v>
      </c>
      <c r="O124" s="80">
        <v>233600000</v>
      </c>
      <c r="P124" s="80">
        <v>1531000</v>
      </c>
      <c r="Q124" s="80">
        <v>2463000</v>
      </c>
      <c r="R124" s="78">
        <v>64.8</v>
      </c>
      <c r="S124" s="79">
        <v>160</v>
      </c>
      <c r="T124" s="80">
        <v>31800000</v>
      </c>
      <c r="U124" s="242">
        <v>55744493600000</v>
      </c>
      <c r="V124" s="81">
        <v>30636.800000000003</v>
      </c>
      <c r="W124" s="74">
        <v>30</v>
      </c>
      <c r="X124" s="31" t="str">
        <f>IF(C124&lt;=1.2,IF(H124&lt;=100,IF(Calcul!$AG$2=460,"a","b"),IF(Calcul!$AG$2=460,"c","d")),IF(H124&lt;=40,IF(Calcul!$AG$2=460,"a0","a"),IF(Calcul!$AG$2=460,"a","b")))</f>
        <v>b</v>
      </c>
      <c r="Y124" s="31" t="str">
        <f>IF(C124&lt;=1.2,IF(H124&lt;=100,IF(Calcul!$AG$2=460,"a","c"),IF(Calcul!$AG$2=460,"c","d")),IF(H124&lt;=40,IF(Calcul!$AG$2=460,"a0","b"),IF(Calcul!$AG$2=460,"a","c")))</f>
        <v>c</v>
      </c>
      <c r="Z124" s="156">
        <f t="shared" si="2"/>
        <v>10373011.213804435</v>
      </c>
      <c r="AA124" s="31">
        <f t="shared" si="3"/>
        <v>523524.51375000004</v>
      </c>
    </row>
    <row r="125" spans="1:27" ht="13">
      <c r="A125" s="9">
        <v>123</v>
      </c>
      <c r="B125" s="35" t="s">
        <v>904</v>
      </c>
      <c r="C125" s="40">
        <v>3.3527508090614888</v>
      </c>
      <c r="D125" s="76">
        <v>494</v>
      </c>
      <c r="E125" s="76">
        <v>1036</v>
      </c>
      <c r="F125" s="76">
        <v>309</v>
      </c>
      <c r="G125" s="76">
        <v>31</v>
      </c>
      <c r="H125" s="76">
        <v>54</v>
      </c>
      <c r="I125" s="76">
        <v>62910</v>
      </c>
      <c r="J125" s="77">
        <v>10280000000</v>
      </c>
      <c r="K125" s="77">
        <v>19845000</v>
      </c>
      <c r="L125" s="77">
        <v>23413000</v>
      </c>
      <c r="M125" s="78">
        <v>404.2</v>
      </c>
      <c r="N125" s="80">
        <v>34451.999999999993</v>
      </c>
      <c r="O125" s="80">
        <v>268200000</v>
      </c>
      <c r="P125" s="80">
        <v>1736000</v>
      </c>
      <c r="Q125" s="80">
        <v>2818000</v>
      </c>
      <c r="R125" s="78">
        <v>65.3</v>
      </c>
      <c r="S125" s="79">
        <v>174.1</v>
      </c>
      <c r="T125" s="80">
        <v>44000000</v>
      </c>
      <c r="U125" s="242">
        <v>64657924200000</v>
      </c>
      <c r="V125" s="81">
        <v>34141.999999999993</v>
      </c>
      <c r="W125" s="74">
        <v>30</v>
      </c>
      <c r="X125" s="31" t="str">
        <f>IF(C125&lt;=1.2,IF(H125&lt;=100,IF(Calcul!$AG$2=460,"a","b"),IF(Calcul!$AG$2=460,"c","d")),IF(H125&lt;=40,IF(Calcul!$AG$2=460,"a0","a"),IF(Calcul!$AG$2=460,"a","b")))</f>
        <v>b</v>
      </c>
      <c r="Y125" s="31" t="str">
        <f>IF(C125&lt;=1.2,IF(H125&lt;=100,IF(Calcul!$AG$2=460,"a","c"),IF(Calcul!$AG$2=460,"c","d")),IF(H125&lt;=40,IF(Calcul!$AG$2=460,"a0","b"),IF(Calcul!$AG$2=460,"a","c")))</f>
        <v>c</v>
      </c>
      <c r="Z125" s="156">
        <f t="shared" si="2"/>
        <v>11706561.513804436</v>
      </c>
      <c r="AA125" s="31">
        <f t="shared" si="3"/>
        <v>588600</v>
      </c>
    </row>
    <row r="126" spans="1:27" ht="13">
      <c r="A126" s="9">
        <v>124</v>
      </c>
      <c r="B126" s="35" t="s">
        <v>905</v>
      </c>
      <c r="C126" s="40">
        <v>3.3630573248407645</v>
      </c>
      <c r="D126" s="76">
        <v>584</v>
      </c>
      <c r="E126" s="76">
        <v>1056</v>
      </c>
      <c r="F126" s="76">
        <v>314</v>
      </c>
      <c r="G126" s="76">
        <v>36</v>
      </c>
      <c r="H126" s="76">
        <v>64</v>
      </c>
      <c r="I126" s="76">
        <v>74370</v>
      </c>
      <c r="J126" s="77">
        <v>12461000000</v>
      </c>
      <c r="K126" s="77">
        <v>23600000</v>
      </c>
      <c r="L126" s="77">
        <v>28039000</v>
      </c>
      <c r="M126" s="78">
        <v>409.3</v>
      </c>
      <c r="N126" s="80">
        <v>40322</v>
      </c>
      <c r="O126" s="80">
        <v>334300000</v>
      </c>
      <c r="P126" s="80">
        <v>2130000</v>
      </c>
      <c r="Q126" s="80">
        <v>3475000</v>
      </c>
      <c r="R126" s="78">
        <v>67</v>
      </c>
      <c r="S126" s="79">
        <v>199.1</v>
      </c>
      <c r="T126" s="80">
        <v>71500000</v>
      </c>
      <c r="U126" s="242">
        <v>82243148800000</v>
      </c>
      <c r="V126" s="81">
        <v>40962</v>
      </c>
      <c r="W126" s="74">
        <v>30</v>
      </c>
      <c r="X126" s="31" t="str">
        <f>IF(C126&lt;=1.2,IF(H126&lt;=100,IF(Calcul!$AG$2=460,"a","b"),IF(Calcul!$AG$2=460,"c","d")),IF(H126&lt;=40,IF(Calcul!$AG$2=460,"a0","a"),IF(Calcul!$AG$2=460,"a","b")))</f>
        <v>b</v>
      </c>
      <c r="Y126" s="31" t="str">
        <f>IF(C126&lt;=1.2,IF(H126&lt;=100,IF(Calcul!$AG$2=460,"a","c"),IF(Calcul!$AG$2=460,"c","d")),IF(H126&lt;=40,IF(Calcul!$AG$2=460,"a0","b"),IF(Calcul!$AG$2=460,"a","c")))</f>
        <v>c</v>
      </c>
      <c r="Z126" s="156">
        <f t="shared" si="2"/>
        <v>14019591.513804436</v>
      </c>
      <c r="AA126" s="31">
        <f t="shared" si="3"/>
        <v>715040</v>
      </c>
    </row>
    <row r="127" spans="1:27" ht="13">
      <c r="A127" s="9">
        <v>125</v>
      </c>
      <c r="B127" s="35" t="s">
        <v>906</v>
      </c>
      <c r="C127" s="40">
        <v>1.6710526315789473</v>
      </c>
      <c r="D127" s="76">
        <v>13</v>
      </c>
      <c r="E127" s="76">
        <v>127</v>
      </c>
      <c r="F127" s="76">
        <v>76</v>
      </c>
      <c r="G127" s="76">
        <v>4</v>
      </c>
      <c r="H127" s="76">
        <v>7.6</v>
      </c>
      <c r="I127" s="76">
        <v>1650</v>
      </c>
      <c r="J127" s="77">
        <v>4734000</v>
      </c>
      <c r="K127" s="77">
        <v>74560</v>
      </c>
      <c r="L127" s="77">
        <v>84150</v>
      </c>
      <c r="M127" s="78">
        <v>53.5</v>
      </c>
      <c r="N127" s="80">
        <v>646.79999999999995</v>
      </c>
      <c r="O127" s="80">
        <v>557000</v>
      </c>
      <c r="P127" s="80">
        <v>14670</v>
      </c>
      <c r="Q127" s="80">
        <v>22580</v>
      </c>
      <c r="R127" s="78">
        <v>18.399999999999999</v>
      </c>
      <c r="S127" s="79">
        <v>28.1</v>
      </c>
      <c r="T127" s="80">
        <v>29100</v>
      </c>
      <c r="U127" s="242">
        <v>1985198130</v>
      </c>
      <c r="V127" s="81">
        <v>1202.8</v>
      </c>
      <c r="W127" s="74">
        <v>8</v>
      </c>
      <c r="X127" s="31" t="str">
        <f>IF(C127&lt;=1.2,IF(H127&lt;=100,IF(Calcul!$AG$2=460,"a","b"),IF(Calcul!$AG$2=460,"c","d")),IF(H127&lt;=40,IF(Calcul!$AG$2=460,"a0","a"),IF(Calcul!$AG$2=460,"a","b")))</f>
        <v>a</v>
      </c>
      <c r="Y127" s="31" t="str">
        <f>IF(C127&lt;=1.2,IF(H127&lt;=100,IF(Calcul!$AG$2=460,"a","c"),IF(Calcul!$AG$2=460,"c","d")),IF(H127&lt;=40,IF(Calcul!$AG$2=460,"a0","b"),IF(Calcul!$AG$2=460,"a","c")))</f>
        <v>b</v>
      </c>
      <c r="Z127" s="156">
        <f t="shared" si="2"/>
        <v>42218.784048498586</v>
      </c>
      <c r="AA127" s="31">
        <f t="shared" si="3"/>
        <v>5107.1999999999989</v>
      </c>
    </row>
    <row r="128" spans="1:27" ht="13">
      <c r="A128" s="9">
        <v>126</v>
      </c>
      <c r="B128" s="35" t="s">
        <v>907</v>
      </c>
      <c r="C128" s="40">
        <v>1.71815107102593</v>
      </c>
      <c r="D128" s="76">
        <v>16</v>
      </c>
      <c r="E128" s="76">
        <v>152.4</v>
      </c>
      <c r="F128" s="76">
        <v>88.7</v>
      </c>
      <c r="G128" s="76">
        <v>4.5</v>
      </c>
      <c r="H128" s="76">
        <v>7.7</v>
      </c>
      <c r="I128" s="76">
        <v>2030</v>
      </c>
      <c r="J128" s="77">
        <v>8343000</v>
      </c>
      <c r="K128" s="77">
        <v>109500</v>
      </c>
      <c r="L128" s="77">
        <v>123300</v>
      </c>
      <c r="M128" s="78">
        <v>64.099999999999994</v>
      </c>
      <c r="N128" s="80">
        <v>821.87</v>
      </c>
      <c r="O128" s="80">
        <v>898000</v>
      </c>
      <c r="P128" s="80">
        <v>20240</v>
      </c>
      <c r="Q128" s="80">
        <v>31180</v>
      </c>
      <c r="R128" s="78">
        <v>21</v>
      </c>
      <c r="S128" s="79">
        <v>28.8</v>
      </c>
      <c r="T128" s="80">
        <v>36200</v>
      </c>
      <c r="U128" s="242">
        <v>4700601205.000001</v>
      </c>
      <c r="V128" s="81">
        <v>1413.5</v>
      </c>
      <c r="W128" s="74">
        <v>8</v>
      </c>
      <c r="X128" s="31" t="str">
        <f>IF(C128&lt;=1.2,IF(H128&lt;=100,IF(Calcul!$AG$2=460,"a","b"),IF(Calcul!$AG$2=460,"c","d")),IF(H128&lt;=40,IF(Calcul!$AG$2=460,"a0","a"),IF(Calcul!$AG$2=460,"a","b")))</f>
        <v>a</v>
      </c>
      <c r="Y128" s="31" t="str">
        <f>IF(C128&lt;=1.2,IF(H128&lt;=100,IF(Calcul!$AG$2=460,"a","c"),IF(Calcul!$AG$2=460,"c","d")),IF(H128&lt;=40,IF(Calcul!$AG$2=460,"a0","b"),IF(Calcul!$AG$2=460,"a","c")))</f>
        <v>b</v>
      </c>
      <c r="Z128" s="156">
        <f t="shared" si="2"/>
        <v>61804.442890571183</v>
      </c>
      <c r="AA128" s="31">
        <f t="shared" si="3"/>
        <v>7168.161000000001</v>
      </c>
    </row>
    <row r="129" spans="1:27" ht="13">
      <c r="A129" s="9">
        <v>127</v>
      </c>
      <c r="B129" s="35" t="s">
        <v>908</v>
      </c>
      <c r="C129" s="40">
        <v>1.7569169960474309</v>
      </c>
      <c r="D129" s="76">
        <v>19</v>
      </c>
      <c r="E129" s="76">
        <v>177.8</v>
      </c>
      <c r="F129" s="76">
        <v>101.2</v>
      </c>
      <c r="G129" s="76">
        <v>4.8</v>
      </c>
      <c r="H129" s="76">
        <v>7.9</v>
      </c>
      <c r="I129" s="76">
        <v>2430</v>
      </c>
      <c r="J129" s="77">
        <v>13560000</v>
      </c>
      <c r="K129" s="77">
        <v>152500</v>
      </c>
      <c r="L129" s="77">
        <v>171300</v>
      </c>
      <c r="M129" s="78">
        <v>74.8</v>
      </c>
      <c r="N129" s="80">
        <v>995.36</v>
      </c>
      <c r="O129" s="80">
        <v>1367000</v>
      </c>
      <c r="P129" s="80">
        <v>27020</v>
      </c>
      <c r="Q129" s="80">
        <v>41590</v>
      </c>
      <c r="R129" s="78">
        <v>23.7</v>
      </c>
      <c r="S129" s="79">
        <v>29.5</v>
      </c>
      <c r="T129" s="80">
        <v>44700</v>
      </c>
      <c r="U129" s="242">
        <v>9864958917.5</v>
      </c>
      <c r="V129" s="81">
        <v>1652.4</v>
      </c>
      <c r="W129" s="74">
        <v>8</v>
      </c>
      <c r="X129" s="31" t="str">
        <f>IF(C129&lt;=1.2,IF(H129&lt;=100,IF(Calcul!$AG$2=460,"a","b"),IF(Calcul!$AG$2=460,"c","d")),IF(H129&lt;=40,IF(Calcul!$AG$2=460,"a0","a"),IF(Calcul!$AG$2=460,"a","b")))</f>
        <v>a</v>
      </c>
      <c r="Y129" s="31" t="str">
        <f>IF(C129&lt;=1.2,IF(H129&lt;=100,IF(Calcul!$AG$2=460,"a","c"),IF(Calcul!$AG$2=460,"c","d")),IF(H129&lt;=40,IF(Calcul!$AG$2=460,"a0","b"),IF(Calcul!$AG$2=460,"a","c")))</f>
        <v>b</v>
      </c>
      <c r="Z129" s="156">
        <f t="shared" si="2"/>
        <v>85838.142829135264</v>
      </c>
      <c r="AA129" s="31">
        <f t="shared" si="3"/>
        <v>9686.19</v>
      </c>
    </row>
    <row r="130" spans="1:27" ht="13">
      <c r="A130" s="9">
        <v>128</v>
      </c>
      <c r="B130" s="35" t="s">
        <v>909</v>
      </c>
      <c r="C130" s="40">
        <v>1.9960707269155207</v>
      </c>
      <c r="D130" s="76">
        <v>23.1</v>
      </c>
      <c r="E130" s="76">
        <v>203.2</v>
      </c>
      <c r="F130" s="76">
        <v>101.8</v>
      </c>
      <c r="G130" s="76">
        <v>5.4</v>
      </c>
      <c r="H130" s="76">
        <v>9.3000000000000007</v>
      </c>
      <c r="I130" s="76">
        <v>2940</v>
      </c>
      <c r="J130" s="77">
        <v>21050000</v>
      </c>
      <c r="K130" s="77">
        <v>207200</v>
      </c>
      <c r="L130" s="77">
        <v>234100</v>
      </c>
      <c r="M130" s="78">
        <v>84.6</v>
      </c>
      <c r="N130" s="80">
        <v>1245.5400000000002</v>
      </c>
      <c r="O130" s="80">
        <v>1639000</v>
      </c>
      <c r="P130" s="80">
        <v>32190</v>
      </c>
      <c r="Q130" s="80">
        <v>49750</v>
      </c>
      <c r="R130" s="78">
        <v>23.6</v>
      </c>
      <c r="S130" s="79">
        <v>32.9</v>
      </c>
      <c r="T130" s="80">
        <v>71000</v>
      </c>
      <c r="U130" s="242">
        <v>15405456797.499996</v>
      </c>
      <c r="V130" s="81">
        <v>1943.1599999999999</v>
      </c>
      <c r="W130" s="74">
        <v>8</v>
      </c>
      <c r="X130" s="31" t="str">
        <f>IF(C130&lt;=1.2,IF(H130&lt;=100,IF(Calcul!$AG$2=460,"a","b"),IF(Calcul!$AG$2=460,"c","d")),IF(H130&lt;=40,IF(Calcul!$AG$2=460,"a0","a"),IF(Calcul!$AG$2=460,"a","b")))</f>
        <v>a</v>
      </c>
      <c r="Y130" s="31" t="str">
        <f>IF(C130&lt;=1.2,IF(H130&lt;=100,IF(Calcul!$AG$2=460,"a","c"),IF(Calcul!$AG$2=460,"c","d")),IF(H130&lt;=40,IF(Calcul!$AG$2=460,"a0","b"),IF(Calcul!$AG$2=460,"a","c")))</f>
        <v>b</v>
      </c>
      <c r="Z130" s="156">
        <f t="shared" si="2"/>
        <v>117274.84292559719</v>
      </c>
      <c r="AA130" s="31">
        <f t="shared" si="3"/>
        <v>11514.887999999999</v>
      </c>
    </row>
    <row r="131" spans="1:27" ht="13">
      <c r="A131" s="9">
        <v>129</v>
      </c>
      <c r="B131" s="35" t="s">
        <v>910</v>
      </c>
      <c r="C131" s="40">
        <v>1.5255255255255256</v>
      </c>
      <c r="D131" s="76">
        <v>25.1</v>
      </c>
      <c r="E131" s="76">
        <v>203.2</v>
      </c>
      <c r="F131" s="76">
        <v>133.19999999999999</v>
      </c>
      <c r="G131" s="76">
        <v>5.7</v>
      </c>
      <c r="H131" s="76">
        <v>7.8</v>
      </c>
      <c r="I131" s="76">
        <v>3200</v>
      </c>
      <c r="J131" s="77">
        <v>23400000</v>
      </c>
      <c r="K131" s="77">
        <v>230300</v>
      </c>
      <c r="L131" s="77">
        <v>257700</v>
      </c>
      <c r="M131" s="78">
        <v>85.6</v>
      </c>
      <c r="N131" s="80">
        <v>1291.3400000000004</v>
      </c>
      <c r="O131" s="80">
        <v>3076000</v>
      </c>
      <c r="P131" s="80">
        <v>46190</v>
      </c>
      <c r="Q131" s="80">
        <v>70940</v>
      </c>
      <c r="R131" s="78">
        <v>31</v>
      </c>
      <c r="S131" s="79">
        <v>30.2</v>
      </c>
      <c r="T131" s="80">
        <v>60300</v>
      </c>
      <c r="U131" s="242">
        <v>29361312039.999992</v>
      </c>
      <c r="V131" s="81">
        <v>2130.6800000000003</v>
      </c>
      <c r="W131" s="74">
        <v>8</v>
      </c>
      <c r="X131" s="31" t="str">
        <f>IF(C131&lt;=1.2,IF(H131&lt;=100,IF(Calcul!$AG$2=460,"a","b"),IF(Calcul!$AG$2=460,"c","d")),IF(H131&lt;=40,IF(Calcul!$AG$2=460,"a0","a"),IF(Calcul!$AG$2=460,"a","b")))</f>
        <v>a</v>
      </c>
      <c r="Y131" s="31" t="str">
        <f>IF(C131&lt;=1.2,IF(H131&lt;=100,IF(Calcul!$AG$2=460,"a","c"),IF(Calcul!$AG$2=460,"c","d")),IF(H131&lt;=40,IF(Calcul!$AG$2=460,"a0","b"),IF(Calcul!$AG$2=460,"a","c")))</f>
        <v>b</v>
      </c>
      <c r="Z131" s="156">
        <f t="shared" ref="Z131:Z194" si="4">G131*(0.5*E131-H131)^2/2+(2-PI()/2)*W131^2*((0.5*E131-H131-W131)+(((1-PI()/2*0.4244)*W131)/(2-PI()/2)))+(H131*F131)*(0.5*E131-0.5*H131)</f>
        <v>129109.46647822484</v>
      </c>
      <c r="AA131" s="31">
        <f t="shared" ref="AA131:AA194" si="5">(0.5*(0.5*F131-W131-0.5*G131)+W131+0.5*G131)*H131*(0.5*F131-W131-0.5*G131)</f>
        <v>16839.56625</v>
      </c>
    </row>
    <row r="132" spans="1:27" ht="13">
      <c r="A132" s="9">
        <v>130</v>
      </c>
      <c r="B132" s="35" t="s">
        <v>911</v>
      </c>
      <c r="C132" s="40">
        <v>1.5444361463778939</v>
      </c>
      <c r="D132" s="76">
        <v>30</v>
      </c>
      <c r="E132" s="76">
        <v>206.8</v>
      </c>
      <c r="F132" s="76">
        <v>133.9</v>
      </c>
      <c r="G132" s="76">
        <v>6.4</v>
      </c>
      <c r="H132" s="76">
        <v>9.6</v>
      </c>
      <c r="I132" s="76">
        <v>3820</v>
      </c>
      <c r="J132" s="77">
        <v>28960000</v>
      </c>
      <c r="K132" s="77">
        <v>280000</v>
      </c>
      <c r="L132" s="77">
        <v>314400</v>
      </c>
      <c r="M132" s="78">
        <v>87.1</v>
      </c>
      <c r="N132" s="80">
        <v>1464.1599999999999</v>
      </c>
      <c r="O132" s="80">
        <v>3847000</v>
      </c>
      <c r="P132" s="80">
        <v>57450</v>
      </c>
      <c r="Q132" s="80">
        <v>88220</v>
      </c>
      <c r="R132" s="78">
        <v>31.7</v>
      </c>
      <c r="S132" s="79">
        <v>34.5</v>
      </c>
      <c r="T132" s="80">
        <v>104000</v>
      </c>
      <c r="U132" s="242">
        <v>37400380120</v>
      </c>
      <c r="V132" s="81">
        <v>2619.3599999999997</v>
      </c>
      <c r="W132" s="74">
        <v>8</v>
      </c>
      <c r="X132" s="31" t="str">
        <f>IF(C132&lt;=1.2,IF(H132&lt;=100,IF(Calcul!$AG$2=460,"a","b"),IF(Calcul!$AG$2=460,"c","d")),IF(H132&lt;=40,IF(Calcul!$AG$2=460,"a0","a"),IF(Calcul!$AG$2=460,"a","b")))</f>
        <v>a</v>
      </c>
      <c r="Y132" s="31" t="str">
        <f>IF(C132&lt;=1.2,IF(H132&lt;=100,IF(Calcul!$AG$2=460,"a","c"),IF(Calcul!$AG$2=460,"c","d")),IF(H132&lt;=40,IF(Calcul!$AG$2=460,"a0","b"),IF(Calcul!$AG$2=460,"a","c")))</f>
        <v>b</v>
      </c>
      <c r="Z132" s="156">
        <f t="shared" si="4"/>
        <v>157426.91247822493</v>
      </c>
      <c r="AA132" s="31">
        <f t="shared" si="5"/>
        <v>20912.939999999999</v>
      </c>
    </row>
    <row r="133" spans="1:27" ht="13">
      <c r="A133" s="9">
        <v>131</v>
      </c>
      <c r="B133" s="35" t="s">
        <v>912</v>
      </c>
      <c r="C133" s="40">
        <v>2.5</v>
      </c>
      <c r="D133" s="76">
        <v>22</v>
      </c>
      <c r="E133" s="76">
        <v>254</v>
      </c>
      <c r="F133" s="76">
        <v>101.6</v>
      </c>
      <c r="G133" s="76">
        <v>5.7</v>
      </c>
      <c r="H133" s="76">
        <v>6.8</v>
      </c>
      <c r="I133" s="76">
        <v>2800</v>
      </c>
      <c r="J133" s="77">
        <v>28410000</v>
      </c>
      <c r="K133" s="77">
        <v>223700</v>
      </c>
      <c r="L133" s="77">
        <v>259000</v>
      </c>
      <c r="M133" s="78">
        <v>100.7</v>
      </c>
      <c r="N133" s="80">
        <v>1565.8</v>
      </c>
      <c r="O133" s="80">
        <v>1193000</v>
      </c>
      <c r="P133" s="80">
        <v>23490</v>
      </c>
      <c r="Q133" s="80">
        <v>37270</v>
      </c>
      <c r="R133" s="78">
        <v>20.6</v>
      </c>
      <c r="S133" s="79">
        <v>28.2</v>
      </c>
      <c r="T133" s="80">
        <v>42000</v>
      </c>
      <c r="U133" s="242">
        <v>18225413280</v>
      </c>
      <c r="V133" s="81">
        <v>1429.72</v>
      </c>
      <c r="W133" s="74">
        <v>8</v>
      </c>
      <c r="X133" s="31" t="str">
        <f>IF(C133&lt;=1.2,IF(H133&lt;=100,IF(Calcul!$AG$2=460,"a","b"),IF(Calcul!$AG$2=460,"c","d")),IF(H133&lt;=40,IF(Calcul!$AG$2=460,"a0","a"),IF(Calcul!$AG$2=460,"a","b")))</f>
        <v>a</v>
      </c>
      <c r="Y133" s="31" t="str">
        <f>IF(C133&lt;=1.2,IF(H133&lt;=100,IF(Calcul!$AG$2=460,"a","c"),IF(Calcul!$AG$2=460,"c","d")),IF(H133&lt;=40,IF(Calcul!$AG$2=460,"a0","b"),IF(Calcul!$AG$2=460,"a","c")))</f>
        <v>b</v>
      </c>
      <c r="Z133" s="156">
        <f t="shared" si="4"/>
        <v>129822.38500447222</v>
      </c>
      <c r="AA133" s="31">
        <f t="shared" si="5"/>
        <v>8373.9194999999982</v>
      </c>
    </row>
    <row r="134" spans="1:27" ht="13">
      <c r="A134" s="9">
        <v>132</v>
      </c>
      <c r="B134" s="35" t="s">
        <v>913</v>
      </c>
      <c r="C134" s="40">
        <v>2.5240431795878311</v>
      </c>
      <c r="D134" s="76">
        <v>25.2</v>
      </c>
      <c r="E134" s="76">
        <v>257.2</v>
      </c>
      <c r="F134" s="76">
        <v>101.9</v>
      </c>
      <c r="G134" s="76">
        <v>6</v>
      </c>
      <c r="H134" s="76">
        <v>8.4</v>
      </c>
      <c r="I134" s="76">
        <v>3200</v>
      </c>
      <c r="J134" s="77">
        <v>34150000</v>
      </c>
      <c r="K134" s="77">
        <v>265500</v>
      </c>
      <c r="L134" s="77">
        <v>305500</v>
      </c>
      <c r="M134" s="78">
        <v>103.2</v>
      </c>
      <c r="N134" s="80">
        <v>1672.8799999999999</v>
      </c>
      <c r="O134" s="80">
        <v>1487000</v>
      </c>
      <c r="P134" s="80">
        <v>29180</v>
      </c>
      <c r="Q134" s="80">
        <v>46010</v>
      </c>
      <c r="R134" s="78">
        <v>21.5</v>
      </c>
      <c r="S134" s="79">
        <v>31.7</v>
      </c>
      <c r="T134" s="80">
        <v>65000</v>
      </c>
      <c r="U134" s="242">
        <v>23011860320</v>
      </c>
      <c r="V134" s="81">
        <v>1757.6000000000001</v>
      </c>
      <c r="W134" s="74">
        <v>8</v>
      </c>
      <c r="X134" s="31" t="str">
        <f>IF(C134&lt;=1.2,IF(H134&lt;=100,IF(Calcul!$AG$2=460,"a","b"),IF(Calcul!$AG$2=460,"c","d")),IF(H134&lt;=40,IF(Calcul!$AG$2=460,"a0","a"),IF(Calcul!$AG$2=460,"a","b")))</f>
        <v>a</v>
      </c>
      <c r="Y134" s="31" t="str">
        <f>IF(C134&lt;=1.2,IF(H134&lt;=100,IF(Calcul!$AG$2=460,"a","c"),IF(Calcul!$AG$2=460,"c","d")),IF(H134&lt;=40,IF(Calcul!$AG$2=460,"a0","b"),IF(Calcul!$AG$2=460,"a","c")))</f>
        <v>b</v>
      </c>
      <c r="Z134" s="156">
        <f t="shared" si="4"/>
        <v>153078.24700447221</v>
      </c>
      <c r="AA134" s="31">
        <f t="shared" si="5"/>
        <v>10394.5905</v>
      </c>
    </row>
    <row r="135" spans="1:27" ht="13">
      <c r="A135" s="9">
        <v>133</v>
      </c>
      <c r="B135" s="35" t="s">
        <v>914</v>
      </c>
      <c r="C135" s="40">
        <v>2.5479452054794516</v>
      </c>
      <c r="D135" s="76">
        <v>28.3</v>
      </c>
      <c r="E135" s="76">
        <v>260.39999999999998</v>
      </c>
      <c r="F135" s="76">
        <v>102.2</v>
      </c>
      <c r="G135" s="76">
        <v>6.3</v>
      </c>
      <c r="H135" s="76">
        <v>10</v>
      </c>
      <c r="I135" s="76">
        <v>3610</v>
      </c>
      <c r="J135" s="77">
        <v>40050000</v>
      </c>
      <c r="K135" s="77">
        <v>307600</v>
      </c>
      <c r="L135" s="77">
        <v>352800</v>
      </c>
      <c r="M135" s="78">
        <v>105.4</v>
      </c>
      <c r="N135" s="80">
        <v>1789</v>
      </c>
      <c r="O135" s="80">
        <v>1785000</v>
      </c>
      <c r="P135" s="80">
        <v>34940</v>
      </c>
      <c r="Q135" s="80">
        <v>54850</v>
      </c>
      <c r="R135" s="78">
        <v>22.2</v>
      </c>
      <c r="S135" s="79">
        <v>35.200000000000003</v>
      </c>
      <c r="T135" s="80">
        <v>96700</v>
      </c>
      <c r="U135" s="242">
        <v>27979946399.999996</v>
      </c>
      <c r="V135" s="81">
        <v>2095.4800000000005</v>
      </c>
      <c r="W135" s="74">
        <v>8</v>
      </c>
      <c r="X135" s="31" t="str">
        <f>IF(C135&lt;=1.2,IF(H135&lt;=100,IF(Calcul!$AG$2=460,"a","b"),IF(Calcul!$AG$2=460,"c","d")),IF(H135&lt;=40,IF(Calcul!$AG$2=460,"a0","a"),IF(Calcul!$AG$2=460,"a","b")))</f>
        <v>a</v>
      </c>
      <c r="Y135" s="31" t="str">
        <f>IF(C135&lt;=1.2,IF(H135&lt;=100,IF(Calcul!$AG$2=460,"a","c"),IF(Calcul!$AG$2=460,"c","d")),IF(H135&lt;=40,IF(Calcul!$AG$2=460,"a0","b"),IF(Calcul!$AG$2=460,"a","c")))</f>
        <v>b</v>
      </c>
      <c r="Z135" s="156">
        <f t="shared" si="4"/>
        <v>176718.42900447221</v>
      </c>
      <c r="AA135" s="31">
        <f t="shared" si="5"/>
        <v>12434.4375</v>
      </c>
    </row>
    <row r="136" spans="1:27" ht="13">
      <c r="A136" s="9">
        <v>134</v>
      </c>
      <c r="B136" s="35" t="s">
        <v>915</v>
      </c>
      <c r="C136" s="40">
        <v>1.7207392197125257</v>
      </c>
      <c r="D136" s="76">
        <v>31.1</v>
      </c>
      <c r="E136" s="76">
        <v>251.4</v>
      </c>
      <c r="F136" s="76">
        <v>146.1</v>
      </c>
      <c r="G136" s="76">
        <v>6</v>
      </c>
      <c r="H136" s="76">
        <v>8.6</v>
      </c>
      <c r="I136" s="76">
        <v>3970</v>
      </c>
      <c r="J136" s="77">
        <v>44130000</v>
      </c>
      <c r="K136" s="77">
        <v>351100</v>
      </c>
      <c r="L136" s="77">
        <v>393100</v>
      </c>
      <c r="M136" s="78">
        <v>105.5</v>
      </c>
      <c r="N136" s="80">
        <v>1646.2800000000004</v>
      </c>
      <c r="O136" s="80">
        <v>4475000</v>
      </c>
      <c r="P136" s="80">
        <v>61260</v>
      </c>
      <c r="Q136" s="80">
        <v>94130</v>
      </c>
      <c r="R136" s="78">
        <v>33.6</v>
      </c>
      <c r="S136" s="79">
        <v>32.1</v>
      </c>
      <c r="T136" s="80">
        <v>86300</v>
      </c>
      <c r="U136" s="242">
        <v>65952371000.000008</v>
      </c>
      <c r="V136" s="81">
        <v>2564.8000000000002</v>
      </c>
      <c r="W136" s="74">
        <v>8</v>
      </c>
      <c r="X136" s="31" t="str">
        <f>IF(C136&lt;=1.2,IF(H136&lt;=100,IF(Calcul!$AG$2=460,"a","b"),IF(Calcul!$AG$2=460,"c","d")),IF(H136&lt;=40,IF(Calcul!$AG$2=460,"a0","a"),IF(Calcul!$AG$2=460,"a","b")))</f>
        <v>a</v>
      </c>
      <c r="Y136" s="31" t="str">
        <f>IF(C136&lt;=1.2,IF(H136&lt;=100,IF(Calcul!$AG$2=460,"a","c"),IF(Calcul!$AG$2=460,"c","d")),IF(H136&lt;=40,IF(Calcul!$AG$2=460,"a0","b"),IF(Calcul!$AG$2=460,"a","c")))</f>
        <v>b</v>
      </c>
      <c r="Z136" s="156">
        <f t="shared" si="4"/>
        <v>196839.02299570831</v>
      </c>
      <c r="AA136" s="31">
        <f t="shared" si="5"/>
        <v>22425.800749999999</v>
      </c>
    </row>
    <row r="137" spans="1:27" ht="13">
      <c r="A137" s="9">
        <v>135</v>
      </c>
      <c r="B137" s="35" t="s">
        <v>916</v>
      </c>
      <c r="C137" s="40">
        <v>1.7486338797814207</v>
      </c>
      <c r="D137" s="76">
        <v>37</v>
      </c>
      <c r="E137" s="76">
        <v>256</v>
      </c>
      <c r="F137" s="76">
        <v>146.4</v>
      </c>
      <c r="G137" s="76">
        <v>6.3</v>
      </c>
      <c r="H137" s="76">
        <v>10.9</v>
      </c>
      <c r="I137" s="76">
        <v>4720</v>
      </c>
      <c r="J137" s="77">
        <v>55370000</v>
      </c>
      <c r="K137" s="77">
        <v>432600</v>
      </c>
      <c r="L137" s="77">
        <v>483200</v>
      </c>
      <c r="M137" s="78">
        <v>108.3</v>
      </c>
      <c r="N137" s="80">
        <v>1771.5499999999995</v>
      </c>
      <c r="O137" s="80">
        <v>5706000</v>
      </c>
      <c r="P137" s="80">
        <v>77960</v>
      </c>
      <c r="Q137" s="80">
        <v>119400</v>
      </c>
      <c r="R137" s="78">
        <v>34.799999999999997</v>
      </c>
      <c r="S137" s="79">
        <v>37</v>
      </c>
      <c r="T137" s="80">
        <v>154000</v>
      </c>
      <c r="U137" s="242">
        <v>85695575265</v>
      </c>
      <c r="V137" s="81">
        <v>3244.54</v>
      </c>
      <c r="W137" s="74">
        <v>8</v>
      </c>
      <c r="X137" s="31" t="str">
        <f>IF(C137&lt;=1.2,IF(H137&lt;=100,IF(Calcul!$AG$2=460,"a","b"),IF(Calcul!$AG$2=460,"c","d")),IF(H137&lt;=40,IF(Calcul!$AG$2=460,"a0","a"),IF(Calcul!$AG$2=460,"a","b")))</f>
        <v>a</v>
      </c>
      <c r="Y137" s="31" t="str">
        <f>IF(C137&lt;=1.2,IF(H137&lt;=100,IF(Calcul!$AG$2=460,"a","c"),IF(Calcul!$AG$2=460,"c","d")),IF(H137&lt;=40,IF(Calcul!$AG$2=460,"a0","b"),IF(Calcul!$AG$2=460,"a","c")))</f>
        <v>b</v>
      </c>
      <c r="Z137" s="156">
        <f t="shared" si="4"/>
        <v>241922.02849570836</v>
      </c>
      <c r="AA137" s="31">
        <f t="shared" si="5"/>
        <v>28524.850375000005</v>
      </c>
    </row>
    <row r="138" spans="1:27" ht="13">
      <c r="A138" s="9">
        <v>136</v>
      </c>
      <c r="B138" s="35" t="s">
        <v>917</v>
      </c>
      <c r="C138" s="40">
        <v>1.7623896809232857</v>
      </c>
      <c r="D138" s="76">
        <v>43</v>
      </c>
      <c r="E138" s="76">
        <v>259.60000000000002</v>
      </c>
      <c r="F138" s="76">
        <v>147.30000000000001</v>
      </c>
      <c r="G138" s="76">
        <v>7.2</v>
      </c>
      <c r="H138" s="76">
        <v>12.7</v>
      </c>
      <c r="I138" s="76">
        <v>5480</v>
      </c>
      <c r="J138" s="77">
        <v>65440000</v>
      </c>
      <c r="K138" s="77">
        <v>504100</v>
      </c>
      <c r="L138" s="77">
        <v>566300</v>
      </c>
      <c r="M138" s="78">
        <v>109.3</v>
      </c>
      <c r="N138" s="80">
        <v>2033.2199999999998</v>
      </c>
      <c r="O138" s="80">
        <v>6774000</v>
      </c>
      <c r="P138" s="80">
        <v>91970</v>
      </c>
      <c r="Q138" s="80">
        <v>141100</v>
      </c>
      <c r="R138" s="78">
        <v>35.200000000000003</v>
      </c>
      <c r="S138" s="79">
        <v>41.5</v>
      </c>
      <c r="T138" s="80">
        <v>240000</v>
      </c>
      <c r="U138" s="242">
        <v>103235099535.00003</v>
      </c>
      <c r="V138" s="81">
        <v>3793.7599999999998</v>
      </c>
      <c r="W138" s="74">
        <v>8</v>
      </c>
      <c r="X138" s="31" t="str">
        <f>IF(C138&lt;=1.2,IF(H138&lt;=100,IF(Calcul!$AG$2=460,"a","b"),IF(Calcul!$AG$2=460,"c","d")),IF(H138&lt;=40,IF(Calcul!$AG$2=460,"a0","a"),IF(Calcul!$AG$2=460,"a","b")))</f>
        <v>a</v>
      </c>
      <c r="Y138" s="31" t="str">
        <f>IF(C138&lt;=1.2,IF(H138&lt;=100,IF(Calcul!$AG$2=460,"a","c"),IF(Calcul!$AG$2=460,"c","d")),IF(H138&lt;=40,IF(Calcul!$AG$2=460,"a0","b"),IF(Calcul!$AG$2=460,"a","c")))</f>
        <v>b</v>
      </c>
      <c r="Z138" s="156">
        <f t="shared" si="4"/>
        <v>283471.37449570838</v>
      </c>
      <c r="AA138" s="31">
        <f t="shared" si="5"/>
        <v>33589.991875000007</v>
      </c>
    </row>
    <row r="139" spans="1:27" ht="13">
      <c r="A139" s="9">
        <v>137</v>
      </c>
      <c r="B139" s="35" t="s">
        <v>918</v>
      </c>
      <c r="C139" s="40">
        <v>3.002952755905512</v>
      </c>
      <c r="D139" s="76">
        <v>24.8</v>
      </c>
      <c r="E139" s="76">
        <v>305.10000000000002</v>
      </c>
      <c r="F139" s="76">
        <v>101.6</v>
      </c>
      <c r="G139" s="76">
        <v>5.8</v>
      </c>
      <c r="H139" s="76">
        <v>7</v>
      </c>
      <c r="I139" s="76">
        <v>3160</v>
      </c>
      <c r="J139" s="77">
        <v>44550000</v>
      </c>
      <c r="K139" s="77">
        <v>292100</v>
      </c>
      <c r="L139" s="77">
        <v>342000</v>
      </c>
      <c r="M139" s="78">
        <v>118.7</v>
      </c>
      <c r="N139" s="80">
        <v>1890.2</v>
      </c>
      <c r="O139" s="80">
        <v>1229000</v>
      </c>
      <c r="P139" s="80">
        <v>24200</v>
      </c>
      <c r="Q139" s="80">
        <v>38810</v>
      </c>
      <c r="R139" s="78">
        <v>19.7</v>
      </c>
      <c r="S139" s="79">
        <v>28.7</v>
      </c>
      <c r="T139" s="80">
        <v>48300</v>
      </c>
      <c r="U139" s="242">
        <v>27303344172.500004</v>
      </c>
      <c r="V139" s="81">
        <v>1471.62</v>
      </c>
      <c r="W139" s="74">
        <v>8</v>
      </c>
      <c r="X139" s="31" t="str">
        <f>IF(C139&lt;=1.2,IF(H139&lt;=100,IF(Calcul!$AG$2=460,"a","b"),IF(Calcul!$AG$2=460,"c","d")),IF(H139&lt;=40,IF(Calcul!$AG$2=460,"a0","a"),IF(Calcul!$AG$2=460,"a","b")))</f>
        <v>a</v>
      </c>
      <c r="Y139" s="31" t="str">
        <f>IF(C139&lt;=1.2,IF(H139&lt;=100,IF(Calcul!$AG$2=460,"a","c"),IF(Calcul!$AG$2=460,"c","d")),IF(H139&lt;=40,IF(Calcul!$AG$2=460,"a0","b"),IF(Calcul!$AG$2=460,"a","c")))</f>
        <v>b</v>
      </c>
      <c r="Z139" s="156">
        <f t="shared" si="4"/>
        <v>171389.33029388019</v>
      </c>
      <c r="AA139" s="31">
        <f t="shared" si="5"/>
        <v>8616.4049999999988</v>
      </c>
    </row>
    <row r="140" spans="1:27" ht="13">
      <c r="A140" s="9">
        <v>138</v>
      </c>
      <c r="B140" s="35" t="s">
        <v>919</v>
      </c>
      <c r="C140" s="40">
        <v>3.0324165029469548</v>
      </c>
      <c r="D140" s="76">
        <v>28.2</v>
      </c>
      <c r="E140" s="76">
        <v>308.7</v>
      </c>
      <c r="F140" s="76">
        <v>101.8</v>
      </c>
      <c r="G140" s="76">
        <v>6</v>
      </c>
      <c r="H140" s="76">
        <v>8.8000000000000007</v>
      </c>
      <c r="I140" s="76">
        <v>3590</v>
      </c>
      <c r="J140" s="77">
        <v>53660000</v>
      </c>
      <c r="K140" s="77">
        <v>347600</v>
      </c>
      <c r="L140" s="77">
        <v>402900</v>
      </c>
      <c r="M140" s="78">
        <v>122.3</v>
      </c>
      <c r="N140" s="80">
        <v>1991.92</v>
      </c>
      <c r="O140" s="80">
        <v>1554000</v>
      </c>
      <c r="P140" s="80">
        <v>30530</v>
      </c>
      <c r="Q140" s="80">
        <v>48450</v>
      </c>
      <c r="R140" s="78">
        <v>20.8</v>
      </c>
      <c r="S140" s="79">
        <v>32.5</v>
      </c>
      <c r="T140" s="80">
        <v>74800</v>
      </c>
      <c r="U140" s="242">
        <v>34941693884.999992</v>
      </c>
      <c r="V140" s="81">
        <v>1843.4</v>
      </c>
      <c r="W140" s="74">
        <v>8</v>
      </c>
      <c r="X140" s="31" t="str">
        <f>IF(C140&lt;=1.2,IF(H140&lt;=100,IF(Calcul!$AG$2=460,"a","b"),IF(Calcul!$AG$2=460,"c","d")),IF(H140&lt;=40,IF(Calcul!$AG$2=460,"a0","a"),IF(Calcul!$AG$2=460,"a","b")))</f>
        <v>a</v>
      </c>
      <c r="Y140" s="31" t="str">
        <f>IF(C140&lt;=1.2,IF(H140&lt;=100,IF(Calcul!$AG$2=460,"a","c"),IF(Calcul!$AG$2=460,"c","d")),IF(H140&lt;=40,IF(Calcul!$AG$2=460,"a0","b"),IF(Calcul!$AG$2=460,"a","c")))</f>
        <v>b</v>
      </c>
      <c r="Z140" s="156">
        <f t="shared" si="4"/>
        <v>201834.65854388016</v>
      </c>
      <c r="AA140" s="31">
        <f t="shared" si="5"/>
        <v>10867.164000000001</v>
      </c>
    </row>
    <row r="141" spans="1:27" ht="13">
      <c r="A141" s="9">
        <v>139</v>
      </c>
      <c r="B141" s="35" t="s">
        <v>920</v>
      </c>
      <c r="C141" s="40">
        <v>3.0537109374999996</v>
      </c>
      <c r="D141" s="76">
        <v>32.799999999999997</v>
      </c>
      <c r="E141" s="76">
        <v>312.7</v>
      </c>
      <c r="F141" s="76">
        <v>102.4</v>
      </c>
      <c r="G141" s="76">
        <v>6.6</v>
      </c>
      <c r="H141" s="76">
        <v>10.8</v>
      </c>
      <c r="I141" s="76">
        <v>4180</v>
      </c>
      <c r="J141" s="77">
        <v>65010000</v>
      </c>
      <c r="K141" s="77">
        <v>415800</v>
      </c>
      <c r="L141" s="77">
        <v>480800</v>
      </c>
      <c r="M141" s="78">
        <v>124.7</v>
      </c>
      <c r="N141" s="80">
        <v>2212.2399999999998</v>
      </c>
      <c r="O141" s="80">
        <v>1941000</v>
      </c>
      <c r="P141" s="80">
        <v>37910</v>
      </c>
      <c r="Q141" s="80">
        <v>60040</v>
      </c>
      <c r="R141" s="78">
        <v>21.5</v>
      </c>
      <c r="S141" s="79">
        <v>37.1</v>
      </c>
      <c r="T141" s="80">
        <v>123000</v>
      </c>
      <c r="U141" s="242">
        <v>44227436752.499992</v>
      </c>
      <c r="V141" s="81">
        <v>2258.7400000000002</v>
      </c>
      <c r="W141" s="74">
        <v>8</v>
      </c>
      <c r="X141" s="31" t="str">
        <f>IF(C141&lt;=1.2,IF(H141&lt;=100,IF(Calcul!$AG$2=460,"a","b"),IF(Calcul!$AG$2=460,"c","d")),IF(H141&lt;=40,IF(Calcul!$AG$2=460,"a0","a"),IF(Calcul!$AG$2=460,"a","b")))</f>
        <v>a</v>
      </c>
      <c r="Y141" s="31" t="str">
        <f>IF(C141&lt;=1.2,IF(H141&lt;=100,IF(Calcul!$AG$2=460,"a","c"),IF(Calcul!$AG$2=460,"c","d")),IF(H141&lt;=40,IF(Calcul!$AG$2=460,"a0","b"),IF(Calcul!$AG$2=460,"a","c")))</f>
        <v>b</v>
      </c>
      <c r="Z141" s="156">
        <f t="shared" si="4"/>
        <v>240797.51529388019</v>
      </c>
      <c r="AA141" s="31">
        <f t="shared" si="5"/>
        <v>13466.250000000004</v>
      </c>
    </row>
    <row r="142" spans="1:27" ht="13">
      <c r="A142" s="9">
        <v>140</v>
      </c>
      <c r="B142" s="35" t="s">
        <v>921</v>
      </c>
      <c r="C142" s="40">
        <v>2.4667747163695295</v>
      </c>
      <c r="D142" s="76">
        <v>37</v>
      </c>
      <c r="E142" s="76">
        <v>304.39999999999998</v>
      </c>
      <c r="F142" s="76">
        <v>123.4</v>
      </c>
      <c r="G142" s="76">
        <v>7.1</v>
      </c>
      <c r="H142" s="76">
        <v>10.7</v>
      </c>
      <c r="I142" s="76">
        <v>4720</v>
      </c>
      <c r="J142" s="77">
        <v>71710000</v>
      </c>
      <c r="K142" s="77">
        <v>471100</v>
      </c>
      <c r="L142" s="77">
        <v>539400</v>
      </c>
      <c r="M142" s="78">
        <v>123.3</v>
      </c>
      <c r="N142" s="80">
        <v>2345.67</v>
      </c>
      <c r="O142" s="80">
        <v>3362000</v>
      </c>
      <c r="P142" s="80">
        <v>54490</v>
      </c>
      <c r="Q142" s="80">
        <v>85410</v>
      </c>
      <c r="R142" s="78">
        <v>26.7</v>
      </c>
      <c r="S142" s="79">
        <v>38.93</v>
      </c>
      <c r="T142" s="80">
        <v>144000</v>
      </c>
      <c r="U142" s="242">
        <v>72501269444.999985</v>
      </c>
      <c r="V142" s="81">
        <v>2710.7</v>
      </c>
      <c r="W142" s="74">
        <v>8.9</v>
      </c>
      <c r="X142" s="31" t="str">
        <f>IF(C142&lt;=1.2,IF(H142&lt;=100,IF(Calcul!$AG$2=460,"a","b"),IF(Calcul!$AG$2=460,"c","d")),IF(H142&lt;=40,IF(Calcul!$AG$2=460,"a0","a"),IF(Calcul!$AG$2=460,"a","b")))</f>
        <v>a</v>
      </c>
      <c r="Y142" s="31" t="str">
        <f>IF(C142&lt;=1.2,IF(H142&lt;=100,IF(Calcul!$AG$2=460,"a","c"),IF(Calcul!$AG$2=460,"c","d")),IF(H142&lt;=40,IF(Calcul!$AG$2=460,"a0","b"),IF(Calcul!$AG$2=460,"a","c")))</f>
        <v>b</v>
      </c>
      <c r="Z142" s="156">
        <f t="shared" si="4"/>
        <v>269719.8265272319</v>
      </c>
      <c r="AA142" s="31">
        <f t="shared" si="5"/>
        <v>19537.598125</v>
      </c>
    </row>
    <row r="143" spans="1:27" ht="13">
      <c r="A143" s="9">
        <v>141</v>
      </c>
      <c r="B143" s="35" t="s">
        <v>922</v>
      </c>
      <c r="C143" s="40">
        <v>1.8387878787878786</v>
      </c>
      <c r="D143" s="76">
        <v>40.299999999999997</v>
      </c>
      <c r="E143" s="76">
        <v>303.39999999999998</v>
      </c>
      <c r="F143" s="76">
        <v>165</v>
      </c>
      <c r="G143" s="76">
        <v>6</v>
      </c>
      <c r="H143" s="76">
        <v>10.199999999999999</v>
      </c>
      <c r="I143" s="76">
        <v>5130</v>
      </c>
      <c r="J143" s="77">
        <v>85030000</v>
      </c>
      <c r="K143" s="77">
        <v>560500</v>
      </c>
      <c r="L143" s="77">
        <v>623100</v>
      </c>
      <c r="M143" s="78">
        <v>128.69999999999999</v>
      </c>
      <c r="N143" s="80">
        <v>2006.7600000000004</v>
      </c>
      <c r="O143" s="80">
        <v>7644000</v>
      </c>
      <c r="P143" s="80">
        <v>92650</v>
      </c>
      <c r="Q143" s="80">
        <v>141700</v>
      </c>
      <c r="R143" s="78">
        <v>38.6</v>
      </c>
      <c r="S143" s="79">
        <v>42.63</v>
      </c>
      <c r="T143" s="80">
        <v>147600</v>
      </c>
      <c r="U143" s="242">
        <v>164281484639.99997</v>
      </c>
      <c r="V143" s="81">
        <v>3432</v>
      </c>
      <c r="W143" s="74">
        <v>8.9</v>
      </c>
      <c r="X143" s="31" t="str">
        <f>IF(C143&lt;=1.2,IF(H143&lt;=100,IF(Calcul!$AG$2=460,"a","b"),IF(Calcul!$AG$2=460,"c","d")),IF(H143&lt;=40,IF(Calcul!$AG$2=460,"a0","a"),IF(Calcul!$AG$2=460,"a","b")))</f>
        <v>a</v>
      </c>
      <c r="Y143" s="31" t="str">
        <f>IF(C143&lt;=1.2,IF(H143&lt;=100,IF(Calcul!$AG$2=460,"a","c"),IF(Calcul!$AG$2=460,"c","d")),IF(H143&lt;=40,IF(Calcul!$AG$2=460,"a0","b"),IF(Calcul!$AG$2=460,"a","c")))</f>
        <v>b</v>
      </c>
      <c r="Z143" s="156">
        <f t="shared" si="4"/>
        <v>311537.58602723188</v>
      </c>
      <c r="AA143" s="31">
        <f t="shared" si="5"/>
        <v>33989.66399999999</v>
      </c>
    </row>
    <row r="144" spans="1:27" ht="13">
      <c r="A144" s="9">
        <v>142</v>
      </c>
      <c r="B144" s="35" t="s">
        <v>923</v>
      </c>
      <c r="C144" s="40">
        <v>2.4714400643604182</v>
      </c>
      <c r="D144" s="76">
        <v>41.9</v>
      </c>
      <c r="E144" s="76">
        <v>307.2</v>
      </c>
      <c r="F144" s="76">
        <v>124.3</v>
      </c>
      <c r="G144" s="76">
        <v>8</v>
      </c>
      <c r="H144" s="76">
        <v>12.1</v>
      </c>
      <c r="I144" s="76">
        <v>5340</v>
      </c>
      <c r="J144" s="77">
        <v>81960000</v>
      </c>
      <c r="K144" s="77">
        <v>533600</v>
      </c>
      <c r="L144" s="77">
        <v>613500</v>
      </c>
      <c r="M144" s="78">
        <v>123.9</v>
      </c>
      <c r="N144" s="80">
        <v>2644.12</v>
      </c>
      <c r="O144" s="80">
        <v>3888000</v>
      </c>
      <c r="P144" s="80">
        <v>62550</v>
      </c>
      <c r="Q144" s="80">
        <v>98410</v>
      </c>
      <c r="R144" s="78">
        <v>27</v>
      </c>
      <c r="S144" s="79">
        <v>47.43</v>
      </c>
      <c r="T144" s="80">
        <v>211800</v>
      </c>
      <c r="U144" s="242">
        <v>84645657719.999985</v>
      </c>
      <c r="V144" s="81">
        <v>3076</v>
      </c>
      <c r="W144" s="74">
        <v>8.9</v>
      </c>
      <c r="X144" s="31" t="str">
        <f>IF(C144&lt;=1.2,IF(H144&lt;=100,IF(Calcul!$AG$2=460,"a","b"),IF(Calcul!$AG$2=460,"c","d")),IF(H144&lt;=40,IF(Calcul!$AG$2=460,"a0","a"),IF(Calcul!$AG$2=460,"a","b")))</f>
        <v>a</v>
      </c>
      <c r="Y144" s="31" t="str">
        <f>IF(C144&lt;=1.2,IF(H144&lt;=100,IF(Calcul!$AG$2=460,"a","c"),IF(Calcul!$AG$2=460,"c","d")),IF(H144&lt;=40,IF(Calcul!$AG$2=460,"a0","b"),IF(Calcul!$AG$2=460,"a","c")))</f>
        <v>b</v>
      </c>
      <c r="Z144" s="156">
        <f t="shared" si="4"/>
        <v>306751.66252723191</v>
      </c>
      <c r="AA144" s="31">
        <f t="shared" si="5"/>
        <v>22362.085624999996</v>
      </c>
    </row>
    <row r="145" spans="1:27" ht="13">
      <c r="A145" s="9">
        <v>143</v>
      </c>
      <c r="B145" s="35" t="s">
        <v>924</v>
      </c>
      <c r="C145" s="40">
        <v>1.8503319251659629</v>
      </c>
      <c r="D145" s="76">
        <v>46.1</v>
      </c>
      <c r="E145" s="76">
        <v>306.60000000000002</v>
      </c>
      <c r="F145" s="76">
        <v>165.7</v>
      </c>
      <c r="G145" s="76">
        <v>6.7</v>
      </c>
      <c r="H145" s="76">
        <v>11.8</v>
      </c>
      <c r="I145" s="76">
        <v>5870</v>
      </c>
      <c r="J145" s="77">
        <v>98990000</v>
      </c>
      <c r="K145" s="77">
        <v>645700</v>
      </c>
      <c r="L145" s="77">
        <v>720000</v>
      </c>
      <c r="M145" s="78">
        <v>129.80000000000001</v>
      </c>
      <c r="N145" s="80">
        <v>2248.58</v>
      </c>
      <c r="O145" s="80">
        <v>8957000</v>
      </c>
      <c r="P145" s="80">
        <v>108100</v>
      </c>
      <c r="Q145" s="80">
        <v>165500</v>
      </c>
      <c r="R145" s="78">
        <v>39</v>
      </c>
      <c r="S145" s="79">
        <v>36.83</v>
      </c>
      <c r="T145" s="80">
        <v>222300</v>
      </c>
      <c r="U145" s="242">
        <v>194606589320.00003</v>
      </c>
      <c r="V145" s="81">
        <v>3973.8999999999996</v>
      </c>
      <c r="W145" s="74">
        <v>8.9</v>
      </c>
      <c r="X145" s="31" t="str">
        <f>IF(C145&lt;=1.2,IF(H145&lt;=100,IF(Calcul!$AG$2=460,"a","b"),IF(Calcul!$AG$2=460,"c","d")),IF(H145&lt;=40,IF(Calcul!$AG$2=460,"a0","a"),IF(Calcul!$AG$2=460,"a","b")))</f>
        <v>a</v>
      </c>
      <c r="Y145" s="31" t="str">
        <f>IF(C145&lt;=1.2,IF(H145&lt;=100,IF(Calcul!$AG$2=460,"a","c"),IF(Calcul!$AG$2=460,"c","d")),IF(H145&lt;=40,IF(Calcul!$AG$2=460,"a0","b"),IF(Calcul!$AG$2=460,"a","c")))</f>
        <v>b</v>
      </c>
      <c r="Z145" s="156">
        <f t="shared" si="4"/>
        <v>360022.89752723195</v>
      </c>
      <c r="AA145" s="31">
        <f t="shared" si="5"/>
        <v>39612.953999999998</v>
      </c>
    </row>
    <row r="146" spans="1:27" ht="13">
      <c r="A146" s="9">
        <v>144</v>
      </c>
      <c r="B146" s="35" t="s">
        <v>925</v>
      </c>
      <c r="C146" s="40">
        <v>2.4820430965682361</v>
      </c>
      <c r="D146" s="76">
        <v>48.1</v>
      </c>
      <c r="E146" s="76">
        <v>311</v>
      </c>
      <c r="F146" s="76">
        <v>125.3</v>
      </c>
      <c r="G146" s="76">
        <v>9</v>
      </c>
      <c r="H146" s="76">
        <v>14</v>
      </c>
      <c r="I146" s="76">
        <v>6120</v>
      </c>
      <c r="J146" s="77">
        <v>95750000</v>
      </c>
      <c r="K146" s="77">
        <v>615700</v>
      </c>
      <c r="L146" s="77">
        <v>710700</v>
      </c>
      <c r="M146" s="78">
        <v>125</v>
      </c>
      <c r="N146" s="80">
        <v>2986.7999999999997</v>
      </c>
      <c r="O146" s="80">
        <v>4610000</v>
      </c>
      <c r="P146" s="80">
        <v>73590</v>
      </c>
      <c r="Q146" s="80">
        <v>116100</v>
      </c>
      <c r="R146" s="78">
        <v>27.4</v>
      </c>
      <c r="S146" s="79">
        <v>40.729999999999997</v>
      </c>
      <c r="T146" s="80">
        <v>318300</v>
      </c>
      <c r="U146" s="242">
        <v>101660872500</v>
      </c>
      <c r="V146" s="81">
        <v>3573</v>
      </c>
      <c r="W146" s="74">
        <v>8.9</v>
      </c>
      <c r="X146" s="31" t="str">
        <f>IF(C146&lt;=1.2,IF(H146&lt;=100,IF(Calcul!$AG$2=460,"a","b"),IF(Calcul!$AG$2=460,"c","d")),IF(H146&lt;=40,IF(Calcul!$AG$2=460,"a0","a"),IF(Calcul!$AG$2=460,"a","b")))</f>
        <v>a</v>
      </c>
      <c r="Y146" s="31" t="str">
        <f>IF(C146&lt;=1.2,IF(H146&lt;=100,IF(Calcul!$AG$2=460,"a","c"),IF(Calcul!$AG$2=460,"c","d")),IF(H146&lt;=40,IF(Calcul!$AG$2=460,"a0","b"),IF(Calcul!$AG$2=460,"a","c")))</f>
        <v>b</v>
      </c>
      <c r="Z146" s="156">
        <f t="shared" si="4"/>
        <v>355341.86102723191</v>
      </c>
      <c r="AA146" s="31">
        <f t="shared" si="5"/>
        <v>26218.237500000003</v>
      </c>
    </row>
    <row r="147" spans="1:27" ht="13">
      <c r="A147" s="9">
        <v>145</v>
      </c>
      <c r="B147" s="35" t="s">
        <v>926</v>
      </c>
      <c r="C147" s="40">
        <v>1.8597962852007188</v>
      </c>
      <c r="D147" s="76">
        <v>54</v>
      </c>
      <c r="E147" s="76">
        <v>310.39999999999998</v>
      </c>
      <c r="F147" s="76">
        <v>166.9</v>
      </c>
      <c r="G147" s="76">
        <v>7.9</v>
      </c>
      <c r="H147" s="76">
        <v>13.7</v>
      </c>
      <c r="I147" s="76">
        <v>6880</v>
      </c>
      <c r="J147" s="77">
        <v>117000000</v>
      </c>
      <c r="K147" s="77">
        <v>753600</v>
      </c>
      <c r="L147" s="77">
        <v>846100</v>
      </c>
      <c r="M147" s="78">
        <v>130.4</v>
      </c>
      <c r="N147" s="80">
        <v>2659.0300000000007</v>
      </c>
      <c r="O147" s="80">
        <v>10630000</v>
      </c>
      <c r="P147" s="80">
        <v>127400</v>
      </c>
      <c r="Q147" s="80">
        <v>195600</v>
      </c>
      <c r="R147" s="78">
        <v>39.299999999999997</v>
      </c>
      <c r="S147" s="79">
        <v>45.73</v>
      </c>
      <c r="T147" s="80">
        <v>348300</v>
      </c>
      <c r="U147" s="242">
        <v>233942090175</v>
      </c>
      <c r="V147" s="81">
        <v>4644.2999999999993</v>
      </c>
      <c r="W147" s="74">
        <v>8.9</v>
      </c>
      <c r="X147" s="31" t="str">
        <f>IF(C147&lt;=1.2,IF(H147&lt;=100,IF(Calcul!$AG$2=460,"a","b"),IF(Calcul!$AG$2=460,"c","d")),IF(H147&lt;=40,IF(Calcul!$AG$2=460,"a0","a"),IF(Calcul!$AG$2=460,"a","b")))</f>
        <v>a</v>
      </c>
      <c r="Y147" s="31" t="str">
        <f>IF(C147&lt;=1.2,IF(H147&lt;=100,IF(Calcul!$AG$2=460,"a","c"),IF(Calcul!$AG$2=460,"c","d")),IF(H147&lt;=40,IF(Calcul!$AG$2=460,"a0","b"),IF(Calcul!$AG$2=460,"a","c")))</f>
        <v>b</v>
      </c>
      <c r="Z147" s="156">
        <f t="shared" si="4"/>
        <v>423037.64902723185</v>
      </c>
      <c r="AA147" s="31">
        <f t="shared" si="5"/>
        <v>46571.642999999996</v>
      </c>
    </row>
    <row r="148" spans="1:27" ht="13">
      <c r="A148" s="9">
        <v>146</v>
      </c>
      <c r="B148" s="35" t="s">
        <v>927</v>
      </c>
      <c r="C148" s="40">
        <v>2.7830940988835726</v>
      </c>
      <c r="D148" s="76">
        <v>33.1</v>
      </c>
      <c r="E148" s="76">
        <v>349</v>
      </c>
      <c r="F148" s="76">
        <v>125.4</v>
      </c>
      <c r="G148" s="76">
        <v>6</v>
      </c>
      <c r="H148" s="76">
        <v>8.5</v>
      </c>
      <c r="I148" s="76">
        <v>4210</v>
      </c>
      <c r="J148" s="77">
        <v>82490000</v>
      </c>
      <c r="K148" s="77">
        <v>472700</v>
      </c>
      <c r="L148" s="77">
        <v>542900</v>
      </c>
      <c r="M148" s="78">
        <v>139.9</v>
      </c>
      <c r="N148" s="80">
        <v>2299.1999999999998</v>
      </c>
      <c r="O148" s="80">
        <v>2802000</v>
      </c>
      <c r="P148" s="80">
        <v>44690</v>
      </c>
      <c r="Q148" s="80">
        <v>70290</v>
      </c>
      <c r="R148" s="78">
        <v>25.8</v>
      </c>
      <c r="S148" s="79">
        <v>34.950000000000003</v>
      </c>
      <c r="T148" s="80">
        <v>87400</v>
      </c>
      <c r="U148" s="242">
        <v>81216145125</v>
      </c>
      <c r="V148" s="81">
        <v>2218</v>
      </c>
      <c r="W148" s="74">
        <v>10</v>
      </c>
      <c r="X148" s="31" t="str">
        <f>IF(C148&lt;=1.2,IF(H148&lt;=100,IF(Calcul!$AG$2=460,"a","b"),IF(Calcul!$AG$2=460,"c","d")),IF(H148&lt;=40,IF(Calcul!$AG$2=460,"a0","a"),IF(Calcul!$AG$2=460,"a","b")))</f>
        <v>a</v>
      </c>
      <c r="Y148" s="31" t="str">
        <f>IF(C148&lt;=1.2,IF(H148&lt;=100,IF(Calcul!$AG$2=460,"a","c"),IF(Calcul!$AG$2=460,"c","d")),IF(H148&lt;=40,IF(Calcul!$AG$2=460,"a0","b"),IF(Calcul!$AG$2=460,"a","c")))</f>
        <v>b</v>
      </c>
      <c r="Z148" s="156">
        <f t="shared" si="4"/>
        <v>271166.40634090785</v>
      </c>
      <c r="AA148" s="31">
        <f t="shared" si="5"/>
        <v>15989.732500000002</v>
      </c>
    </row>
    <row r="149" spans="1:27" ht="13">
      <c r="A149" s="9">
        <v>147</v>
      </c>
      <c r="B149" s="35" t="s">
        <v>928</v>
      </c>
      <c r="C149" s="40">
        <v>2.8047619047619046</v>
      </c>
      <c r="D149" s="76">
        <v>39.1</v>
      </c>
      <c r="E149" s="76">
        <v>353.4</v>
      </c>
      <c r="F149" s="76">
        <v>126</v>
      </c>
      <c r="G149" s="76">
        <v>6.6</v>
      </c>
      <c r="H149" s="76">
        <v>10.7</v>
      </c>
      <c r="I149" s="76">
        <v>4980</v>
      </c>
      <c r="J149" s="77">
        <v>101700000</v>
      </c>
      <c r="K149" s="77">
        <v>575600</v>
      </c>
      <c r="L149" s="77">
        <v>658500</v>
      </c>
      <c r="M149" s="78">
        <v>143</v>
      </c>
      <c r="N149" s="80">
        <v>2568.2200000000003</v>
      </c>
      <c r="O149" s="80">
        <v>3578000</v>
      </c>
      <c r="P149" s="80">
        <v>56800</v>
      </c>
      <c r="Q149" s="80">
        <v>89050</v>
      </c>
      <c r="R149" s="78">
        <v>26.8</v>
      </c>
      <c r="S149" s="79">
        <v>39.950000000000003</v>
      </c>
      <c r="T149" s="80">
        <v>150000</v>
      </c>
      <c r="U149" s="242">
        <v>105053022905</v>
      </c>
      <c r="V149" s="81">
        <v>2788.8</v>
      </c>
      <c r="W149" s="74">
        <v>10</v>
      </c>
      <c r="X149" s="31" t="str">
        <f>IF(C149&lt;=1.2,IF(H149&lt;=100,IF(Calcul!$AG$2=460,"a","b"),IF(Calcul!$AG$2=460,"c","d")),IF(H149&lt;=40,IF(Calcul!$AG$2=460,"a0","a"),IF(Calcul!$AG$2=460,"a","b")))</f>
        <v>a</v>
      </c>
      <c r="Y149" s="31" t="str">
        <f>IF(C149&lt;=1.2,IF(H149&lt;=100,IF(Calcul!$AG$2=460,"a","c"),IF(Calcul!$AG$2=460,"c","d")),IF(H149&lt;=40,IF(Calcul!$AG$2=460,"a0","b"),IF(Calcul!$AG$2=460,"a","c")))</f>
        <v>b</v>
      </c>
      <c r="Z149" s="156">
        <f t="shared" si="4"/>
        <v>328977.80134090781</v>
      </c>
      <c r="AA149" s="31">
        <f t="shared" si="5"/>
        <v>20287.788499999999</v>
      </c>
    </row>
    <row r="150" spans="1:27" ht="13">
      <c r="A150" s="9">
        <v>148</v>
      </c>
      <c r="B150" s="35" t="s">
        <v>929</v>
      </c>
      <c r="C150" s="40">
        <v>2.0537697253068381</v>
      </c>
      <c r="D150" s="76">
        <v>45</v>
      </c>
      <c r="E150" s="76">
        <v>351.4</v>
      </c>
      <c r="F150" s="76">
        <v>171.1</v>
      </c>
      <c r="G150" s="76">
        <v>7</v>
      </c>
      <c r="H150" s="76">
        <v>9.6999999999999993</v>
      </c>
      <c r="I150" s="76">
        <v>5730</v>
      </c>
      <c r="J150" s="77">
        <v>120700000</v>
      </c>
      <c r="K150" s="77">
        <v>686700</v>
      </c>
      <c r="L150" s="77">
        <v>774600</v>
      </c>
      <c r="M150" s="78">
        <v>145.1</v>
      </c>
      <c r="N150" s="80">
        <v>2672.56</v>
      </c>
      <c r="O150" s="80">
        <v>8111000</v>
      </c>
      <c r="P150" s="80">
        <v>94810</v>
      </c>
      <c r="Q150" s="80">
        <v>146600</v>
      </c>
      <c r="R150" s="78">
        <v>37.6</v>
      </c>
      <c r="S150" s="79">
        <v>38.35</v>
      </c>
      <c r="T150" s="80">
        <v>158000</v>
      </c>
      <c r="U150" s="242">
        <v>236757839197.50003</v>
      </c>
      <c r="V150" s="81">
        <v>3406</v>
      </c>
      <c r="W150" s="74">
        <v>10</v>
      </c>
      <c r="X150" s="31" t="str">
        <f>IF(C150&lt;=1.2,IF(H150&lt;=100,IF(Calcul!$AG$2=460,"a","b"),IF(Calcul!$AG$2=460,"c","d")),IF(H150&lt;=40,IF(Calcul!$AG$2=460,"a0","a"),IF(Calcul!$AG$2=460,"a","b")))</f>
        <v>a</v>
      </c>
      <c r="Y150" s="31" t="str">
        <f>IF(C150&lt;=1.2,IF(H150&lt;=100,IF(Calcul!$AG$2=460,"a","c"),IF(Calcul!$AG$2=460,"c","d")),IF(H150&lt;=40,IF(Calcul!$AG$2=460,"a0","b"),IF(Calcul!$AG$2=460,"a","c")))</f>
        <v>b</v>
      </c>
      <c r="Z150" s="156">
        <f t="shared" si="4"/>
        <v>387029.55084090785</v>
      </c>
      <c r="AA150" s="31">
        <f t="shared" si="5"/>
        <v>34612.279624999996</v>
      </c>
    </row>
    <row r="151" spans="1:27" ht="13">
      <c r="A151" s="9">
        <v>149</v>
      </c>
      <c r="B151" s="35" t="s">
        <v>930</v>
      </c>
      <c r="C151" s="40">
        <v>2.0699708454810497</v>
      </c>
      <c r="D151" s="76">
        <v>51</v>
      </c>
      <c r="E151" s="76">
        <v>355</v>
      </c>
      <c r="F151" s="76">
        <v>171.5</v>
      </c>
      <c r="G151" s="76">
        <v>7.4</v>
      </c>
      <c r="H151" s="76">
        <v>11.5</v>
      </c>
      <c r="I151" s="76">
        <v>6490</v>
      </c>
      <c r="J151" s="77">
        <v>141400000</v>
      </c>
      <c r="K151" s="77">
        <v>796400</v>
      </c>
      <c r="L151" s="77">
        <v>896000</v>
      </c>
      <c r="M151" s="78">
        <v>147.6</v>
      </c>
      <c r="N151" s="80">
        <v>2860.6</v>
      </c>
      <c r="O151" s="80">
        <v>9683000</v>
      </c>
      <c r="P151" s="80">
        <v>112900</v>
      </c>
      <c r="Q151" s="80">
        <v>174200</v>
      </c>
      <c r="R151" s="78">
        <v>38.6</v>
      </c>
      <c r="S151" s="79">
        <v>42.35</v>
      </c>
      <c r="T151" s="80">
        <v>237000</v>
      </c>
      <c r="U151" s="242">
        <v>285629739187.5</v>
      </c>
      <c r="V151" s="81">
        <v>4033.2</v>
      </c>
      <c r="W151" s="74">
        <v>10</v>
      </c>
      <c r="X151" s="31" t="str">
        <f>IF(C151&lt;=1.2,IF(H151&lt;=100,IF(Calcul!$AG$2=460,"a","b"),IF(Calcul!$AG$2=460,"c","d")),IF(H151&lt;=40,IF(Calcul!$AG$2=460,"a0","a"),IF(Calcul!$AG$2=460,"a","b")))</f>
        <v>a</v>
      </c>
      <c r="Y151" s="31" t="str">
        <f>IF(C151&lt;=1.2,IF(H151&lt;=100,IF(Calcul!$AG$2=460,"a","c"),IF(Calcul!$AG$2=460,"c","d")),IF(H151&lt;=40,IF(Calcul!$AG$2=460,"a0","b"),IF(Calcul!$AG$2=460,"a","c")))</f>
        <v>b</v>
      </c>
      <c r="Z151" s="156">
        <f t="shared" si="4"/>
        <v>447720.06884090789</v>
      </c>
      <c r="AA151" s="31">
        <f t="shared" si="5"/>
        <v>41200.891874999994</v>
      </c>
    </row>
    <row r="152" spans="1:27" ht="13">
      <c r="A152" s="9">
        <v>150</v>
      </c>
      <c r="B152" s="35" t="s">
        <v>931</v>
      </c>
      <c r="C152" s="40">
        <v>2.0789779326364695</v>
      </c>
      <c r="D152" s="76">
        <v>57</v>
      </c>
      <c r="E152" s="76">
        <v>358</v>
      </c>
      <c r="F152" s="76">
        <v>172.2</v>
      </c>
      <c r="G152" s="76">
        <v>8.1</v>
      </c>
      <c r="H152" s="76">
        <v>13</v>
      </c>
      <c r="I152" s="76">
        <v>7260</v>
      </c>
      <c r="J152" s="77">
        <v>160400000</v>
      </c>
      <c r="K152" s="77">
        <v>896000</v>
      </c>
      <c r="L152" s="77">
        <v>1010000</v>
      </c>
      <c r="M152" s="78">
        <v>148.69999999999999</v>
      </c>
      <c r="N152" s="80">
        <v>3148.1000000000004</v>
      </c>
      <c r="O152" s="80">
        <v>11080000</v>
      </c>
      <c r="P152" s="80">
        <v>128700</v>
      </c>
      <c r="Q152" s="80">
        <v>198800</v>
      </c>
      <c r="R152" s="78">
        <v>39.1</v>
      </c>
      <c r="S152" s="79">
        <v>46.05</v>
      </c>
      <c r="T152" s="80">
        <v>333000</v>
      </c>
      <c r="U152" s="242">
        <v>329699250000</v>
      </c>
      <c r="V152" s="81">
        <v>4570.8</v>
      </c>
      <c r="W152" s="74">
        <v>10</v>
      </c>
      <c r="X152" s="31" t="str">
        <f>IF(C152&lt;=1.2,IF(H152&lt;=100,IF(Calcul!$AG$2=460,"a","b"),IF(Calcul!$AG$2=460,"c","d")),IF(H152&lt;=40,IF(Calcul!$AG$2=460,"a0","a"),IF(Calcul!$AG$2=460,"a","b")))</f>
        <v>a</v>
      </c>
      <c r="Y152" s="31" t="str">
        <f>IF(C152&lt;=1.2,IF(H152&lt;=100,IF(Calcul!$AG$2=460,"a","c"),IF(Calcul!$AG$2=460,"c","d")),IF(H152&lt;=40,IF(Calcul!$AG$2=460,"a0","b"),IF(Calcul!$AG$2=460,"a","c")))</f>
        <v>b</v>
      </c>
      <c r="Z152" s="156">
        <f t="shared" si="4"/>
        <v>504789.23134090786</v>
      </c>
      <c r="AA152" s="31">
        <f t="shared" si="5"/>
        <v>46902.748749999992</v>
      </c>
    </row>
    <row r="153" spans="1:27" ht="13">
      <c r="A153" s="9">
        <v>151</v>
      </c>
      <c r="B153" s="35" t="s">
        <v>932</v>
      </c>
      <c r="C153" s="40">
        <v>2.0981524249422634</v>
      </c>
      <c r="D153" s="76">
        <v>67.099999999999994</v>
      </c>
      <c r="E153" s="76">
        <v>363.4</v>
      </c>
      <c r="F153" s="76">
        <v>173.2</v>
      </c>
      <c r="G153" s="76">
        <v>9.1</v>
      </c>
      <c r="H153" s="76">
        <v>15.7</v>
      </c>
      <c r="I153" s="76">
        <v>8550</v>
      </c>
      <c r="J153" s="77">
        <v>194600000</v>
      </c>
      <c r="K153" s="77">
        <v>1071000</v>
      </c>
      <c r="L153" s="77">
        <v>1211000</v>
      </c>
      <c r="M153" s="78">
        <v>150.9</v>
      </c>
      <c r="N153" s="80">
        <v>3568.3900000000003</v>
      </c>
      <c r="O153" s="80">
        <v>13620000</v>
      </c>
      <c r="P153" s="80">
        <v>157300</v>
      </c>
      <c r="Q153" s="80">
        <v>243000</v>
      </c>
      <c r="R153" s="78">
        <v>39.9</v>
      </c>
      <c r="S153" s="79">
        <v>52.45</v>
      </c>
      <c r="T153" s="80">
        <v>555000</v>
      </c>
      <c r="U153" s="242">
        <v>411648462450</v>
      </c>
      <c r="V153" s="81">
        <v>5528.8</v>
      </c>
      <c r="W153" s="74">
        <v>10</v>
      </c>
      <c r="X153" s="31" t="str">
        <f>IF(C153&lt;=1.2,IF(H153&lt;=100,IF(Calcul!$AG$2=460,"a","b"),IF(Calcul!$AG$2=460,"c","d")),IF(H153&lt;=40,IF(Calcul!$AG$2=460,"a0","a"),IF(Calcul!$AG$2=460,"a","b")))</f>
        <v>a</v>
      </c>
      <c r="Y153" s="31" t="str">
        <f>IF(C153&lt;=1.2,IF(H153&lt;=100,IF(Calcul!$AG$2=460,"a","c"),IF(Calcul!$AG$2=460,"c","d")),IF(H153&lt;=40,IF(Calcul!$AG$2=460,"a0","b"),IF(Calcul!$AG$2=460,"a","c")))</f>
        <v>b</v>
      </c>
      <c r="Z153" s="156">
        <f t="shared" si="4"/>
        <v>605148.60534090782</v>
      </c>
      <c r="AA153" s="31">
        <f t="shared" si="5"/>
        <v>57209.681374999993</v>
      </c>
    </row>
    <row r="154" spans="1:27" ht="13">
      <c r="A154" s="9">
        <v>152</v>
      </c>
      <c r="B154" s="35" t="s">
        <v>933</v>
      </c>
      <c r="C154" s="40">
        <v>2.8067700987306061</v>
      </c>
      <c r="D154" s="76">
        <v>39</v>
      </c>
      <c r="E154" s="76">
        <v>398</v>
      </c>
      <c r="F154" s="76">
        <v>141.80000000000001</v>
      </c>
      <c r="G154" s="76">
        <v>6.4</v>
      </c>
      <c r="H154" s="76">
        <v>8.6</v>
      </c>
      <c r="I154" s="76">
        <v>4970</v>
      </c>
      <c r="J154" s="77">
        <v>125100000</v>
      </c>
      <c r="K154" s="77">
        <v>628600</v>
      </c>
      <c r="L154" s="77">
        <v>723700</v>
      </c>
      <c r="M154" s="78">
        <v>158.69999999999999</v>
      </c>
      <c r="N154" s="80">
        <v>2758.08</v>
      </c>
      <c r="O154" s="80">
        <v>4098000</v>
      </c>
      <c r="P154" s="80">
        <v>57800</v>
      </c>
      <c r="Q154" s="80">
        <v>90850</v>
      </c>
      <c r="R154" s="78">
        <v>28.7</v>
      </c>
      <c r="S154" s="79">
        <v>35.549999999999997</v>
      </c>
      <c r="T154" s="80">
        <v>106000</v>
      </c>
      <c r="U154" s="242">
        <v>155347352820</v>
      </c>
      <c r="V154" s="81">
        <v>2532.8799999999997</v>
      </c>
      <c r="W154" s="74">
        <v>10</v>
      </c>
      <c r="X154" s="31" t="str">
        <f>IF(C154&lt;=1.2,IF(H154&lt;=100,IF(Calcul!$AG$2=460,"a","b"),IF(Calcul!$AG$2=460,"c","d")),IF(H154&lt;=40,IF(Calcul!$AG$2=460,"a0","a"),IF(Calcul!$AG$2=460,"a","b")))</f>
        <v>a</v>
      </c>
      <c r="Y154" s="31" t="str">
        <f>IF(C154&lt;=1.2,IF(H154&lt;=100,IF(Calcul!$AG$2=460,"a","c"),IF(Calcul!$AG$2=460,"c","d")),IF(H154&lt;=40,IF(Calcul!$AG$2=460,"a0","b"),IF(Calcul!$AG$2=460,"a","c")))</f>
        <v>b</v>
      </c>
      <c r="Z154" s="156">
        <f t="shared" si="4"/>
        <v>361515.8563035283</v>
      </c>
      <c r="AA154" s="31">
        <f t="shared" si="5"/>
        <v>20866.050999999999</v>
      </c>
    </row>
    <row r="155" spans="1:27" ht="13">
      <c r="A155" s="9">
        <v>153</v>
      </c>
      <c r="B155" s="35" t="s">
        <v>934</v>
      </c>
      <c r="C155" s="40">
        <v>2.8354430379746836</v>
      </c>
      <c r="D155" s="76">
        <v>46</v>
      </c>
      <c r="E155" s="76">
        <v>403.2</v>
      </c>
      <c r="F155" s="76">
        <v>142.19999999999999</v>
      </c>
      <c r="G155" s="76">
        <v>6.8</v>
      </c>
      <c r="H155" s="76">
        <v>11.2</v>
      </c>
      <c r="I155" s="76">
        <v>5860</v>
      </c>
      <c r="J155" s="77">
        <v>156900000</v>
      </c>
      <c r="K155" s="77">
        <v>778000</v>
      </c>
      <c r="L155" s="77">
        <v>887600</v>
      </c>
      <c r="M155" s="78">
        <v>163.5</v>
      </c>
      <c r="N155" s="80">
        <v>2974.88</v>
      </c>
      <c r="O155" s="80">
        <v>5381000</v>
      </c>
      <c r="P155" s="80">
        <v>75680</v>
      </c>
      <c r="Q155" s="80">
        <v>118100</v>
      </c>
      <c r="R155" s="78">
        <v>30.3</v>
      </c>
      <c r="S155" s="79">
        <v>41.15</v>
      </c>
      <c r="T155" s="80">
        <v>190000</v>
      </c>
      <c r="U155" s="242">
        <v>206716496000</v>
      </c>
      <c r="V155" s="81">
        <v>3270.56</v>
      </c>
      <c r="W155" s="74">
        <v>10</v>
      </c>
      <c r="X155" s="31" t="str">
        <f>IF(C155&lt;=1.2,IF(H155&lt;=100,IF(Calcul!$AG$2=460,"a","b"),IF(Calcul!$AG$2=460,"c","d")),IF(H155&lt;=40,IF(Calcul!$AG$2=460,"a0","a"),IF(Calcul!$AG$2=460,"a","b")))</f>
        <v>a</v>
      </c>
      <c r="Y155" s="31" t="str">
        <f>IF(C155&lt;=1.2,IF(H155&lt;=100,IF(Calcul!$AG$2=460,"a","c"),IF(Calcul!$AG$2=460,"c","d")),IF(H155&lt;=40,IF(Calcul!$AG$2=460,"a0","b"),IF(Calcul!$AG$2=460,"a","c")))</f>
        <v>b</v>
      </c>
      <c r="Z155" s="156">
        <f t="shared" si="4"/>
        <v>443490.97230352834</v>
      </c>
      <c r="AA155" s="31">
        <f t="shared" si="5"/>
        <v>27303.639999999992</v>
      </c>
    </row>
    <row r="156" spans="1:27" ht="13">
      <c r="A156" s="9">
        <v>154</v>
      </c>
      <c r="B156" s="35" t="s">
        <v>935</v>
      </c>
      <c r="C156" s="40">
        <v>2.8374040474528961</v>
      </c>
      <c r="D156" s="76">
        <v>53.3</v>
      </c>
      <c r="E156" s="76">
        <v>406.6</v>
      </c>
      <c r="F156" s="76">
        <v>143.30000000000001</v>
      </c>
      <c r="G156" s="76">
        <v>7.9</v>
      </c>
      <c r="H156" s="76">
        <v>12.9</v>
      </c>
      <c r="I156" s="76">
        <v>6800</v>
      </c>
      <c r="J156" s="77">
        <v>182800000</v>
      </c>
      <c r="K156" s="77">
        <v>899300</v>
      </c>
      <c r="L156" s="77">
        <v>1031000</v>
      </c>
      <c r="M156" s="78">
        <v>164</v>
      </c>
      <c r="N156" s="80">
        <v>3462.7699999999995</v>
      </c>
      <c r="O156" s="80">
        <v>6346000</v>
      </c>
      <c r="P156" s="80">
        <v>88570</v>
      </c>
      <c r="Q156" s="80">
        <v>138900</v>
      </c>
      <c r="R156" s="78">
        <v>30.6</v>
      </c>
      <c r="S156" s="79">
        <v>45.65</v>
      </c>
      <c r="T156" s="80">
        <v>290000</v>
      </c>
      <c r="U156" s="242">
        <v>245907008185.00006</v>
      </c>
      <c r="V156" s="81">
        <v>3791.68</v>
      </c>
      <c r="W156" s="74">
        <v>10</v>
      </c>
      <c r="X156" s="31" t="str">
        <f>IF(C156&lt;=1.2,IF(H156&lt;=100,IF(Calcul!$AG$2=460,"a","b"),IF(Calcul!$AG$2=460,"c","d")),IF(H156&lt;=40,IF(Calcul!$AG$2=460,"a0","a"),IF(Calcul!$AG$2=460,"a","b")))</f>
        <v>a</v>
      </c>
      <c r="Y156" s="31" t="str">
        <f>IF(C156&lt;=1.2,IF(H156&lt;=100,IF(Calcul!$AG$2=460,"a","c"),IF(Calcul!$AG$2=460,"c","d")),IF(H156&lt;=40,IF(Calcul!$AG$2=460,"a0","b"),IF(Calcul!$AG$2=460,"a","c")))</f>
        <v>b</v>
      </c>
      <c r="Z156" s="156">
        <f t="shared" si="4"/>
        <v>515163.2248035284</v>
      </c>
      <c r="AA156" s="31">
        <f t="shared" si="5"/>
        <v>31857.324000000008</v>
      </c>
    </row>
    <row r="157" spans="1:27" ht="13">
      <c r="A157" s="9">
        <v>155</v>
      </c>
      <c r="B157" s="35" t="s">
        <v>936</v>
      </c>
      <c r="C157" s="40">
        <v>2.2656162070906025</v>
      </c>
      <c r="D157" s="76">
        <v>54.1</v>
      </c>
      <c r="E157" s="76">
        <v>402.6</v>
      </c>
      <c r="F157" s="76">
        <v>177.7</v>
      </c>
      <c r="G157" s="76">
        <v>7.7</v>
      </c>
      <c r="H157" s="76">
        <v>10.9</v>
      </c>
      <c r="I157" s="76">
        <v>6900</v>
      </c>
      <c r="J157" s="77">
        <v>187200000</v>
      </c>
      <c r="K157" s="77">
        <v>930000</v>
      </c>
      <c r="L157" s="77">
        <v>1055000</v>
      </c>
      <c r="M157" s="78">
        <v>164.8</v>
      </c>
      <c r="N157" s="80">
        <v>3328.07</v>
      </c>
      <c r="O157" s="80">
        <v>10210000</v>
      </c>
      <c r="P157" s="80">
        <v>114900</v>
      </c>
      <c r="Q157" s="80">
        <v>178300</v>
      </c>
      <c r="R157" s="78">
        <v>38.5</v>
      </c>
      <c r="S157" s="79">
        <v>41.45</v>
      </c>
      <c r="T157" s="80">
        <v>230000</v>
      </c>
      <c r="U157" s="242">
        <v>391627241725.00012</v>
      </c>
      <c r="V157" s="81">
        <v>3967.8399999999997</v>
      </c>
      <c r="W157" s="74">
        <v>10</v>
      </c>
      <c r="X157" s="31" t="str">
        <f>IF(C157&lt;=1.2,IF(H157&lt;=100,IF(Calcul!$AG$2=460,"a","b"),IF(Calcul!$AG$2=460,"c","d")),IF(H157&lt;=40,IF(Calcul!$AG$2=460,"a0","a"),IF(Calcul!$AG$2=460,"a","b")))</f>
        <v>a</v>
      </c>
      <c r="Y157" s="31" t="str">
        <f>IF(C157&lt;=1.2,IF(H157&lt;=100,IF(Calcul!$AG$2=460,"a","c"),IF(Calcul!$AG$2=460,"c","d")),IF(H157&lt;=40,IF(Calcul!$AG$2=460,"a0","b"),IF(Calcul!$AG$2=460,"a","c")))</f>
        <v>b</v>
      </c>
      <c r="Z157" s="156">
        <f t="shared" si="4"/>
        <v>526994.7448035283</v>
      </c>
      <c r="AA157" s="31">
        <f t="shared" si="5"/>
        <v>41978.625</v>
      </c>
    </row>
    <row r="158" spans="1:27" ht="13">
      <c r="A158" s="9">
        <v>156</v>
      </c>
      <c r="B158" s="35" t="s">
        <v>937</v>
      </c>
      <c r="C158" s="40">
        <v>2.2844294547498594</v>
      </c>
      <c r="D158" s="76">
        <v>60.1</v>
      </c>
      <c r="E158" s="76">
        <v>406.4</v>
      </c>
      <c r="F158" s="76">
        <v>177.9</v>
      </c>
      <c r="G158" s="76">
        <v>7.9</v>
      </c>
      <c r="H158" s="76">
        <v>12.8</v>
      </c>
      <c r="I158" s="76">
        <v>7650</v>
      </c>
      <c r="J158" s="77">
        <v>216000000</v>
      </c>
      <c r="K158" s="77">
        <v>1063000</v>
      </c>
      <c r="L158" s="77">
        <v>1199000</v>
      </c>
      <c r="M158" s="78">
        <v>168</v>
      </c>
      <c r="N158" s="80">
        <v>3452.8799999999992</v>
      </c>
      <c r="O158" s="80">
        <v>12030000</v>
      </c>
      <c r="P158" s="80">
        <v>135300</v>
      </c>
      <c r="Q158" s="80">
        <v>209000</v>
      </c>
      <c r="R158" s="78">
        <v>39.700000000000003</v>
      </c>
      <c r="S158" s="79">
        <v>45.45</v>
      </c>
      <c r="T158" s="80">
        <v>332000</v>
      </c>
      <c r="U158" s="242">
        <v>465924787199.99988</v>
      </c>
      <c r="V158" s="81">
        <v>4641.68</v>
      </c>
      <c r="W158" s="74">
        <v>10</v>
      </c>
      <c r="X158" s="31" t="str">
        <f>IF(C158&lt;=1.2,IF(H158&lt;=100,IF(Calcul!$AG$2=460,"a","b"),IF(Calcul!$AG$2=460,"c","d")),IF(H158&lt;=40,IF(Calcul!$AG$2=460,"a0","a"),IF(Calcul!$AG$2=460,"a","b")))</f>
        <v>a</v>
      </c>
      <c r="Y158" s="31" t="str">
        <f>IF(C158&lt;=1.2,IF(H158&lt;=100,IF(Calcul!$AG$2=460,"a","c"),IF(Calcul!$AG$2=460,"c","d")),IF(H158&lt;=40,IF(Calcul!$AG$2=460,"a0","b"),IF(Calcul!$AG$2=460,"a","c")))</f>
        <v>b</v>
      </c>
      <c r="Z158" s="156">
        <f t="shared" si="4"/>
        <v>599409.43630352826</v>
      </c>
      <c r="AA158" s="31">
        <f t="shared" si="5"/>
        <v>49392.000000000007</v>
      </c>
    </row>
    <row r="159" spans="1:27" ht="13">
      <c r="A159" s="9">
        <v>157</v>
      </c>
      <c r="B159" s="35" t="s">
        <v>938</v>
      </c>
      <c r="C159" s="40">
        <v>2.2897091722595078</v>
      </c>
      <c r="D159" s="76">
        <v>67.099999999999994</v>
      </c>
      <c r="E159" s="76">
        <v>409.4</v>
      </c>
      <c r="F159" s="76">
        <v>178.8</v>
      </c>
      <c r="G159" s="76">
        <v>8.8000000000000007</v>
      </c>
      <c r="H159" s="76">
        <v>14.3</v>
      </c>
      <c r="I159" s="76">
        <v>8550</v>
      </c>
      <c r="J159" s="77">
        <v>243300000</v>
      </c>
      <c r="K159" s="77">
        <v>1189000</v>
      </c>
      <c r="L159" s="77">
        <v>1346000</v>
      </c>
      <c r="M159" s="78">
        <v>168.7</v>
      </c>
      <c r="N159" s="80">
        <v>3848.16</v>
      </c>
      <c r="O159" s="80">
        <v>13650000</v>
      </c>
      <c r="P159" s="80">
        <v>152700</v>
      </c>
      <c r="Q159" s="80">
        <v>236600</v>
      </c>
      <c r="R159" s="78">
        <v>39.9</v>
      </c>
      <c r="S159" s="79">
        <v>49.35</v>
      </c>
      <c r="T159" s="80">
        <v>460000</v>
      </c>
      <c r="U159" s="242">
        <v>532704934124.99994</v>
      </c>
      <c r="V159" s="81">
        <v>5198.96</v>
      </c>
      <c r="W159" s="74">
        <v>10</v>
      </c>
      <c r="X159" s="31" t="str">
        <f>IF(C159&lt;=1.2,IF(H159&lt;=100,IF(Calcul!$AG$2=460,"a","b"),IF(Calcul!$AG$2=460,"c","d")),IF(H159&lt;=40,IF(Calcul!$AG$2=460,"a0","a"),IF(Calcul!$AG$2=460,"a","b")))</f>
        <v>a</v>
      </c>
      <c r="Y159" s="31" t="str">
        <f>IF(C159&lt;=1.2,IF(H159&lt;=100,IF(Calcul!$AG$2=460,"a","c"),IF(Calcul!$AG$2=460,"c","d")),IF(H159&lt;=40,IF(Calcul!$AG$2=460,"a0","b"),IF(Calcul!$AG$2=460,"a","c")))</f>
        <v>b</v>
      </c>
      <c r="Z159" s="156">
        <f t="shared" si="4"/>
        <v>672689.43430352828</v>
      </c>
      <c r="AA159" s="31">
        <f t="shared" si="5"/>
        <v>55662.750000000007</v>
      </c>
    </row>
    <row r="160" spans="1:27" ht="13">
      <c r="A160" s="9">
        <v>158</v>
      </c>
      <c r="B160" s="35" t="s">
        <v>939</v>
      </c>
      <c r="C160" s="40">
        <v>2.2997214484679667</v>
      </c>
      <c r="D160" s="76">
        <v>74.2</v>
      </c>
      <c r="E160" s="76">
        <v>412.8</v>
      </c>
      <c r="F160" s="76">
        <v>179.5</v>
      </c>
      <c r="G160" s="76">
        <v>9.5</v>
      </c>
      <c r="H160" s="76">
        <v>16</v>
      </c>
      <c r="I160" s="76">
        <v>9450</v>
      </c>
      <c r="J160" s="77">
        <v>273100000</v>
      </c>
      <c r="K160" s="77">
        <v>1323000</v>
      </c>
      <c r="L160" s="77">
        <v>1501000</v>
      </c>
      <c r="M160" s="78">
        <v>170</v>
      </c>
      <c r="N160" s="80">
        <v>4178</v>
      </c>
      <c r="O160" s="80">
        <v>15450000</v>
      </c>
      <c r="P160" s="80">
        <v>172200</v>
      </c>
      <c r="Q160" s="80">
        <v>267000</v>
      </c>
      <c r="R160" s="78">
        <v>40.4</v>
      </c>
      <c r="S160" s="79">
        <v>53.45</v>
      </c>
      <c r="T160" s="80">
        <v>626000</v>
      </c>
      <c r="U160" s="242">
        <v>608151552000.00012</v>
      </c>
      <c r="V160" s="81">
        <v>5832.4</v>
      </c>
      <c r="W160" s="74">
        <v>10</v>
      </c>
      <c r="X160" s="31" t="str">
        <f>IF(C160&lt;=1.2,IF(H160&lt;=100,IF(Calcul!$AG$2=460,"a","b"),IF(Calcul!$AG$2=460,"c","d")),IF(H160&lt;=40,IF(Calcul!$AG$2=460,"a0","a"),IF(Calcul!$AG$2=460,"a","b")))</f>
        <v>a</v>
      </c>
      <c r="Y160" s="31" t="str">
        <f>IF(C160&lt;=1.2,IF(H160&lt;=100,IF(Calcul!$AG$2=460,"a","c"),IF(Calcul!$AG$2=460,"c","d")),IF(H160&lt;=40,IF(Calcul!$AG$2=460,"a0","b"),IF(Calcul!$AG$2=460,"a","c")))</f>
        <v>b</v>
      </c>
      <c r="Z160" s="156">
        <f t="shared" si="4"/>
        <v>750078.74830352841</v>
      </c>
      <c r="AA160" s="31">
        <f t="shared" si="5"/>
        <v>62700</v>
      </c>
    </row>
    <row r="161" spans="1:27" ht="13">
      <c r="A161" s="9">
        <v>159</v>
      </c>
      <c r="B161" s="35" t="s">
        <v>940</v>
      </c>
      <c r="C161" s="40">
        <v>2.3038674033149169</v>
      </c>
      <c r="D161" s="76">
        <v>85</v>
      </c>
      <c r="E161" s="76">
        <v>417</v>
      </c>
      <c r="F161" s="76">
        <v>181</v>
      </c>
      <c r="G161" s="76">
        <v>10.9</v>
      </c>
      <c r="H161" s="76">
        <v>18.2</v>
      </c>
      <c r="I161" s="76">
        <v>10820</v>
      </c>
      <c r="J161" s="77">
        <v>315300000</v>
      </c>
      <c r="K161" s="77">
        <v>1512000</v>
      </c>
      <c r="L161" s="77">
        <v>1725000</v>
      </c>
      <c r="M161" s="78">
        <v>170.6</v>
      </c>
      <c r="N161" s="80">
        <v>4793.9800000000005</v>
      </c>
      <c r="O161" s="80">
        <v>18030000</v>
      </c>
      <c r="P161" s="80">
        <v>199300</v>
      </c>
      <c r="Q161" s="80">
        <v>310100</v>
      </c>
      <c r="R161" s="78">
        <v>40.799999999999997</v>
      </c>
      <c r="S161" s="79">
        <v>59.02</v>
      </c>
      <c r="T161" s="80">
        <v>924000</v>
      </c>
      <c r="U161" s="242">
        <v>716879290800</v>
      </c>
      <c r="V161" s="81">
        <v>6671.46</v>
      </c>
      <c r="W161" s="74">
        <v>10</v>
      </c>
      <c r="X161" s="31" t="str">
        <f>IF(C161&lt;=1.2,IF(H161&lt;=100,IF(Calcul!$AG$2=460,"a","b"),IF(Calcul!$AG$2=460,"c","d")),IF(H161&lt;=40,IF(Calcul!$AG$2=460,"a0","a"),IF(Calcul!$AG$2=460,"a","b")))</f>
        <v>a</v>
      </c>
      <c r="Y161" s="31" t="str">
        <f>IF(C161&lt;=1.2,IF(H161&lt;=100,IF(Calcul!$AG$2=460,"a","c"),IF(Calcul!$AG$2=460,"c","d")),IF(H161&lt;=40,IF(Calcul!$AG$2=460,"a0","b"),IF(Calcul!$AG$2=460,"a","c")))</f>
        <v>b</v>
      </c>
      <c r="Z161" s="156">
        <f t="shared" si="4"/>
        <v>862302.16676679626</v>
      </c>
      <c r="AA161" s="31">
        <f t="shared" si="5"/>
        <v>72359.082249999992</v>
      </c>
    </row>
    <row r="162" spans="1:27" ht="13">
      <c r="A162" s="9">
        <v>160</v>
      </c>
      <c r="B162" s="35" t="s">
        <v>941</v>
      </c>
      <c r="C162" s="40">
        <v>2.9514435695538057</v>
      </c>
      <c r="D162" s="76">
        <v>52.3</v>
      </c>
      <c r="E162" s="76">
        <v>449.8</v>
      </c>
      <c r="F162" s="76">
        <v>152.4</v>
      </c>
      <c r="G162" s="76">
        <v>7.6</v>
      </c>
      <c r="H162" s="76">
        <v>10.9</v>
      </c>
      <c r="I162" s="76">
        <v>6660</v>
      </c>
      <c r="J162" s="77">
        <v>213700000</v>
      </c>
      <c r="K162" s="77">
        <v>950000</v>
      </c>
      <c r="L162" s="77">
        <v>1096000</v>
      </c>
      <c r="M162" s="78">
        <v>179.1</v>
      </c>
      <c r="N162" s="80">
        <v>3638.52</v>
      </c>
      <c r="O162" s="80">
        <v>6450000</v>
      </c>
      <c r="P162" s="80">
        <v>84640</v>
      </c>
      <c r="Q162" s="80">
        <v>133300</v>
      </c>
      <c r="R162" s="78">
        <v>31.1</v>
      </c>
      <c r="S162" s="79">
        <v>41.35</v>
      </c>
      <c r="T162" s="80">
        <v>213000</v>
      </c>
      <c r="U162" s="242">
        <v>310621051125.00006</v>
      </c>
      <c r="V162" s="81">
        <v>3407.2000000000003</v>
      </c>
      <c r="W162" s="74">
        <v>10</v>
      </c>
      <c r="X162" s="31" t="str">
        <f>IF(C162&lt;=1.2,IF(H162&lt;=100,IF(Calcul!$AG$2=460,"a","b"),IF(Calcul!$AG$2=460,"c","d")),IF(H162&lt;=40,IF(Calcul!$AG$2=460,"a0","a"),IF(Calcul!$AG$2=460,"a","b")))</f>
        <v>a</v>
      </c>
      <c r="Y162" s="31" t="str">
        <f>IF(C162&lt;=1.2,IF(H162&lt;=100,IF(Calcul!$AG$2=460,"a","c"),IF(Calcul!$AG$2=460,"c","d")),IF(H162&lt;=40,IF(Calcul!$AG$2=460,"a0","b"),IF(Calcul!$AG$2=460,"a","c")))</f>
        <v>b</v>
      </c>
      <c r="Z162" s="156">
        <f t="shared" si="4"/>
        <v>547655.47097229236</v>
      </c>
      <c r="AA162" s="31">
        <f t="shared" si="5"/>
        <v>30607.200000000004</v>
      </c>
    </row>
    <row r="163" spans="1:27" ht="13">
      <c r="A163" s="9">
        <v>161</v>
      </c>
      <c r="B163" s="35" t="s">
        <v>942</v>
      </c>
      <c r="C163" s="40">
        <v>2.9731850882930022</v>
      </c>
      <c r="D163" s="76">
        <v>59.8</v>
      </c>
      <c r="E163" s="76">
        <v>454.6</v>
      </c>
      <c r="F163" s="76">
        <v>152.9</v>
      </c>
      <c r="G163" s="76">
        <v>8.1</v>
      </c>
      <c r="H163" s="76">
        <v>13.3</v>
      </c>
      <c r="I163" s="76">
        <v>7620</v>
      </c>
      <c r="J163" s="77">
        <v>255000000</v>
      </c>
      <c r="K163" s="77">
        <v>1122000</v>
      </c>
      <c r="L163" s="77">
        <v>1287000</v>
      </c>
      <c r="M163" s="78">
        <v>182.9</v>
      </c>
      <c r="N163" s="80">
        <v>3926.5899999999997</v>
      </c>
      <c r="O163" s="80">
        <v>7946000</v>
      </c>
      <c r="P163" s="80">
        <v>103900</v>
      </c>
      <c r="Q163" s="80">
        <v>163100</v>
      </c>
      <c r="R163" s="78">
        <v>32.299999999999997</v>
      </c>
      <c r="S163" s="79">
        <v>46.65</v>
      </c>
      <c r="T163" s="80">
        <v>337000</v>
      </c>
      <c r="U163" s="242">
        <v>386862313185</v>
      </c>
      <c r="V163" s="81">
        <v>4153.2000000000007</v>
      </c>
      <c r="W163" s="74">
        <v>10</v>
      </c>
      <c r="X163" s="31" t="str">
        <f>IF(C163&lt;=1.2,IF(H163&lt;=100,IF(Calcul!$AG$2=460,"a","b"),IF(Calcul!$AG$2=460,"c","d")),IF(H163&lt;=40,IF(Calcul!$AG$2=460,"a0","a"),IF(Calcul!$AG$2=460,"a","b")))</f>
        <v>a</v>
      </c>
      <c r="Y163" s="31" t="str">
        <f>IF(C163&lt;=1.2,IF(H163&lt;=100,IF(Calcul!$AG$2=460,"a","c"),IF(Calcul!$AG$2=460,"c","d")),IF(H163&lt;=40,IF(Calcul!$AG$2=460,"a0","b"),IF(Calcul!$AG$2=460,"a","c")))</f>
        <v>b</v>
      </c>
      <c r="Z163" s="156">
        <f t="shared" si="4"/>
        <v>643270.12947229238</v>
      </c>
      <c r="AA163" s="31">
        <f t="shared" si="5"/>
        <v>37553.880000000005</v>
      </c>
    </row>
    <row r="164" spans="1:27" ht="13">
      <c r="A164" s="9">
        <v>162</v>
      </c>
      <c r="B164" s="35" t="s">
        <v>943</v>
      </c>
      <c r="C164" s="40">
        <v>2.3875724065297521</v>
      </c>
      <c r="D164" s="76">
        <v>67.099999999999994</v>
      </c>
      <c r="E164" s="76">
        <v>453.4</v>
      </c>
      <c r="F164" s="76">
        <v>189.9</v>
      </c>
      <c r="G164" s="76">
        <v>8.5</v>
      </c>
      <c r="H164" s="76">
        <v>12.7</v>
      </c>
      <c r="I164" s="76">
        <v>8550</v>
      </c>
      <c r="J164" s="77">
        <v>293800000</v>
      </c>
      <c r="K164" s="77">
        <v>1296000</v>
      </c>
      <c r="L164" s="77">
        <v>1471000</v>
      </c>
      <c r="M164" s="78">
        <v>185.4</v>
      </c>
      <c r="N164" s="80">
        <v>4088.49</v>
      </c>
      <c r="O164" s="80">
        <v>14520000</v>
      </c>
      <c r="P164" s="80">
        <v>152900</v>
      </c>
      <c r="Q164" s="80">
        <v>237300</v>
      </c>
      <c r="R164" s="78">
        <v>41.2</v>
      </c>
      <c r="S164" s="79">
        <v>50.95</v>
      </c>
      <c r="T164" s="80">
        <v>370000</v>
      </c>
      <c r="U164" s="242">
        <v>705005858700</v>
      </c>
      <c r="V164" s="81">
        <v>4912</v>
      </c>
      <c r="W164" s="74">
        <v>10</v>
      </c>
      <c r="X164" s="31" t="str">
        <f>IF(C164&lt;=1.2,IF(H164&lt;=100,IF(Calcul!$AG$2=460,"a","b"),IF(Calcul!$AG$2=460,"c","d")),IF(H164&lt;=40,IF(Calcul!$AG$2=460,"a0","a"),IF(Calcul!$AG$2=460,"a","b")))</f>
        <v>a</v>
      </c>
      <c r="Y164" s="31" t="str">
        <f>IF(C164&lt;=1.2,IF(H164&lt;=100,IF(Calcul!$AG$2=460,"a","c"),IF(Calcul!$AG$2=460,"c","d")),IF(H164&lt;=40,IF(Calcul!$AG$2=460,"a0","b"),IF(Calcul!$AG$2=460,"a","c")))</f>
        <v>b</v>
      </c>
      <c r="Z164" s="156">
        <f t="shared" si="4"/>
        <v>735146.81447229243</v>
      </c>
      <c r="AA164" s="31">
        <f t="shared" si="5"/>
        <v>55958.993999999999</v>
      </c>
    </row>
    <row r="165" spans="1:27" ht="13">
      <c r="A165" s="9">
        <v>163</v>
      </c>
      <c r="B165" s="35" t="s">
        <v>944</v>
      </c>
      <c r="C165" s="40">
        <v>2.9778933680104029</v>
      </c>
      <c r="D165" s="76">
        <v>67.2</v>
      </c>
      <c r="E165" s="76">
        <v>458</v>
      </c>
      <c r="F165" s="76">
        <v>153.80000000000001</v>
      </c>
      <c r="G165" s="76">
        <v>9</v>
      </c>
      <c r="H165" s="76">
        <v>15</v>
      </c>
      <c r="I165" s="76">
        <v>8560</v>
      </c>
      <c r="J165" s="77">
        <v>289300000</v>
      </c>
      <c r="K165" s="77">
        <v>1263000</v>
      </c>
      <c r="L165" s="77">
        <v>1453000</v>
      </c>
      <c r="M165" s="78">
        <v>183.9</v>
      </c>
      <c r="N165" s="80">
        <v>4381</v>
      </c>
      <c r="O165" s="80">
        <v>9126000</v>
      </c>
      <c r="P165" s="80">
        <v>118700</v>
      </c>
      <c r="Q165" s="80">
        <v>186700</v>
      </c>
      <c r="R165" s="78">
        <v>32.700000000000003</v>
      </c>
      <c r="S165" s="79">
        <v>55.55</v>
      </c>
      <c r="T165" s="80">
        <v>476000</v>
      </c>
      <c r="U165" s="242">
        <v>447742093500</v>
      </c>
      <c r="V165" s="81">
        <v>4708</v>
      </c>
      <c r="W165" s="74">
        <v>10</v>
      </c>
      <c r="X165" s="31" t="str">
        <f>IF(C165&lt;=1.2,IF(H165&lt;=100,IF(Calcul!$AG$2=460,"a","b"),IF(Calcul!$AG$2=460,"c","d")),IF(H165&lt;=40,IF(Calcul!$AG$2=460,"a0","a"),IF(Calcul!$AG$2=460,"a","b")))</f>
        <v>a</v>
      </c>
      <c r="Y165" s="31" t="str">
        <f>IF(C165&lt;=1.2,IF(H165&lt;=100,IF(Calcul!$AG$2=460,"a","c"),IF(Calcul!$AG$2=460,"c","d")),IF(H165&lt;=40,IF(Calcul!$AG$2=460,"a0","b"),IF(Calcul!$AG$2=460,"a","c")))</f>
        <v>b</v>
      </c>
      <c r="Z165" s="156">
        <f t="shared" si="4"/>
        <v>726171.60897229239</v>
      </c>
      <c r="AA165" s="31">
        <f t="shared" si="5"/>
        <v>42775.200000000004</v>
      </c>
    </row>
    <row r="166" spans="1:27" ht="13">
      <c r="A166" s="9">
        <v>164</v>
      </c>
      <c r="B166" s="35" t="s">
        <v>945</v>
      </c>
      <c r="C166" s="40">
        <v>2.9922279792746114</v>
      </c>
      <c r="D166" s="76">
        <v>74.2</v>
      </c>
      <c r="E166" s="76">
        <v>462</v>
      </c>
      <c r="F166" s="76">
        <v>154.4</v>
      </c>
      <c r="G166" s="76">
        <v>9.6</v>
      </c>
      <c r="H166" s="76">
        <v>17</v>
      </c>
      <c r="I166" s="76">
        <v>9450</v>
      </c>
      <c r="J166" s="77">
        <v>326700000</v>
      </c>
      <c r="K166" s="77">
        <v>1414000</v>
      </c>
      <c r="L166" s="77">
        <v>1627000</v>
      </c>
      <c r="M166" s="78">
        <v>186</v>
      </c>
      <c r="N166" s="80">
        <v>4703.5999999999995</v>
      </c>
      <c r="O166" s="80">
        <v>10470000</v>
      </c>
      <c r="P166" s="80">
        <v>135600</v>
      </c>
      <c r="Q166" s="80">
        <v>213100</v>
      </c>
      <c r="R166" s="78">
        <v>33.299999999999997</v>
      </c>
      <c r="S166" s="79">
        <v>60.25</v>
      </c>
      <c r="T166" s="80">
        <v>658000</v>
      </c>
      <c r="U166" s="242">
        <v>518330437500</v>
      </c>
      <c r="V166" s="81">
        <v>5341.2</v>
      </c>
      <c r="W166" s="74">
        <v>10</v>
      </c>
      <c r="X166" s="31" t="str">
        <f>IF(C166&lt;=1.2,IF(H166&lt;=100,IF(Calcul!$AG$2=460,"a","b"),IF(Calcul!$AG$2=460,"c","d")),IF(H166&lt;=40,IF(Calcul!$AG$2=460,"a0","a"),IF(Calcul!$AG$2=460,"a","b")))</f>
        <v>a</v>
      </c>
      <c r="Y166" s="31" t="str">
        <f>IF(C166&lt;=1.2,IF(H166&lt;=100,IF(Calcul!$AG$2=460,"a","c"),IF(Calcul!$AG$2=460,"c","d")),IF(H166&lt;=40,IF(Calcul!$AG$2=460,"a0","b"),IF(Calcul!$AG$2=460,"a","c")))</f>
        <v>b</v>
      </c>
      <c r="Z166" s="156">
        <f t="shared" si="4"/>
        <v>812927.90897229232</v>
      </c>
      <c r="AA166" s="31">
        <f t="shared" si="5"/>
        <v>48796.800000000003</v>
      </c>
    </row>
    <row r="167" spans="1:27" ht="13">
      <c r="A167" s="9">
        <v>165</v>
      </c>
      <c r="B167" s="35" t="s">
        <v>946</v>
      </c>
      <c r="C167" s="40">
        <v>2.4002100840336134</v>
      </c>
      <c r="D167" s="76">
        <v>74.3</v>
      </c>
      <c r="E167" s="76">
        <v>457</v>
      </c>
      <c r="F167" s="76">
        <v>190.4</v>
      </c>
      <c r="G167" s="76">
        <v>9</v>
      </c>
      <c r="H167" s="76">
        <v>14.5</v>
      </c>
      <c r="I167" s="76">
        <v>9460</v>
      </c>
      <c r="J167" s="77">
        <v>333200000</v>
      </c>
      <c r="K167" s="77">
        <v>1458000</v>
      </c>
      <c r="L167" s="77">
        <v>1653000</v>
      </c>
      <c r="M167" s="78">
        <v>187.6</v>
      </c>
      <c r="N167" s="80">
        <v>4358.8999999999996</v>
      </c>
      <c r="O167" s="80">
        <v>16710000</v>
      </c>
      <c r="P167" s="80">
        <v>175500</v>
      </c>
      <c r="Q167" s="80">
        <v>272100</v>
      </c>
      <c r="R167" s="78">
        <v>42</v>
      </c>
      <c r="S167" s="79">
        <v>45.85</v>
      </c>
      <c r="T167" s="80">
        <v>517000</v>
      </c>
      <c r="U167" s="242">
        <v>817980609375</v>
      </c>
      <c r="V167" s="81">
        <v>5608</v>
      </c>
      <c r="W167" s="74">
        <v>10</v>
      </c>
      <c r="X167" s="31" t="str">
        <f>IF(C167&lt;=1.2,IF(H167&lt;=100,IF(Calcul!$AG$2=460,"a","b"),IF(Calcul!$AG$2=460,"c","d")),IF(H167&lt;=40,IF(Calcul!$AG$2=460,"a0","a"),IF(Calcul!$AG$2=460,"a","b")))</f>
        <v>a</v>
      </c>
      <c r="Y167" s="31" t="str">
        <f>IF(C167&lt;=1.2,IF(H167&lt;=100,IF(Calcul!$AG$2=460,"a","c"),IF(Calcul!$AG$2=460,"c","d")),IF(H167&lt;=40,IF(Calcul!$AG$2=460,"a0","b"),IF(Calcul!$AG$2=460,"a","c")))</f>
        <v>b</v>
      </c>
      <c r="Z167" s="156">
        <f t="shared" si="4"/>
        <v>825998.10897229239</v>
      </c>
      <c r="AA167" s="31">
        <f t="shared" si="5"/>
        <v>64182.727500000008</v>
      </c>
    </row>
    <row r="168" spans="1:27" ht="13">
      <c r="A168" s="9">
        <v>166</v>
      </c>
      <c r="B168" s="35" t="s">
        <v>947</v>
      </c>
      <c r="C168" s="40">
        <v>2.4046001045478307</v>
      </c>
      <c r="D168" s="76">
        <v>82</v>
      </c>
      <c r="E168" s="76">
        <v>460</v>
      </c>
      <c r="F168" s="76">
        <v>191.3</v>
      </c>
      <c r="G168" s="76">
        <v>9.9</v>
      </c>
      <c r="H168" s="76">
        <v>16</v>
      </c>
      <c r="I168" s="76">
        <v>10450</v>
      </c>
      <c r="J168" s="77">
        <v>370500000</v>
      </c>
      <c r="K168" s="77">
        <v>1611000</v>
      </c>
      <c r="L168" s="77">
        <v>1831000</v>
      </c>
      <c r="M168" s="78">
        <v>188.3</v>
      </c>
      <c r="N168" s="80">
        <v>4806.7999999999993</v>
      </c>
      <c r="O168" s="80">
        <v>18710000</v>
      </c>
      <c r="P168" s="80">
        <v>195600</v>
      </c>
      <c r="Q168" s="80">
        <v>303900</v>
      </c>
      <c r="R168" s="78">
        <v>42.3</v>
      </c>
      <c r="S168" s="79">
        <v>49.95</v>
      </c>
      <c r="T168" s="80">
        <v>691000</v>
      </c>
      <c r="U168" s="242">
        <v>922103640000</v>
      </c>
      <c r="V168" s="81">
        <v>6212.8</v>
      </c>
      <c r="W168" s="74">
        <v>10</v>
      </c>
      <c r="X168" s="31" t="str">
        <f>IF(C168&lt;=1.2,IF(H168&lt;=100,IF(Calcul!$AG$2=460,"a","b"),IF(Calcul!$AG$2=460,"c","d")),IF(H168&lt;=40,IF(Calcul!$AG$2=460,"a0","a"),IF(Calcul!$AG$2=460,"a","b")))</f>
        <v>a</v>
      </c>
      <c r="Y168" s="31" t="str">
        <f>IF(C168&lt;=1.2,IF(H168&lt;=100,IF(Calcul!$AG$2=460,"a","c"),IF(Calcul!$AG$2=460,"c","d")),IF(H168&lt;=40,IF(Calcul!$AG$2=460,"a0","b"),IF(Calcul!$AG$2=460,"a","c")))</f>
        <v>b</v>
      </c>
      <c r="Z168" s="156">
        <f t="shared" si="4"/>
        <v>915276.90897229244</v>
      </c>
      <c r="AA168" s="31">
        <f t="shared" si="5"/>
        <v>71403.360000000015</v>
      </c>
    </row>
    <row r="169" spans="1:27" ht="13">
      <c r="A169" s="9">
        <v>167</v>
      </c>
      <c r="B169" s="35" t="s">
        <v>948</v>
      </c>
      <c r="C169" s="40">
        <v>2.9993560849967804</v>
      </c>
      <c r="D169" s="76">
        <v>82.1</v>
      </c>
      <c r="E169" s="76">
        <v>465.8</v>
      </c>
      <c r="F169" s="76">
        <v>155.30000000000001</v>
      </c>
      <c r="G169" s="76">
        <v>10.5</v>
      </c>
      <c r="H169" s="76">
        <v>18.899999999999999</v>
      </c>
      <c r="I169" s="76">
        <v>10450</v>
      </c>
      <c r="J169" s="77">
        <v>365900000</v>
      </c>
      <c r="K169" s="77">
        <v>1571000</v>
      </c>
      <c r="L169" s="77">
        <v>1811000</v>
      </c>
      <c r="M169" s="78">
        <v>187.1</v>
      </c>
      <c r="N169" s="80">
        <v>5156.1099999999997</v>
      </c>
      <c r="O169" s="80">
        <v>11850000</v>
      </c>
      <c r="P169" s="80">
        <v>152500</v>
      </c>
      <c r="Q169" s="80">
        <v>240400</v>
      </c>
      <c r="R169" s="78">
        <v>33.700000000000003</v>
      </c>
      <c r="S169" s="79">
        <v>53.85</v>
      </c>
      <c r="T169" s="80">
        <v>891000</v>
      </c>
      <c r="U169" s="242">
        <v>591669344625.00012</v>
      </c>
      <c r="V169" s="81">
        <v>5956</v>
      </c>
      <c r="W169" s="74">
        <v>10</v>
      </c>
      <c r="X169" s="31" t="str">
        <f>IF(C169&lt;=1.2,IF(H169&lt;=100,IF(Calcul!$AG$2=460,"a","b"),IF(Calcul!$AG$2=460,"c","d")),IF(H169&lt;=40,IF(Calcul!$AG$2=460,"a0","a"),IF(Calcul!$AG$2=460,"a","b")))</f>
        <v>a</v>
      </c>
      <c r="Y169" s="31" t="str">
        <f>IF(C169&lt;=1.2,IF(H169&lt;=100,IF(Calcul!$AG$2=460,"a","c"),IF(Calcul!$AG$2=460,"c","d")),IF(H169&lt;=40,IF(Calcul!$AG$2=460,"a0","b"),IF(Calcul!$AG$2=460,"a","c")))</f>
        <v>b</v>
      </c>
      <c r="Z169" s="156">
        <f t="shared" si="4"/>
        <v>905381.84547229251</v>
      </c>
      <c r="AA169" s="31">
        <f t="shared" si="5"/>
        <v>54781.272000000004</v>
      </c>
    </row>
    <row r="170" spans="1:27" ht="13">
      <c r="A170" s="9">
        <v>168</v>
      </c>
      <c r="B170" s="35" t="s">
        <v>949</v>
      </c>
      <c r="C170" s="40">
        <v>2.4147993746743093</v>
      </c>
      <c r="D170" s="76">
        <v>89.3</v>
      </c>
      <c r="E170" s="76">
        <v>463.4</v>
      </c>
      <c r="F170" s="76">
        <v>191.9</v>
      </c>
      <c r="G170" s="76">
        <v>10.5</v>
      </c>
      <c r="H170" s="76">
        <v>17.7</v>
      </c>
      <c r="I170" s="76">
        <v>11380</v>
      </c>
      <c r="J170" s="77">
        <v>410200000</v>
      </c>
      <c r="K170" s="77">
        <v>1770000</v>
      </c>
      <c r="L170" s="77">
        <v>2014000</v>
      </c>
      <c r="M170" s="78">
        <v>189.9</v>
      </c>
      <c r="N170" s="80">
        <v>5126.59</v>
      </c>
      <c r="O170" s="80">
        <v>20890000</v>
      </c>
      <c r="P170" s="80">
        <v>217800</v>
      </c>
      <c r="Q170" s="80">
        <v>338400</v>
      </c>
      <c r="R170" s="78">
        <v>42.9</v>
      </c>
      <c r="S170" s="79">
        <v>57.85</v>
      </c>
      <c r="T170" s="80">
        <v>905000</v>
      </c>
      <c r="U170" s="242">
        <v>1037441739025</v>
      </c>
      <c r="V170" s="81">
        <v>6886</v>
      </c>
      <c r="W170" s="74">
        <v>10</v>
      </c>
      <c r="X170" s="31" t="str">
        <f>IF(C170&lt;=1.2,IF(H170&lt;=100,IF(Calcul!$AG$2=460,"a","b"),IF(Calcul!$AG$2=460,"c","d")),IF(H170&lt;=40,IF(Calcul!$AG$2=460,"a0","a"),IF(Calcul!$AG$2=460,"a","b")))</f>
        <v>a</v>
      </c>
      <c r="Y170" s="31" t="str">
        <f>IF(C170&lt;=1.2,IF(H170&lt;=100,IF(Calcul!$AG$2=460,"a","c"),IF(Calcul!$AG$2=460,"c","d")),IF(H170&lt;=40,IF(Calcul!$AG$2=460,"a0","b"),IF(Calcul!$AG$2=460,"a","c")))</f>
        <v>b</v>
      </c>
      <c r="Z170" s="156">
        <f t="shared" si="4"/>
        <v>1006457.1044722924</v>
      </c>
      <c r="AA170" s="31">
        <f t="shared" si="5"/>
        <v>79418.483999999997</v>
      </c>
    </row>
    <row r="171" spans="1:27" ht="13">
      <c r="A171" s="9">
        <v>169</v>
      </c>
      <c r="B171" s="35" t="s">
        <v>950</v>
      </c>
      <c r="C171" s="40">
        <v>2.4232365145228214</v>
      </c>
      <c r="D171" s="76">
        <v>98.3</v>
      </c>
      <c r="E171" s="76">
        <v>467.2</v>
      </c>
      <c r="F171" s="76">
        <v>192.8</v>
      </c>
      <c r="G171" s="76">
        <v>11.4</v>
      </c>
      <c r="H171" s="76">
        <v>19.600000000000001</v>
      </c>
      <c r="I171" s="76">
        <v>12530</v>
      </c>
      <c r="J171" s="77">
        <v>457300000</v>
      </c>
      <c r="K171" s="77">
        <v>1957000</v>
      </c>
      <c r="L171" s="77">
        <v>2232000</v>
      </c>
      <c r="M171" s="78">
        <v>191.1</v>
      </c>
      <c r="N171" s="80">
        <v>5587.6799999999985</v>
      </c>
      <c r="O171" s="80">
        <v>23470000</v>
      </c>
      <c r="P171" s="80">
        <v>243500</v>
      </c>
      <c r="Q171" s="80">
        <v>378900</v>
      </c>
      <c r="R171" s="78">
        <v>43.3</v>
      </c>
      <c r="S171" s="79">
        <v>62.55</v>
      </c>
      <c r="T171" s="80">
        <v>1210000</v>
      </c>
      <c r="U171" s="242">
        <v>1175528746800</v>
      </c>
      <c r="V171" s="81">
        <v>7650.8</v>
      </c>
      <c r="W171" s="74">
        <v>10</v>
      </c>
      <c r="X171" s="31" t="str">
        <f>IF(C171&lt;=1.2,IF(H171&lt;=100,IF(Calcul!$AG$2=460,"a","b"),IF(Calcul!$AG$2=460,"c","d")),IF(H171&lt;=40,IF(Calcul!$AG$2=460,"a0","a"),IF(Calcul!$AG$2=460,"a","b")))</f>
        <v>a</v>
      </c>
      <c r="Y171" s="31" t="str">
        <f>IF(C171&lt;=1.2,IF(H171&lt;=100,IF(Calcul!$AG$2=460,"a","c"),IF(Calcul!$AG$2=460,"c","d")),IF(H171&lt;=40,IF(Calcul!$AG$2=460,"a0","b"),IF(Calcul!$AG$2=460,"a","c")))</f>
        <v>b</v>
      </c>
      <c r="Z171" s="156">
        <f t="shared" si="4"/>
        <v>1115839.6529722924</v>
      </c>
      <c r="AA171" s="31">
        <f t="shared" si="5"/>
        <v>88655.406000000017</v>
      </c>
    </row>
    <row r="172" spans="1:27" ht="13">
      <c r="A172" s="9">
        <v>170</v>
      </c>
      <c r="B172" s="35" t="s">
        <v>951</v>
      </c>
      <c r="C172" s="40">
        <v>2.4175257731958761</v>
      </c>
      <c r="D172" s="76">
        <v>106</v>
      </c>
      <c r="E172" s="76">
        <v>469</v>
      </c>
      <c r="F172" s="76">
        <v>194</v>
      </c>
      <c r="G172" s="76">
        <v>12.6</v>
      </c>
      <c r="H172" s="76">
        <v>20.6</v>
      </c>
      <c r="I172" s="76">
        <v>13470</v>
      </c>
      <c r="J172" s="77">
        <v>487900000</v>
      </c>
      <c r="K172" s="77">
        <v>2081000</v>
      </c>
      <c r="L172" s="77">
        <v>2385000</v>
      </c>
      <c r="M172" s="78">
        <v>190.4</v>
      </c>
      <c r="N172" s="80">
        <v>6148.76</v>
      </c>
      <c r="O172" s="80">
        <v>25150000</v>
      </c>
      <c r="P172" s="80">
        <v>259200</v>
      </c>
      <c r="Q172" s="80">
        <v>405300</v>
      </c>
      <c r="R172" s="78">
        <v>43.2</v>
      </c>
      <c r="S172" s="79">
        <v>65.489999999999995</v>
      </c>
      <c r="T172" s="80">
        <v>1460000</v>
      </c>
      <c r="U172" s="242">
        <v>1264180845999.9998</v>
      </c>
      <c r="V172" s="81">
        <v>8079.72</v>
      </c>
      <c r="W172" s="74">
        <v>10</v>
      </c>
      <c r="X172" s="31" t="str">
        <f>IF(C172&lt;=1.2,IF(H172&lt;=100,IF(Calcul!$AG$2=460,"a","b"),IF(Calcul!$AG$2=460,"c","d")),IF(H172&lt;=40,IF(Calcul!$AG$2=460,"a0","a"),IF(Calcul!$AG$2=460,"a","b")))</f>
        <v>a</v>
      </c>
      <c r="Y172" s="31" t="str">
        <f>IF(C172&lt;=1.2,IF(H172&lt;=100,IF(Calcul!$AG$2=460,"a","c"),IF(Calcul!$AG$2=460,"c","d")),IF(H172&lt;=40,IF(Calcul!$AG$2=460,"a0","b"),IF(Calcul!$AG$2=460,"a","c")))</f>
        <v>b</v>
      </c>
      <c r="Z172" s="156">
        <f t="shared" si="4"/>
        <v>1193322.9199355603</v>
      </c>
      <c r="AA172" s="31">
        <f t="shared" si="5"/>
        <v>94176.093000000008</v>
      </c>
    </row>
    <row r="173" spans="1:27" ht="13">
      <c r="A173" s="9">
        <v>171</v>
      </c>
      <c r="B173" s="35" t="s">
        <v>952</v>
      </c>
      <c r="C173" s="40">
        <v>3.1818181818181817</v>
      </c>
      <c r="D173" s="76">
        <v>66</v>
      </c>
      <c r="E173" s="76">
        <v>525</v>
      </c>
      <c r="F173" s="76">
        <v>165</v>
      </c>
      <c r="G173" s="76">
        <v>8.9</v>
      </c>
      <c r="H173" s="76">
        <v>11.4</v>
      </c>
      <c r="I173" s="76">
        <v>8380</v>
      </c>
      <c r="J173" s="77">
        <v>351000000</v>
      </c>
      <c r="K173" s="77">
        <v>1337000</v>
      </c>
      <c r="L173" s="77">
        <v>1563000</v>
      </c>
      <c r="M173" s="78">
        <v>204.7</v>
      </c>
      <c r="N173" s="80">
        <v>5015.8599999999997</v>
      </c>
      <c r="O173" s="80">
        <v>8573000</v>
      </c>
      <c r="P173" s="80">
        <v>103900</v>
      </c>
      <c r="Q173" s="80">
        <v>166200</v>
      </c>
      <c r="R173" s="78">
        <v>32</v>
      </c>
      <c r="S173" s="79">
        <v>46.93</v>
      </c>
      <c r="T173" s="80">
        <v>322000</v>
      </c>
      <c r="U173" s="242">
        <v>565357115520</v>
      </c>
      <c r="V173" s="81">
        <v>3910.42</v>
      </c>
      <c r="W173" s="74">
        <v>13</v>
      </c>
      <c r="X173" s="31" t="str">
        <f>IF(C173&lt;=1.2,IF(H173&lt;=100,IF(Calcul!$AG$2=460,"a","b"),IF(Calcul!$AG$2=460,"c","d")),IF(H173&lt;=40,IF(Calcul!$AG$2=460,"a0","a"),IF(Calcul!$AG$2=460,"a","b")))</f>
        <v>a</v>
      </c>
      <c r="Y173" s="31" t="str">
        <f>IF(C173&lt;=1.2,IF(H173&lt;=100,IF(Calcul!$AG$2=460,"a","c"),IF(Calcul!$AG$2=460,"c","d")),IF(H173&lt;=40,IF(Calcul!$AG$2=460,"a0","b"),IF(Calcul!$AG$2=460,"a","c")))</f>
        <v>b</v>
      </c>
      <c r="Z173" s="156">
        <f t="shared" si="4"/>
        <v>781621.74700921425</v>
      </c>
      <c r="AA173" s="31">
        <f t="shared" si="5"/>
        <v>37059.960749999998</v>
      </c>
    </row>
    <row r="174" spans="1:27" ht="13">
      <c r="A174" s="9">
        <v>172</v>
      </c>
      <c r="B174" s="35" t="s">
        <v>953</v>
      </c>
      <c r="C174" s="40">
        <v>3.1867469879518073</v>
      </c>
      <c r="D174" s="76">
        <v>74</v>
      </c>
      <c r="E174" s="76">
        <v>529</v>
      </c>
      <c r="F174" s="76">
        <v>166</v>
      </c>
      <c r="G174" s="76">
        <v>9.6999999999999993</v>
      </c>
      <c r="H174" s="76">
        <v>13.6</v>
      </c>
      <c r="I174" s="76">
        <v>9530</v>
      </c>
      <c r="J174" s="77">
        <v>411000000</v>
      </c>
      <c r="K174" s="77">
        <v>1554000</v>
      </c>
      <c r="L174" s="77">
        <v>1810000</v>
      </c>
      <c r="M174" s="78">
        <v>207.7</v>
      </c>
      <c r="N174" s="80">
        <v>5500.3200000000006</v>
      </c>
      <c r="O174" s="80">
        <v>10420000</v>
      </c>
      <c r="P174" s="80">
        <v>125500</v>
      </c>
      <c r="Q174" s="80">
        <v>200300</v>
      </c>
      <c r="R174" s="78">
        <v>33.1</v>
      </c>
      <c r="S174" s="79">
        <v>52.13</v>
      </c>
      <c r="T174" s="80">
        <v>482000</v>
      </c>
      <c r="U174" s="242">
        <v>691984801799.99988</v>
      </c>
      <c r="V174" s="81">
        <v>4662.5399999999991</v>
      </c>
      <c r="W174" s="74">
        <v>13</v>
      </c>
      <c r="X174" s="31" t="str">
        <f>IF(C174&lt;=1.2,IF(H174&lt;=100,IF(Calcul!$AG$2=460,"a","b"),IF(Calcul!$AG$2=460,"c","d")),IF(H174&lt;=40,IF(Calcul!$AG$2=460,"a0","a"),IF(Calcul!$AG$2=460,"a","b")))</f>
        <v>a</v>
      </c>
      <c r="Y174" s="31" t="str">
        <f>IF(C174&lt;=1.2,IF(H174&lt;=100,IF(Calcul!$AG$2=460,"a","c"),IF(Calcul!$AG$2=460,"c","d")),IF(H174&lt;=40,IF(Calcul!$AG$2=460,"a0","b"),IF(Calcul!$AG$2=460,"a","c")))</f>
        <v>b</v>
      </c>
      <c r="Z174" s="156">
        <f t="shared" si="4"/>
        <v>905083.50392505981</v>
      </c>
      <c r="AA174" s="31">
        <f t="shared" si="5"/>
        <v>44678.56700000001</v>
      </c>
    </row>
    <row r="175" spans="1:27" ht="13">
      <c r="A175" s="9">
        <v>173</v>
      </c>
      <c r="B175" s="35" t="s">
        <v>954</v>
      </c>
      <c r="C175" s="40">
        <v>2.5301724137931032</v>
      </c>
      <c r="D175" s="76">
        <v>82.2</v>
      </c>
      <c r="E175" s="76">
        <v>528.29999999999995</v>
      </c>
      <c r="F175" s="76">
        <v>208.8</v>
      </c>
      <c r="G175" s="76">
        <v>9.6</v>
      </c>
      <c r="H175" s="76">
        <v>13.2</v>
      </c>
      <c r="I175" s="76">
        <v>10470</v>
      </c>
      <c r="J175" s="77">
        <v>475400000</v>
      </c>
      <c r="K175" s="77">
        <v>1800000</v>
      </c>
      <c r="L175" s="77">
        <v>2059000</v>
      </c>
      <c r="M175" s="78">
        <v>213.1</v>
      </c>
      <c r="N175" s="80">
        <v>5427.6</v>
      </c>
      <c r="O175" s="80">
        <v>20070000</v>
      </c>
      <c r="P175" s="80">
        <v>192300</v>
      </c>
      <c r="Q175" s="80">
        <v>300400</v>
      </c>
      <c r="R175" s="78">
        <v>43.8</v>
      </c>
      <c r="S175" s="79">
        <v>58.53</v>
      </c>
      <c r="T175" s="80">
        <v>518000</v>
      </c>
      <c r="U175" s="242">
        <v>1331283290174.9995</v>
      </c>
      <c r="V175" s="81">
        <v>5651.76</v>
      </c>
      <c r="W175" s="74">
        <v>13</v>
      </c>
      <c r="X175" s="31" t="str">
        <f>IF(C175&lt;=1.2,IF(H175&lt;=100,IF(Calcul!$AG$2=460,"a","b"),IF(Calcul!$AG$2=460,"c","d")),IF(H175&lt;=40,IF(Calcul!$AG$2=460,"a0","a"),IF(Calcul!$AG$2=460,"a","b")))</f>
        <v>a</v>
      </c>
      <c r="Y175" s="31" t="str">
        <f>IF(C175&lt;=1.2,IF(H175&lt;=100,IF(Calcul!$AG$2=460,"a","c"),IF(Calcul!$AG$2=460,"c","d")),IF(H175&lt;=40,IF(Calcul!$AG$2=460,"a0","b"),IF(Calcul!$AG$2=460,"a","c")))</f>
        <v>b</v>
      </c>
      <c r="Z175" s="156">
        <f t="shared" si="4"/>
        <v>1030125.5221960982</v>
      </c>
      <c r="AA175" s="31">
        <f t="shared" si="5"/>
        <v>69844.632000000012</v>
      </c>
    </row>
    <row r="176" spans="1:27" ht="13">
      <c r="A176" s="9">
        <v>174</v>
      </c>
      <c r="B176" s="35" t="s">
        <v>955</v>
      </c>
      <c r="C176" s="40">
        <v>3.2228915662650603</v>
      </c>
      <c r="D176" s="76">
        <v>85</v>
      </c>
      <c r="E176" s="76">
        <v>535</v>
      </c>
      <c r="F176" s="76">
        <v>166</v>
      </c>
      <c r="G176" s="76">
        <v>10.3</v>
      </c>
      <c r="H176" s="76">
        <v>16.5</v>
      </c>
      <c r="I176" s="76">
        <v>10790</v>
      </c>
      <c r="J176" s="77">
        <v>485800000</v>
      </c>
      <c r="K176" s="77">
        <v>1816000</v>
      </c>
      <c r="L176" s="77">
        <v>2105000</v>
      </c>
      <c r="M176" s="78">
        <v>212.2</v>
      </c>
      <c r="N176" s="80">
        <v>5910.95</v>
      </c>
      <c r="O176" s="80">
        <v>12640000</v>
      </c>
      <c r="P176" s="80">
        <v>152200</v>
      </c>
      <c r="Q176" s="80">
        <v>241800</v>
      </c>
      <c r="R176" s="78">
        <v>34.200000000000003</v>
      </c>
      <c r="S176" s="79">
        <v>50.88</v>
      </c>
      <c r="T176" s="80">
        <v>740000</v>
      </c>
      <c r="U176" s="242">
        <v>849541510000</v>
      </c>
      <c r="V176" s="81">
        <v>5619.4</v>
      </c>
      <c r="W176" s="74">
        <v>13</v>
      </c>
      <c r="X176" s="31" t="str">
        <f>IF(C176&lt;=1.2,IF(H176&lt;=100,IF(Calcul!$AG$2=460,"a","b"),IF(Calcul!$AG$2=460,"c","d")),IF(H176&lt;=40,IF(Calcul!$AG$2=460,"a0","a"),IF(Calcul!$AG$2=460,"a","b")))</f>
        <v>a</v>
      </c>
      <c r="Y176" s="31" t="str">
        <f>IF(C176&lt;=1.2,IF(H176&lt;=100,IF(Calcul!$AG$2=460,"a","c"),IF(Calcul!$AG$2=460,"c","d")),IF(H176&lt;=40,IF(Calcul!$AG$2=460,"a0","b"),IF(Calcul!$AG$2=460,"a","c")))</f>
        <v>b</v>
      </c>
      <c r="Z176" s="156">
        <f t="shared" si="4"/>
        <v>1052536.7089671372</v>
      </c>
      <c r="AA176" s="31">
        <f t="shared" si="5"/>
        <v>54116.514374999992</v>
      </c>
    </row>
    <row r="177" spans="1:27" ht="13">
      <c r="A177" s="9">
        <v>175</v>
      </c>
      <c r="B177" s="35" t="s">
        <v>956</v>
      </c>
      <c r="C177" s="40">
        <v>2.5470616340181556</v>
      </c>
      <c r="D177" s="76">
        <v>92.1</v>
      </c>
      <c r="E177" s="76">
        <v>533.1</v>
      </c>
      <c r="F177" s="76">
        <v>209.3</v>
      </c>
      <c r="G177" s="76">
        <v>10.1</v>
      </c>
      <c r="H177" s="76">
        <v>15.6</v>
      </c>
      <c r="I177" s="76">
        <v>11740</v>
      </c>
      <c r="J177" s="77">
        <v>552300000</v>
      </c>
      <c r="K177" s="77">
        <v>2072000</v>
      </c>
      <c r="L177" s="77">
        <v>2360000</v>
      </c>
      <c r="M177" s="78">
        <v>216.9</v>
      </c>
      <c r="N177" s="80">
        <v>5773</v>
      </c>
      <c r="O177" s="80">
        <v>23890000</v>
      </c>
      <c r="P177" s="80">
        <v>228300</v>
      </c>
      <c r="Q177" s="80">
        <v>355600</v>
      </c>
      <c r="R177" s="78">
        <v>45.1</v>
      </c>
      <c r="S177" s="79">
        <v>56.18</v>
      </c>
      <c r="T177" s="80">
        <v>760000</v>
      </c>
      <c r="U177" s="242">
        <v>1599472828125</v>
      </c>
      <c r="V177" s="81">
        <v>6670.8099999999995</v>
      </c>
      <c r="W177" s="74">
        <v>13</v>
      </c>
      <c r="X177" s="31" t="str">
        <f>IF(C177&lt;=1.2,IF(H177&lt;=100,IF(Calcul!$AG$2=460,"a","b"),IF(Calcul!$AG$2=460,"c","d")),IF(H177&lt;=40,IF(Calcul!$AG$2=460,"a0","a"),IF(Calcul!$AG$2=460,"a","b")))</f>
        <v>a</v>
      </c>
      <c r="Y177" s="31" t="str">
        <f>IF(C177&lt;=1.2,IF(H177&lt;=100,IF(Calcul!$AG$2=460,"a","c"),IF(Calcul!$AG$2=460,"c","d")),IF(H177&lt;=40,IF(Calcul!$AG$2=460,"a0","b"),IF(Calcul!$AG$2=460,"a","c")))</f>
        <v>b</v>
      </c>
      <c r="Z177" s="156">
        <f t="shared" si="4"/>
        <v>1180859.9398210985</v>
      </c>
      <c r="AA177" s="31">
        <f t="shared" si="5"/>
        <v>82881.396000000008</v>
      </c>
    </row>
    <row r="178" spans="1:27" ht="13">
      <c r="A178" s="9">
        <v>176</v>
      </c>
      <c r="B178" s="35" t="s">
        <v>957</v>
      </c>
      <c r="C178" s="40">
        <v>2.5557142857142856</v>
      </c>
      <c r="D178" s="76">
        <v>101</v>
      </c>
      <c r="E178" s="76">
        <v>536.70000000000005</v>
      </c>
      <c r="F178" s="76">
        <v>210</v>
      </c>
      <c r="G178" s="76">
        <v>10.8</v>
      </c>
      <c r="H178" s="76">
        <v>17.399999999999999</v>
      </c>
      <c r="I178" s="76">
        <v>12870</v>
      </c>
      <c r="J178" s="77">
        <v>615200000</v>
      </c>
      <c r="K178" s="77">
        <v>2292000</v>
      </c>
      <c r="L178" s="77">
        <v>2612000</v>
      </c>
      <c r="M178" s="78">
        <v>218.7</v>
      </c>
      <c r="N178" s="80">
        <v>6202.3200000000006</v>
      </c>
      <c r="O178" s="80">
        <v>26920000</v>
      </c>
      <c r="P178" s="80">
        <v>256400</v>
      </c>
      <c r="Q178" s="80">
        <v>399400</v>
      </c>
      <c r="R178" s="78">
        <v>45.7</v>
      </c>
      <c r="S178" s="79">
        <v>60.48</v>
      </c>
      <c r="T178" s="80">
        <v>1013000</v>
      </c>
      <c r="U178" s="242">
        <v>1814895857699.9995</v>
      </c>
      <c r="V178" s="81">
        <v>7449.4800000000005</v>
      </c>
      <c r="W178" s="74">
        <v>13</v>
      </c>
      <c r="X178" s="31" t="str">
        <f>IF(C178&lt;=1.2,IF(H178&lt;=100,IF(Calcul!$AG$2=460,"a","b"),IF(Calcul!$AG$2=460,"c","d")),IF(H178&lt;=40,IF(Calcul!$AG$2=460,"a0","a"),IF(Calcul!$AG$2=460,"a","b")))</f>
        <v>a</v>
      </c>
      <c r="Y178" s="31" t="str">
        <f>IF(C178&lt;=1.2,IF(H178&lt;=100,IF(Calcul!$AG$2=460,"a","c"),IF(Calcul!$AG$2=460,"c","d")),IF(H178&lt;=40,IF(Calcul!$AG$2=460,"a0","b"),IF(Calcul!$AG$2=460,"a","c")))</f>
        <v>b</v>
      </c>
      <c r="Z178" s="156">
        <f t="shared" si="4"/>
        <v>1306823.1556960987</v>
      </c>
      <c r="AA178" s="31">
        <f t="shared" si="5"/>
        <v>92972.027999999991</v>
      </c>
    </row>
    <row r="179" spans="1:27" ht="13">
      <c r="A179" s="9">
        <v>177</v>
      </c>
      <c r="B179" s="35" t="s">
        <v>958</v>
      </c>
      <c r="C179" s="40">
        <v>2.5592979127134723</v>
      </c>
      <c r="D179" s="76">
        <v>109</v>
      </c>
      <c r="E179" s="76">
        <v>539.5</v>
      </c>
      <c r="F179" s="76">
        <v>210.8</v>
      </c>
      <c r="G179" s="76">
        <v>11.6</v>
      </c>
      <c r="H179" s="76">
        <v>18.8</v>
      </c>
      <c r="I179" s="76">
        <v>13890</v>
      </c>
      <c r="J179" s="77">
        <v>668200000</v>
      </c>
      <c r="K179" s="77">
        <v>2477000</v>
      </c>
      <c r="L179" s="77">
        <v>2828000</v>
      </c>
      <c r="M179" s="78">
        <v>219.4</v>
      </c>
      <c r="N179" s="80">
        <v>6670.7999999999993</v>
      </c>
      <c r="O179" s="80">
        <v>29430000</v>
      </c>
      <c r="P179" s="80">
        <v>279200</v>
      </c>
      <c r="Q179" s="80">
        <v>435800</v>
      </c>
      <c r="R179" s="78">
        <v>46</v>
      </c>
      <c r="S179" s="79">
        <v>64.08</v>
      </c>
      <c r="T179" s="80">
        <v>1270000</v>
      </c>
      <c r="U179" s="242">
        <v>1994827865175.0002</v>
      </c>
      <c r="V179" s="81">
        <v>8067.96</v>
      </c>
      <c r="W179" s="74">
        <v>13</v>
      </c>
      <c r="X179" s="31" t="str">
        <f>IF(C179&lt;=1.2,IF(H179&lt;=100,IF(Calcul!$AG$2=460,"a","b"),IF(Calcul!$AG$2=460,"c","d")),IF(H179&lt;=40,IF(Calcul!$AG$2=460,"a0","a"),IF(Calcul!$AG$2=460,"a","b")))</f>
        <v>a</v>
      </c>
      <c r="Y179" s="31" t="str">
        <f>IF(C179&lt;=1.2,IF(H179&lt;=100,IF(Calcul!$AG$2=460,"a","c"),IF(Calcul!$AG$2=460,"c","d")),IF(H179&lt;=40,IF(Calcul!$AG$2=460,"a0","b"),IF(Calcul!$AG$2=460,"a","c")))</f>
        <v>b</v>
      </c>
      <c r="Z179" s="156">
        <f t="shared" si="4"/>
        <v>1415029.8806960986</v>
      </c>
      <c r="AA179" s="31">
        <f t="shared" si="5"/>
        <v>101103.76800000001</v>
      </c>
    </row>
    <row r="180" spans="1:27" ht="13">
      <c r="A180" s="9">
        <v>178</v>
      </c>
      <c r="B180" s="35" t="s">
        <v>959</v>
      </c>
      <c r="C180" s="40">
        <v>2.5696083058046248</v>
      </c>
      <c r="D180" s="76">
        <v>122</v>
      </c>
      <c r="E180" s="76">
        <v>544.5</v>
      </c>
      <c r="F180" s="76">
        <v>211.9</v>
      </c>
      <c r="G180" s="76">
        <v>12.7</v>
      </c>
      <c r="H180" s="76">
        <v>21.3</v>
      </c>
      <c r="I180" s="76">
        <v>15540</v>
      </c>
      <c r="J180" s="77">
        <v>760400000</v>
      </c>
      <c r="K180" s="77">
        <v>2793000</v>
      </c>
      <c r="L180" s="77">
        <v>3196000</v>
      </c>
      <c r="M180" s="78">
        <v>221.2</v>
      </c>
      <c r="N180" s="80">
        <v>7337.37</v>
      </c>
      <c r="O180" s="80">
        <v>33880000</v>
      </c>
      <c r="P180" s="80">
        <v>319700</v>
      </c>
      <c r="Q180" s="80">
        <v>499700</v>
      </c>
      <c r="R180" s="78">
        <v>46.7</v>
      </c>
      <c r="S180" s="79">
        <v>70.180000000000007</v>
      </c>
      <c r="T180" s="80">
        <v>1790000</v>
      </c>
      <c r="U180" s="242">
        <v>2318562892800.0005</v>
      </c>
      <c r="V180" s="81">
        <v>9165.8700000000008</v>
      </c>
      <c r="W180" s="74">
        <v>13</v>
      </c>
      <c r="X180" s="31" t="str">
        <f>IF(C180&lt;=1.2,IF(H180&lt;=100,IF(Calcul!$AG$2=460,"a","b"),IF(Calcul!$AG$2=460,"c","d")),IF(H180&lt;=40,IF(Calcul!$AG$2=460,"a0","a"),IF(Calcul!$AG$2=460,"a","b")))</f>
        <v>a</v>
      </c>
      <c r="Y180" s="31" t="str">
        <f>IF(C180&lt;=1.2,IF(H180&lt;=100,IF(Calcul!$AG$2=460,"a","c"),IF(Calcul!$AG$2=460,"c","d")),IF(H180&lt;=40,IF(Calcul!$AG$2=460,"a0","b"),IF(Calcul!$AG$2=460,"a","c")))</f>
        <v>b</v>
      </c>
      <c r="Z180" s="156">
        <f t="shared" si="4"/>
        <v>1598612.9150710986</v>
      </c>
      <c r="AA180" s="31">
        <f t="shared" si="5"/>
        <v>115562.93700000002</v>
      </c>
    </row>
    <row r="181" spans="1:27" ht="13">
      <c r="A181" s="9">
        <v>179</v>
      </c>
      <c r="B181" s="35" t="s">
        <v>960</v>
      </c>
      <c r="C181" s="40">
        <v>2.5654205607476634</v>
      </c>
      <c r="D181" s="76">
        <v>138</v>
      </c>
      <c r="E181" s="76">
        <v>549</v>
      </c>
      <c r="F181" s="76">
        <v>214</v>
      </c>
      <c r="G181" s="76">
        <v>14.7</v>
      </c>
      <c r="H181" s="76">
        <v>23.6</v>
      </c>
      <c r="I181" s="76">
        <v>17620</v>
      </c>
      <c r="J181" s="77">
        <v>861600000</v>
      </c>
      <c r="K181" s="77">
        <v>3139000</v>
      </c>
      <c r="L181" s="77">
        <v>3617000</v>
      </c>
      <c r="M181" s="78">
        <v>221</v>
      </c>
      <c r="N181" s="80">
        <v>8479.7199999999993</v>
      </c>
      <c r="O181" s="80">
        <v>38700000</v>
      </c>
      <c r="P181" s="80">
        <v>361700</v>
      </c>
      <c r="Q181" s="80">
        <v>569100</v>
      </c>
      <c r="R181" s="78">
        <v>46.8</v>
      </c>
      <c r="S181" s="79">
        <v>77.16</v>
      </c>
      <c r="T181" s="80">
        <v>2510000</v>
      </c>
      <c r="U181" s="242">
        <v>2670736922999.9995</v>
      </c>
      <c r="V181" s="81">
        <v>10243.540000000001</v>
      </c>
      <c r="W181" s="74">
        <v>13</v>
      </c>
      <c r="X181" s="31" t="str">
        <f>IF(C181&lt;=1.2,IF(H181&lt;=100,IF(Calcul!$AG$2=460,"a","b"),IF(Calcul!$AG$2=460,"c","d")),IF(H181&lt;=40,IF(Calcul!$AG$2=460,"a0","a"),IF(Calcul!$AG$2=460,"a","b")))</f>
        <v>a</v>
      </c>
      <c r="Y181" s="31" t="str">
        <f>IF(C181&lt;=1.2,IF(H181&lt;=100,IF(Calcul!$AG$2=460,"a","c"),IF(Calcul!$AG$2=460,"c","d")),IF(H181&lt;=40,IF(Calcul!$AG$2=460,"a0","b"),IF(Calcul!$AG$2=460,"a","c")))</f>
        <v>b</v>
      </c>
      <c r="Z181" s="156">
        <f t="shared" si="4"/>
        <v>1807417.0889250599</v>
      </c>
      <c r="AA181" s="31">
        <f t="shared" si="5"/>
        <v>130211.55450000003</v>
      </c>
    </row>
    <row r="182" spans="1:27" ht="13">
      <c r="A182" s="9">
        <v>180</v>
      </c>
      <c r="B182" s="35" t="s">
        <v>961</v>
      </c>
      <c r="C182" s="40">
        <v>3.3651685393258428</v>
      </c>
      <c r="D182" s="76">
        <v>82</v>
      </c>
      <c r="E182" s="76">
        <v>599</v>
      </c>
      <c r="F182" s="76">
        <v>178</v>
      </c>
      <c r="G182" s="76">
        <v>10</v>
      </c>
      <c r="H182" s="76">
        <v>12.8</v>
      </c>
      <c r="I182" s="76">
        <v>10440</v>
      </c>
      <c r="J182" s="77">
        <v>560300000</v>
      </c>
      <c r="K182" s="77">
        <v>1871000</v>
      </c>
      <c r="L182" s="77">
        <v>2199000</v>
      </c>
      <c r="M182" s="78">
        <v>231.7</v>
      </c>
      <c r="N182" s="80">
        <v>6344</v>
      </c>
      <c r="O182" s="80">
        <v>12090000</v>
      </c>
      <c r="P182" s="80">
        <v>135800</v>
      </c>
      <c r="Q182" s="80">
        <v>218300</v>
      </c>
      <c r="R182" s="78">
        <v>34</v>
      </c>
      <c r="S182" s="79">
        <v>50.83</v>
      </c>
      <c r="T182" s="80">
        <v>491000</v>
      </c>
      <c r="U182" s="242">
        <v>1038623004900.0001</v>
      </c>
      <c r="V182" s="81">
        <v>4706</v>
      </c>
      <c r="W182" s="74">
        <v>13</v>
      </c>
      <c r="X182" s="31" t="str">
        <f>IF(C182&lt;=1.2,IF(H182&lt;=100,IF(Calcul!$AG$2=460,"a","b"),IF(Calcul!$AG$2=460,"c","d")),IF(H182&lt;=40,IF(Calcul!$AG$2=460,"a0","a"),IF(Calcul!$AG$2=460,"a","b")))</f>
        <v>a</v>
      </c>
      <c r="Y182" s="31" t="str">
        <f>IF(C182&lt;=1.2,IF(H182&lt;=100,IF(Calcul!$AG$2=460,"a","c"),IF(Calcul!$AG$2=460,"c","d")),IF(H182&lt;=40,IF(Calcul!$AG$2=460,"a0","b"),IF(Calcul!$AG$2=460,"a","c")))</f>
        <v>b</v>
      </c>
      <c r="Z182" s="156">
        <f t="shared" si="4"/>
        <v>1099368.8134886855</v>
      </c>
      <c r="AA182" s="31">
        <f t="shared" si="5"/>
        <v>48620.800000000003</v>
      </c>
    </row>
    <row r="183" spans="1:27" ht="13">
      <c r="A183" s="9">
        <v>181</v>
      </c>
      <c r="B183" s="35" t="s">
        <v>962</v>
      </c>
      <c r="C183" s="40">
        <v>3.3687150837988828</v>
      </c>
      <c r="D183" s="76">
        <v>92</v>
      </c>
      <c r="E183" s="76">
        <v>603</v>
      </c>
      <c r="F183" s="76">
        <v>179</v>
      </c>
      <c r="G183" s="76">
        <v>10.9</v>
      </c>
      <c r="H183" s="76">
        <v>15</v>
      </c>
      <c r="I183" s="76">
        <v>11760</v>
      </c>
      <c r="J183" s="77">
        <v>646800000</v>
      </c>
      <c r="K183" s="77">
        <v>2145000</v>
      </c>
      <c r="L183" s="77">
        <v>2515000</v>
      </c>
      <c r="M183" s="78">
        <v>234.5</v>
      </c>
      <c r="N183" s="80">
        <v>6943.5</v>
      </c>
      <c r="O183" s="80">
        <v>14410000</v>
      </c>
      <c r="P183" s="80">
        <v>161000</v>
      </c>
      <c r="Q183" s="80">
        <v>258500</v>
      </c>
      <c r="R183" s="78">
        <v>35</v>
      </c>
      <c r="S183" s="79">
        <v>56.13</v>
      </c>
      <c r="T183" s="80">
        <v>713000</v>
      </c>
      <c r="U183" s="242">
        <v>1245542760000</v>
      </c>
      <c r="V183" s="81">
        <v>5514.3</v>
      </c>
      <c r="W183" s="74">
        <v>13</v>
      </c>
      <c r="X183" s="31" t="str">
        <f>IF(C183&lt;=1.2,IF(H183&lt;=100,IF(Calcul!$AG$2=460,"a","b"),IF(Calcul!$AG$2=460,"c","d")),IF(H183&lt;=40,IF(Calcul!$AG$2=460,"a0","a"),IF(Calcul!$AG$2=460,"a","b")))</f>
        <v>a</v>
      </c>
      <c r="Y183" s="31" t="str">
        <f>IF(C183&lt;=1.2,IF(H183&lt;=100,IF(Calcul!$AG$2=460,"a","c"),IF(Calcul!$AG$2=460,"c","d")),IF(H183&lt;=40,IF(Calcul!$AG$2=460,"a0","b"),IF(Calcul!$AG$2=460,"a","c")))</f>
        <v>b</v>
      </c>
      <c r="Z183" s="156">
        <f t="shared" si="4"/>
        <v>1257309.0789045312</v>
      </c>
      <c r="AA183" s="31">
        <f t="shared" si="5"/>
        <v>57523.856249999997</v>
      </c>
    </row>
    <row r="184" spans="1:27" ht="13">
      <c r="A184" s="9">
        <v>182</v>
      </c>
      <c r="B184" s="35" t="s">
        <v>963</v>
      </c>
      <c r="C184" s="40">
        <v>2.6476274165202112</v>
      </c>
      <c r="D184" s="76">
        <v>101</v>
      </c>
      <c r="E184" s="76">
        <v>602.6</v>
      </c>
      <c r="F184" s="76">
        <v>227.6</v>
      </c>
      <c r="G184" s="76">
        <v>10.5</v>
      </c>
      <c r="H184" s="76">
        <v>14.8</v>
      </c>
      <c r="I184" s="76">
        <v>12890</v>
      </c>
      <c r="J184" s="77">
        <v>757800000</v>
      </c>
      <c r="K184" s="77">
        <v>2515000</v>
      </c>
      <c r="L184" s="77">
        <v>2881000</v>
      </c>
      <c r="M184" s="78">
        <v>242.4</v>
      </c>
      <c r="N184" s="80">
        <v>6693.24</v>
      </c>
      <c r="O184" s="80">
        <v>29150000</v>
      </c>
      <c r="P184" s="80">
        <v>256100</v>
      </c>
      <c r="Q184" s="80">
        <v>400200</v>
      </c>
      <c r="R184" s="78">
        <v>47.5</v>
      </c>
      <c r="S184" s="79">
        <v>54.98</v>
      </c>
      <c r="T184" s="80">
        <v>772000</v>
      </c>
      <c r="U184" s="242">
        <v>2517895671500.0005</v>
      </c>
      <c r="V184" s="81">
        <v>6873.5</v>
      </c>
      <c r="W184" s="74">
        <v>13</v>
      </c>
      <c r="X184" s="31" t="str">
        <f>IF(C184&lt;=1.2,IF(H184&lt;=100,IF(Calcul!$AG$2=460,"a","b"),IF(Calcul!$AG$2=460,"c","d")),IF(H184&lt;=40,IF(Calcul!$AG$2=460,"a0","a"),IF(Calcul!$AG$2=460,"a","b")))</f>
        <v>a</v>
      </c>
      <c r="Y184" s="31" t="str">
        <f>IF(C184&lt;=1.2,IF(H184&lt;=100,IF(Calcul!$AG$2=460,"a","c"),IF(Calcul!$AG$2=460,"c","d")),IF(H184&lt;=40,IF(Calcul!$AG$2=460,"a0","b"),IF(Calcul!$AG$2=460,"a","c")))</f>
        <v>b</v>
      </c>
      <c r="Z184" s="156">
        <f t="shared" si="4"/>
        <v>1441498.9009045311</v>
      </c>
      <c r="AA184" s="31">
        <f t="shared" si="5"/>
        <v>93368.593500000017</v>
      </c>
    </row>
    <row r="185" spans="1:27" ht="13">
      <c r="A185" s="9">
        <v>183</v>
      </c>
      <c r="B185" s="35" t="s">
        <v>964</v>
      </c>
      <c r="C185" s="40">
        <v>2.6625766871165646</v>
      </c>
      <c r="D185" s="76">
        <v>113</v>
      </c>
      <c r="E185" s="76">
        <v>607.6</v>
      </c>
      <c r="F185" s="76">
        <v>228.2</v>
      </c>
      <c r="G185" s="76">
        <v>11.1</v>
      </c>
      <c r="H185" s="76">
        <v>17.3</v>
      </c>
      <c r="I185" s="76">
        <v>14390</v>
      </c>
      <c r="J185" s="77">
        <v>873200000</v>
      </c>
      <c r="K185" s="77">
        <v>2874000</v>
      </c>
      <c r="L185" s="77">
        <v>3281000</v>
      </c>
      <c r="M185" s="78">
        <v>246.3</v>
      </c>
      <c r="N185" s="80">
        <v>7136.11</v>
      </c>
      <c r="O185" s="80">
        <v>34340000</v>
      </c>
      <c r="P185" s="80">
        <v>301000</v>
      </c>
      <c r="Q185" s="80">
        <v>469300</v>
      </c>
      <c r="R185" s="78">
        <v>48.8</v>
      </c>
      <c r="S185" s="79">
        <v>60.58</v>
      </c>
      <c r="T185" s="80">
        <v>1120000</v>
      </c>
      <c r="U185" s="242">
        <v>2991478362650.0005</v>
      </c>
      <c r="V185" s="81">
        <v>8029.7</v>
      </c>
      <c r="W185" s="74">
        <v>13</v>
      </c>
      <c r="X185" s="31" t="str">
        <f>IF(C185&lt;=1.2,IF(H185&lt;=100,IF(Calcul!$AG$2=460,"a","b"),IF(Calcul!$AG$2=460,"c","d")),IF(H185&lt;=40,IF(Calcul!$AG$2=460,"a0","a"),IF(Calcul!$AG$2=460,"a","b")))</f>
        <v>a</v>
      </c>
      <c r="Y185" s="31" t="str">
        <f>IF(C185&lt;=1.2,IF(H185&lt;=100,IF(Calcul!$AG$2=460,"a","c"),IF(Calcul!$AG$2=460,"c","d")),IF(H185&lt;=40,IF(Calcul!$AG$2=460,"a0","b"),IF(Calcul!$AG$2=460,"a","c")))</f>
        <v>b</v>
      </c>
      <c r="Z185" s="156">
        <f t="shared" si="4"/>
        <v>1641338.1829045312</v>
      </c>
      <c r="AA185" s="31">
        <f t="shared" si="5"/>
        <v>109636.21987500001</v>
      </c>
    </row>
    <row r="186" spans="1:27" ht="13">
      <c r="A186" s="9">
        <v>184</v>
      </c>
      <c r="B186" s="35" t="s">
        <v>965</v>
      </c>
      <c r="C186" s="40">
        <v>2.6733624454148468</v>
      </c>
      <c r="D186" s="76">
        <v>125</v>
      </c>
      <c r="E186" s="76">
        <v>612.20000000000005</v>
      </c>
      <c r="F186" s="76">
        <v>229</v>
      </c>
      <c r="G186" s="76">
        <v>11.9</v>
      </c>
      <c r="H186" s="76">
        <v>19.600000000000001</v>
      </c>
      <c r="I186" s="76">
        <v>15930</v>
      </c>
      <c r="J186" s="77">
        <v>986100000</v>
      </c>
      <c r="K186" s="77">
        <v>3221000</v>
      </c>
      <c r="L186" s="77">
        <v>3676000</v>
      </c>
      <c r="M186" s="78">
        <v>248.8</v>
      </c>
      <c r="N186" s="80">
        <v>7696.0399999999991</v>
      </c>
      <c r="O186" s="80">
        <v>39320000</v>
      </c>
      <c r="P186" s="80">
        <v>343400</v>
      </c>
      <c r="Q186" s="80">
        <v>535400</v>
      </c>
      <c r="R186" s="78">
        <v>49.7</v>
      </c>
      <c r="S186" s="79">
        <v>65.98</v>
      </c>
      <c r="T186" s="80">
        <v>1550000</v>
      </c>
      <c r="U186" s="242">
        <v>3452047890799.999</v>
      </c>
      <c r="V186" s="81">
        <v>9111.3000000000011</v>
      </c>
      <c r="W186" s="74">
        <v>13</v>
      </c>
      <c r="X186" s="31" t="str">
        <f>IF(C186&lt;=1.2,IF(H186&lt;=100,IF(Calcul!$AG$2=460,"a","b"),IF(Calcul!$AG$2=460,"c","d")),IF(H186&lt;=40,IF(Calcul!$AG$2=460,"a0","a"),IF(Calcul!$AG$2=460,"a","b")))</f>
        <v>a</v>
      </c>
      <c r="Y186" s="31" t="str">
        <f>IF(C186&lt;=1.2,IF(H186&lt;=100,IF(Calcul!$AG$2=460,"a","c"),IF(Calcul!$AG$2=460,"c","d")),IF(H186&lt;=40,IF(Calcul!$AG$2=460,"a0","b"),IF(Calcul!$AG$2=460,"a","c")))</f>
        <v>b</v>
      </c>
      <c r="Z186" s="156">
        <f t="shared" si="4"/>
        <v>1838873.1239045314</v>
      </c>
      <c r="AA186" s="31">
        <f t="shared" si="5"/>
        <v>124961.24549999999</v>
      </c>
    </row>
    <row r="187" spans="1:27" ht="13">
      <c r="A187" s="9">
        <v>185</v>
      </c>
      <c r="B187" s="35" t="s">
        <v>966</v>
      </c>
      <c r="C187" s="40">
        <v>2.6811468288444829</v>
      </c>
      <c r="D187" s="76">
        <v>140</v>
      </c>
      <c r="E187" s="76">
        <v>617.20000000000005</v>
      </c>
      <c r="F187" s="76">
        <v>230.2</v>
      </c>
      <c r="G187" s="76">
        <v>13.1</v>
      </c>
      <c r="H187" s="76">
        <v>22.1</v>
      </c>
      <c r="I187" s="76">
        <v>17820</v>
      </c>
      <c r="J187" s="77">
        <v>1118000000</v>
      </c>
      <c r="K187" s="77">
        <v>3622000</v>
      </c>
      <c r="L187" s="77">
        <v>4142000</v>
      </c>
      <c r="M187" s="78">
        <v>250.5</v>
      </c>
      <c r="N187" s="80">
        <v>8509.27</v>
      </c>
      <c r="O187" s="80">
        <v>45050000</v>
      </c>
      <c r="P187" s="80">
        <v>391400</v>
      </c>
      <c r="Q187" s="80">
        <v>611400</v>
      </c>
      <c r="R187" s="78">
        <v>50.3</v>
      </c>
      <c r="S187" s="79">
        <v>72.180000000000007</v>
      </c>
      <c r="T187" s="80">
        <v>2170000</v>
      </c>
      <c r="U187" s="242">
        <v>3988546912624.999</v>
      </c>
      <c r="V187" s="81">
        <v>10313.700000000001</v>
      </c>
      <c r="W187" s="74">
        <v>13</v>
      </c>
      <c r="X187" s="31" t="str">
        <f>IF(C187&lt;=1.2,IF(H187&lt;=100,IF(Calcul!$AG$2=460,"a","b"),IF(Calcul!$AG$2=460,"c","d")),IF(H187&lt;=40,IF(Calcul!$AG$2=460,"a0","a"),IF(Calcul!$AG$2=460,"a","b")))</f>
        <v>a</v>
      </c>
      <c r="Y187" s="31" t="str">
        <f>IF(C187&lt;=1.2,IF(H187&lt;=100,IF(Calcul!$AG$2=460,"a","c"),IF(Calcul!$AG$2=460,"c","d")),IF(H187&lt;=40,IF(Calcul!$AG$2=460,"a0","b"),IF(Calcul!$AG$2=460,"a","c")))</f>
        <v>b</v>
      </c>
      <c r="Z187" s="156">
        <f t="shared" si="4"/>
        <v>2071971.3749045311</v>
      </c>
      <c r="AA187" s="31">
        <f t="shared" si="5"/>
        <v>142167.17287500002</v>
      </c>
    </row>
    <row r="188" spans="1:27" ht="13">
      <c r="A188" s="9">
        <v>186</v>
      </c>
      <c r="B188" s="35" t="s">
        <v>967</v>
      </c>
      <c r="C188" s="40">
        <v>2.0091863517060369</v>
      </c>
      <c r="D188" s="76">
        <v>149</v>
      </c>
      <c r="E188" s="76">
        <v>612.4</v>
      </c>
      <c r="F188" s="76">
        <v>304.8</v>
      </c>
      <c r="G188" s="76">
        <v>11.8</v>
      </c>
      <c r="H188" s="76">
        <v>19.7</v>
      </c>
      <c r="I188" s="76">
        <v>19000</v>
      </c>
      <c r="J188" s="77">
        <v>1259000000</v>
      </c>
      <c r="K188" s="77">
        <v>4111000</v>
      </c>
      <c r="L188" s="77">
        <v>4594000</v>
      </c>
      <c r="M188" s="78">
        <v>257.39999999999998</v>
      </c>
      <c r="N188" s="80">
        <v>7893.1399999999994</v>
      </c>
      <c r="O188" s="80">
        <v>93080000</v>
      </c>
      <c r="P188" s="80">
        <v>610700</v>
      </c>
      <c r="Q188" s="80">
        <v>937300</v>
      </c>
      <c r="R188" s="78">
        <v>70</v>
      </c>
      <c r="S188" s="79">
        <v>79.03</v>
      </c>
      <c r="T188" s="80">
        <v>2010000</v>
      </c>
      <c r="U188" s="242">
        <v>8174594858300.001</v>
      </c>
      <c r="V188" s="81">
        <v>12238.599999999999</v>
      </c>
      <c r="W188" s="74">
        <v>17</v>
      </c>
      <c r="X188" s="31" t="str">
        <f>IF(C188&lt;=1.2,IF(H188&lt;=100,IF(Calcul!$AG$2=460,"a","b"),IF(Calcul!$AG$2=460,"c","d")),IF(H188&lt;=40,IF(Calcul!$AG$2=460,"a0","a"),IF(Calcul!$AG$2=460,"a","b")))</f>
        <v>a</v>
      </c>
      <c r="Y188" s="31" t="str">
        <f>IF(C188&lt;=1.2,IF(H188&lt;=100,IF(Calcul!$AG$2=460,"a","c"),IF(Calcul!$AG$2=460,"c","d")),IF(H188&lt;=40,IF(Calcul!$AG$2=460,"a0","b"),IF(Calcul!$AG$2=460,"a","c")))</f>
        <v>b</v>
      </c>
      <c r="Z188" s="156">
        <f t="shared" si="4"/>
        <v>2298803.142082572</v>
      </c>
      <c r="AA188" s="31">
        <f t="shared" si="5"/>
        <v>223608.29750000002</v>
      </c>
    </row>
    <row r="189" spans="1:27" ht="13">
      <c r="A189" s="9">
        <v>187</v>
      </c>
      <c r="B189" s="35" t="s">
        <v>968</v>
      </c>
      <c r="C189" s="40">
        <v>2.7205240174672487</v>
      </c>
      <c r="D189" s="76">
        <v>153</v>
      </c>
      <c r="E189" s="76">
        <v>623</v>
      </c>
      <c r="F189" s="76">
        <v>229</v>
      </c>
      <c r="G189" s="76">
        <v>14</v>
      </c>
      <c r="H189" s="76">
        <v>24.9</v>
      </c>
      <c r="I189" s="76">
        <v>19570</v>
      </c>
      <c r="J189" s="77">
        <v>1252000000</v>
      </c>
      <c r="K189" s="77">
        <v>4019000</v>
      </c>
      <c r="L189" s="77">
        <v>4602000</v>
      </c>
      <c r="M189" s="78">
        <v>252.9</v>
      </c>
      <c r="N189" s="80">
        <v>9161.8000000000011</v>
      </c>
      <c r="O189" s="80">
        <v>49980000</v>
      </c>
      <c r="P189" s="80">
        <v>436500</v>
      </c>
      <c r="Q189" s="80">
        <v>682400</v>
      </c>
      <c r="R189" s="78">
        <v>50.5</v>
      </c>
      <c r="S189" s="79">
        <v>70.53</v>
      </c>
      <c r="T189" s="80">
        <v>2960000</v>
      </c>
      <c r="U189" s="242">
        <v>4469756506950.001</v>
      </c>
      <c r="V189" s="81">
        <v>11545.199999999999</v>
      </c>
      <c r="W189" s="74">
        <v>13</v>
      </c>
      <c r="X189" s="31" t="str">
        <f>IF(C189&lt;=1.2,IF(H189&lt;=100,IF(Calcul!$AG$2=460,"a","b"),IF(Calcul!$AG$2=460,"c","d")),IF(H189&lt;=40,IF(Calcul!$AG$2=460,"a0","a"),IF(Calcul!$AG$2=460,"a","b")))</f>
        <v>a</v>
      </c>
      <c r="Y189" s="31" t="str">
        <f>IF(C189&lt;=1.2,IF(H189&lt;=100,IF(Calcul!$AG$2=460,"a","c"),IF(Calcul!$AG$2=460,"c","d")),IF(H189&lt;=40,IF(Calcul!$AG$2=460,"a0","b"),IF(Calcul!$AG$2=460,"a","c")))</f>
        <v>b</v>
      </c>
      <c r="Z189" s="156">
        <f t="shared" si="4"/>
        <v>2300767.9949466083</v>
      </c>
      <c r="AA189" s="31">
        <f t="shared" si="5"/>
        <v>158242.61249999999</v>
      </c>
    </row>
    <row r="190" spans="1:27" ht="13">
      <c r="A190" s="9">
        <v>188</v>
      </c>
      <c r="B190" s="35" t="s">
        <v>969</v>
      </c>
      <c r="C190" s="40">
        <v>2.0195376098990554</v>
      </c>
      <c r="D190" s="76">
        <v>179</v>
      </c>
      <c r="E190" s="76">
        <v>620.20000000000005</v>
      </c>
      <c r="F190" s="76">
        <v>307.10000000000002</v>
      </c>
      <c r="G190" s="76">
        <v>14.1</v>
      </c>
      <c r="H190" s="76">
        <v>23.6</v>
      </c>
      <c r="I190" s="76">
        <v>22810</v>
      </c>
      <c r="J190" s="77">
        <v>1530000000</v>
      </c>
      <c r="K190" s="77">
        <v>4935000</v>
      </c>
      <c r="L190" s="77">
        <v>5547000</v>
      </c>
      <c r="M190" s="78">
        <v>259</v>
      </c>
      <c r="N190" s="80">
        <v>9450.0399999999972</v>
      </c>
      <c r="O190" s="80">
        <v>114100000</v>
      </c>
      <c r="P190" s="80">
        <v>743000</v>
      </c>
      <c r="Q190" s="80">
        <v>1144000</v>
      </c>
      <c r="R190" s="78">
        <v>70.7</v>
      </c>
      <c r="S190" s="79">
        <v>80.63</v>
      </c>
      <c r="T190" s="80">
        <v>3410000</v>
      </c>
      <c r="U190" s="242">
        <v>10152947748999.996</v>
      </c>
      <c r="V190" s="81">
        <v>14730.7</v>
      </c>
      <c r="W190" s="74">
        <v>17</v>
      </c>
      <c r="X190" s="31" t="str">
        <f>IF(C190&lt;=1.2,IF(H190&lt;=100,IF(Calcul!$AG$2=460,"a","b"),IF(Calcul!$AG$2=460,"c","d")),IF(H190&lt;=40,IF(Calcul!$AG$2=460,"a0","a"),IF(Calcul!$AG$2=460,"a","b")))</f>
        <v>a</v>
      </c>
      <c r="Y190" s="31" t="str">
        <f>IF(C190&lt;=1.2,IF(H190&lt;=100,IF(Calcul!$AG$2=460,"a","c"),IF(Calcul!$AG$2=460,"c","d")),IF(H190&lt;=40,IF(Calcul!$AG$2=460,"a0","b"),IF(Calcul!$AG$2=460,"a","c")))</f>
        <v>b</v>
      </c>
      <c r="Z190" s="156">
        <f t="shared" si="4"/>
        <v>2775693.5215825727</v>
      </c>
      <c r="AA190" s="31">
        <f t="shared" si="5"/>
        <v>271390.56</v>
      </c>
    </row>
    <row r="191" spans="1:27" ht="13">
      <c r="A191" s="9">
        <v>189</v>
      </c>
      <c r="B191" s="35" t="s">
        <v>970</v>
      </c>
      <c r="C191" s="40">
        <v>2.0417469492614004</v>
      </c>
      <c r="D191" s="76">
        <v>238</v>
      </c>
      <c r="E191" s="76">
        <v>635.79999999999995</v>
      </c>
      <c r="F191" s="76">
        <v>311.39999999999998</v>
      </c>
      <c r="G191" s="76">
        <v>18.399999999999999</v>
      </c>
      <c r="H191" s="76">
        <v>31.4</v>
      </c>
      <c r="I191" s="76">
        <v>30330</v>
      </c>
      <c r="J191" s="77">
        <v>2095000000</v>
      </c>
      <c r="K191" s="77">
        <v>6589000</v>
      </c>
      <c r="L191" s="77">
        <v>7486000</v>
      </c>
      <c r="M191" s="78">
        <v>262.8</v>
      </c>
      <c r="N191" s="80">
        <v>12419.440000000002</v>
      </c>
      <c r="O191" s="80">
        <v>158400000</v>
      </c>
      <c r="P191" s="80">
        <v>1017000</v>
      </c>
      <c r="Q191" s="80">
        <v>1574000</v>
      </c>
      <c r="R191" s="78">
        <v>72.3</v>
      </c>
      <c r="S191" s="79">
        <v>100.5</v>
      </c>
      <c r="T191" s="80">
        <v>7880000</v>
      </c>
      <c r="U191" s="242">
        <v>14465854656000.004</v>
      </c>
      <c r="V191" s="81">
        <v>19786.8</v>
      </c>
      <c r="W191" s="74">
        <v>17</v>
      </c>
      <c r="X191" s="31" t="str">
        <f>IF(C191&lt;=1.2,IF(H191&lt;=100,IF(Calcul!$AG$2=460,"a","b"),IF(Calcul!$AG$2=460,"c","d")),IF(H191&lt;=40,IF(Calcul!$AG$2=460,"a0","a"),IF(Calcul!$AG$2=460,"a","b")))</f>
        <v>a</v>
      </c>
      <c r="Y191" s="31" t="str">
        <f>IF(C191&lt;=1.2,IF(H191&lt;=100,IF(Calcul!$AG$2=460,"a","c"),IF(Calcul!$AG$2=460,"c","d")),IF(H191&lt;=40,IF(Calcul!$AG$2=460,"a0","b"),IF(Calcul!$AG$2=460,"a","c")))</f>
        <v>b</v>
      </c>
      <c r="Z191" s="156">
        <f t="shared" si="4"/>
        <v>3745122.7230825718</v>
      </c>
      <c r="AA191" s="31">
        <f t="shared" si="5"/>
        <v>369829.98499999999</v>
      </c>
    </row>
    <row r="192" spans="1:27" ht="13">
      <c r="A192" s="9">
        <v>190</v>
      </c>
      <c r="B192" s="35" t="s">
        <v>971</v>
      </c>
      <c r="C192" s="40">
        <v>2.6794466403162054</v>
      </c>
      <c r="D192" s="76">
        <v>125</v>
      </c>
      <c r="E192" s="76">
        <v>677.9</v>
      </c>
      <c r="F192" s="76">
        <v>253</v>
      </c>
      <c r="G192" s="76">
        <v>11.7</v>
      </c>
      <c r="H192" s="76">
        <v>16.2</v>
      </c>
      <c r="I192" s="76">
        <v>15950</v>
      </c>
      <c r="J192" s="77">
        <v>1180000000</v>
      </c>
      <c r="K192" s="77">
        <v>3481000</v>
      </c>
      <c r="L192" s="77">
        <v>3994000</v>
      </c>
      <c r="M192" s="78">
        <v>272</v>
      </c>
      <c r="N192" s="80">
        <v>8428.34</v>
      </c>
      <c r="O192" s="80">
        <v>43830000</v>
      </c>
      <c r="P192" s="80">
        <v>346500</v>
      </c>
      <c r="Q192" s="80">
        <v>542400</v>
      </c>
      <c r="R192" s="78">
        <v>52.4</v>
      </c>
      <c r="S192" s="79">
        <v>61.91</v>
      </c>
      <c r="T192" s="80">
        <v>1160000</v>
      </c>
      <c r="U192" s="242">
        <v>4797707297174.999</v>
      </c>
      <c r="V192" s="81">
        <v>8397.6500000000015</v>
      </c>
      <c r="W192" s="74">
        <v>15</v>
      </c>
      <c r="X192" s="31" t="str">
        <f>IF(C192&lt;=1.2,IF(H192&lt;=100,IF(Calcul!$AG$2=460,"a","b"),IF(Calcul!$AG$2=460,"c","d")),IF(H192&lt;=40,IF(Calcul!$AG$2=460,"a0","a"),IF(Calcul!$AG$2=460,"a","b")))</f>
        <v>a</v>
      </c>
      <c r="Y192" s="31" t="str">
        <f>IF(C192&lt;=1.2,IF(H192&lt;=100,IF(Calcul!$AG$2=460,"a","c"),IF(Calcul!$AG$2=460,"c","d")),IF(H192&lt;=40,IF(Calcul!$AG$2=460,"a0","b"),IF(Calcul!$AG$2=460,"a","c")))</f>
        <v>b</v>
      </c>
      <c r="Z192" s="156">
        <f t="shared" si="4"/>
        <v>1996246.7923528107</v>
      </c>
      <c r="AA192" s="31">
        <f t="shared" si="5"/>
        <v>126096.97274999999</v>
      </c>
    </row>
    <row r="193" spans="1:27" ht="13">
      <c r="A193" s="9">
        <v>191</v>
      </c>
      <c r="B193" s="35" t="s">
        <v>972</v>
      </c>
      <c r="C193" s="40">
        <v>2.6941269215608989</v>
      </c>
      <c r="D193" s="76">
        <v>140</v>
      </c>
      <c r="E193" s="76">
        <v>683.5</v>
      </c>
      <c r="F193" s="76">
        <v>253.7</v>
      </c>
      <c r="G193" s="76">
        <v>12.4</v>
      </c>
      <c r="H193" s="76">
        <v>19</v>
      </c>
      <c r="I193" s="76">
        <v>17840</v>
      </c>
      <c r="J193" s="77">
        <v>1363000000</v>
      </c>
      <c r="K193" s="77">
        <v>3987000</v>
      </c>
      <c r="L193" s="77">
        <v>4558000</v>
      </c>
      <c r="M193" s="78">
        <v>276.39999999999998</v>
      </c>
      <c r="N193" s="80">
        <v>9005</v>
      </c>
      <c r="O193" s="80">
        <v>51830000</v>
      </c>
      <c r="P193" s="80">
        <v>408600</v>
      </c>
      <c r="Q193" s="80">
        <v>638200</v>
      </c>
      <c r="R193" s="78">
        <v>53.9</v>
      </c>
      <c r="S193" s="79">
        <v>68.209999999999994</v>
      </c>
      <c r="T193" s="80">
        <v>1680000</v>
      </c>
      <c r="U193" s="242">
        <v>5721516939375</v>
      </c>
      <c r="V193" s="81">
        <v>9835.7999999999993</v>
      </c>
      <c r="W193" s="74">
        <v>15</v>
      </c>
      <c r="X193" s="31" t="str">
        <f>IF(C193&lt;=1.2,IF(H193&lt;=100,IF(Calcul!$AG$2=460,"a","b"),IF(Calcul!$AG$2=460,"c","d")),IF(H193&lt;=40,IF(Calcul!$AG$2=460,"a0","a"),IF(Calcul!$AG$2=460,"a","b")))</f>
        <v>a</v>
      </c>
      <c r="Y193" s="31" t="str">
        <f>IF(C193&lt;=1.2,IF(H193&lt;=100,IF(Calcul!$AG$2=460,"a","c"),IF(Calcul!$AG$2=460,"c","d")),IF(H193&lt;=40,IF(Calcul!$AG$2=460,"a0","b"),IF(Calcul!$AG$2=460,"a","c")))</f>
        <v>b</v>
      </c>
      <c r="Z193" s="156">
        <f t="shared" si="4"/>
        <v>2278228.3042278113</v>
      </c>
      <c r="AA193" s="31">
        <f t="shared" si="5"/>
        <v>148594.08374999999</v>
      </c>
    </row>
    <row r="194" spans="1:27" ht="13">
      <c r="A194" s="9">
        <v>192</v>
      </c>
      <c r="B194" s="35" t="s">
        <v>973</v>
      </c>
      <c r="C194" s="40">
        <v>2.7013752455795679</v>
      </c>
      <c r="D194" s="76">
        <v>152</v>
      </c>
      <c r="E194" s="76">
        <v>687.5</v>
      </c>
      <c r="F194" s="76">
        <v>254.5</v>
      </c>
      <c r="G194" s="76">
        <v>13.2</v>
      </c>
      <c r="H194" s="76">
        <v>21</v>
      </c>
      <c r="I194" s="76">
        <v>19410</v>
      </c>
      <c r="J194" s="77">
        <v>1504000000</v>
      </c>
      <c r="K194" s="77">
        <v>4374000</v>
      </c>
      <c r="L194" s="77">
        <v>5000000</v>
      </c>
      <c r="M194" s="78">
        <v>278.3</v>
      </c>
      <c r="N194" s="80">
        <v>9628.2000000000007</v>
      </c>
      <c r="O194" s="80">
        <v>57840000</v>
      </c>
      <c r="P194" s="80">
        <v>454500</v>
      </c>
      <c r="Q194" s="80">
        <v>710200</v>
      </c>
      <c r="R194" s="78">
        <v>54.6</v>
      </c>
      <c r="S194" s="79">
        <v>73.010000000000005</v>
      </c>
      <c r="T194" s="80">
        <v>2190000</v>
      </c>
      <c r="U194" s="242">
        <v>6423453735000</v>
      </c>
      <c r="V194" s="81">
        <v>10889.4</v>
      </c>
      <c r="W194" s="74">
        <v>15</v>
      </c>
      <c r="X194" s="31" t="str">
        <f>IF(C194&lt;=1.2,IF(H194&lt;=100,IF(Calcul!$AG$2=460,"a","b"),IF(Calcul!$AG$2=460,"c","d")),IF(H194&lt;=40,IF(Calcul!$AG$2=460,"a0","a"),IF(Calcul!$AG$2=460,"a","b")))</f>
        <v>a</v>
      </c>
      <c r="Y194" s="31" t="str">
        <f>IF(C194&lt;=1.2,IF(H194&lt;=100,IF(Calcul!$AG$2=460,"a","c"),IF(Calcul!$AG$2=460,"c","d")),IF(H194&lt;=40,IF(Calcul!$AG$2=460,"a0","b"),IF(Calcul!$AG$2=460,"a","c")))</f>
        <v>b</v>
      </c>
      <c r="Z194" s="156">
        <f t="shared" si="4"/>
        <v>2499405.2792278109</v>
      </c>
      <c r="AA194" s="31">
        <f t="shared" si="5"/>
        <v>165123.02625</v>
      </c>
    </row>
    <row r="195" spans="1:27" ht="13">
      <c r="A195" s="9">
        <v>193</v>
      </c>
      <c r="B195" s="35" t="s">
        <v>974</v>
      </c>
      <c r="C195" s="40">
        <v>2.7087568412822516</v>
      </c>
      <c r="D195" s="76">
        <v>170</v>
      </c>
      <c r="E195" s="76">
        <v>692.9</v>
      </c>
      <c r="F195" s="76">
        <v>255.8</v>
      </c>
      <c r="G195" s="76">
        <v>14.5</v>
      </c>
      <c r="H195" s="76">
        <v>23.7</v>
      </c>
      <c r="I195" s="76">
        <v>21680</v>
      </c>
      <c r="J195" s="77">
        <v>1703000000</v>
      </c>
      <c r="K195" s="77">
        <v>4916000</v>
      </c>
      <c r="L195" s="77">
        <v>5631000</v>
      </c>
      <c r="M195" s="78">
        <v>280.3</v>
      </c>
      <c r="N195" s="80">
        <v>10609.73</v>
      </c>
      <c r="O195" s="80">
        <v>66300000</v>
      </c>
      <c r="P195" s="80">
        <v>518400</v>
      </c>
      <c r="Q195" s="80">
        <v>811400</v>
      </c>
      <c r="R195" s="78">
        <v>55.3</v>
      </c>
      <c r="S195" s="79">
        <v>79.709999999999994</v>
      </c>
      <c r="T195" s="80">
        <v>3070000</v>
      </c>
      <c r="U195" s="242">
        <v>7422759707999.998</v>
      </c>
      <c r="V195" s="81">
        <v>12320.25</v>
      </c>
      <c r="W195" s="74">
        <v>15</v>
      </c>
      <c r="X195" s="31" t="str">
        <f>IF(C195&lt;=1.2,IF(H195&lt;=100,IF(Calcul!$AG$2=460,"a","b"),IF(Calcul!$AG$2=460,"c","d")),IF(H195&lt;=40,IF(Calcul!$AG$2=460,"a0","a"),IF(Calcul!$AG$2=460,"a","b")))</f>
        <v>a</v>
      </c>
      <c r="Y195" s="31" t="str">
        <f>IF(C195&lt;=1.2,IF(H195&lt;=100,IF(Calcul!$AG$2=460,"a","c"),IF(Calcul!$AG$2=460,"c","d")),IF(H195&lt;=40,IF(Calcul!$AG$2=460,"a0","b"),IF(Calcul!$AG$2=460,"a","c")))</f>
        <v>b</v>
      </c>
      <c r="Z195" s="156">
        <f t="shared" ref="Z195:Z263" si="6">G195*(0.5*E195-H195)^2/2+(2-PI()/2)*W195^2*((0.5*E195-H195-W195)+(((1-PI()/2*0.4244)*W195)/(2-PI()/2)))+(H195*F195)*(0.5*E195-0.5*H195)</f>
        <v>2814558.6858528112</v>
      </c>
      <c r="AA195" s="31">
        <f t="shared" ref="AA195:AA263" si="7">(0.5*(0.5*F195-W195-0.5*G195)+W195+0.5*G195)*H195*(0.5*F195-W195-0.5*G195)</f>
        <v>187980.66787500001</v>
      </c>
    </row>
    <row r="196" spans="1:27" ht="13">
      <c r="A196" s="9">
        <v>194</v>
      </c>
      <c r="B196" s="35" t="s">
        <v>975</v>
      </c>
      <c r="C196" s="40">
        <v>2.7637795275590551</v>
      </c>
      <c r="D196" s="76">
        <v>192</v>
      </c>
      <c r="E196" s="76">
        <v>702</v>
      </c>
      <c r="F196" s="76">
        <v>254</v>
      </c>
      <c r="G196" s="76">
        <v>15.5</v>
      </c>
      <c r="H196" s="76">
        <v>27.9</v>
      </c>
      <c r="I196" s="76">
        <v>24380</v>
      </c>
      <c r="J196" s="77">
        <v>1979000000</v>
      </c>
      <c r="K196" s="77">
        <v>5639000</v>
      </c>
      <c r="L196" s="77">
        <v>6457000</v>
      </c>
      <c r="M196" s="78">
        <v>284.89999999999998</v>
      </c>
      <c r="N196" s="80">
        <v>11476.250000000002</v>
      </c>
      <c r="O196" s="80">
        <v>76430000</v>
      </c>
      <c r="P196" s="80">
        <v>601800</v>
      </c>
      <c r="Q196" s="80">
        <v>941000</v>
      </c>
      <c r="R196" s="78">
        <v>56</v>
      </c>
      <c r="S196" s="79">
        <v>88.87</v>
      </c>
      <c r="T196" s="80">
        <v>4610000</v>
      </c>
      <c r="U196" s="242">
        <v>8682654552075.001</v>
      </c>
      <c r="V196" s="81">
        <v>14363.9</v>
      </c>
      <c r="W196" s="74">
        <v>15</v>
      </c>
      <c r="X196" s="31" t="str">
        <f>IF(C196&lt;=1.2,IF(H196&lt;=100,IF(Calcul!$AG$2=460,"a","b"),IF(Calcul!$AG$2=460,"c","d")),IF(H196&lt;=40,IF(Calcul!$AG$2=460,"a0","a"),IF(Calcul!$AG$2=460,"a","b")))</f>
        <v>a</v>
      </c>
      <c r="Y196" s="31" t="str">
        <f>IF(C196&lt;=1.2,IF(H196&lt;=100,IF(Calcul!$AG$2=460,"a","c"),IF(Calcul!$AG$2=460,"c","d")),IF(H196&lt;=40,IF(Calcul!$AG$2=460,"a0","b"),IF(Calcul!$AG$2=460,"a","c")))</f>
        <v>b</v>
      </c>
      <c r="Z196" s="156">
        <f t="shared" si="6"/>
        <v>3228467.5490170759</v>
      </c>
      <c r="AA196" s="31">
        <f t="shared" si="7"/>
        <v>217779.55312499998</v>
      </c>
    </row>
    <row r="197" spans="1:27" ht="13">
      <c r="A197" s="9">
        <v>195</v>
      </c>
      <c r="B197" s="35" t="s">
        <v>976</v>
      </c>
      <c r="C197" s="40">
        <v>2.8366111951588504</v>
      </c>
      <c r="D197" s="76">
        <v>134</v>
      </c>
      <c r="E197" s="76">
        <v>750</v>
      </c>
      <c r="F197" s="76">
        <v>264.39999999999998</v>
      </c>
      <c r="G197" s="76">
        <v>12</v>
      </c>
      <c r="H197" s="76">
        <v>15.5</v>
      </c>
      <c r="I197" s="76">
        <v>17060</v>
      </c>
      <c r="J197" s="77">
        <v>1507000000</v>
      </c>
      <c r="K197" s="77">
        <v>4018000</v>
      </c>
      <c r="L197" s="77">
        <v>4644000</v>
      </c>
      <c r="M197" s="78">
        <v>297.2</v>
      </c>
      <c r="N197" s="80">
        <v>9576.6</v>
      </c>
      <c r="O197" s="80">
        <v>47880000</v>
      </c>
      <c r="P197" s="80">
        <v>362200</v>
      </c>
      <c r="Q197" s="80">
        <v>569900</v>
      </c>
      <c r="R197" s="78">
        <v>53</v>
      </c>
      <c r="S197" s="79">
        <v>62.33</v>
      </c>
      <c r="T197" s="80">
        <v>1200000</v>
      </c>
      <c r="U197" s="242">
        <v>6457698292500</v>
      </c>
      <c r="V197" s="81">
        <v>8432</v>
      </c>
      <c r="W197" s="74">
        <v>17</v>
      </c>
      <c r="X197" s="31" t="str">
        <f>IF(C197&lt;=1.2,IF(H197&lt;=100,IF(Calcul!$AG$2=460,"a","b"),IF(Calcul!$AG$2=460,"c","d")),IF(H197&lt;=40,IF(Calcul!$AG$2=460,"a0","a"),IF(Calcul!$AG$2=460,"a","b")))</f>
        <v>a</v>
      </c>
      <c r="Y197" s="31" t="str">
        <f>IF(C197&lt;=1.2,IF(H197&lt;=100,IF(Calcul!$AG$2=460,"a","c"),IF(Calcul!$AG$2=460,"c","d")),IF(H197&lt;=40,IF(Calcul!$AG$2=460,"a0","b"),IF(Calcul!$AG$2=460,"a","c")))</f>
        <v>b</v>
      </c>
      <c r="Z197" s="156">
        <f t="shared" si="6"/>
        <v>2324626.8709761803</v>
      </c>
      <c r="AA197" s="31">
        <f t="shared" si="7"/>
        <v>131345.75999999998</v>
      </c>
    </row>
    <row r="198" spans="1:27" ht="13">
      <c r="A198" s="9">
        <v>196</v>
      </c>
      <c r="B198" s="35" t="s">
        <v>977</v>
      </c>
      <c r="C198" s="40">
        <v>2.8431372549019609</v>
      </c>
      <c r="D198" s="76">
        <v>147</v>
      </c>
      <c r="E198" s="76">
        <v>754</v>
      </c>
      <c r="F198" s="76">
        <v>265.2</v>
      </c>
      <c r="G198" s="76">
        <v>12.8</v>
      </c>
      <c r="H198" s="76">
        <v>17.5</v>
      </c>
      <c r="I198" s="76">
        <v>18720</v>
      </c>
      <c r="J198" s="77">
        <v>1685000000</v>
      </c>
      <c r="K198" s="77">
        <v>4470000</v>
      </c>
      <c r="L198" s="77">
        <v>5156000</v>
      </c>
      <c r="M198" s="78">
        <v>300</v>
      </c>
      <c r="N198" s="80">
        <v>10257</v>
      </c>
      <c r="O198" s="80">
        <v>54550000</v>
      </c>
      <c r="P198" s="80">
        <v>411400</v>
      </c>
      <c r="Q198" s="80">
        <v>647200</v>
      </c>
      <c r="R198" s="78">
        <v>54</v>
      </c>
      <c r="S198" s="79">
        <v>67.13</v>
      </c>
      <c r="T198" s="80">
        <v>1600000</v>
      </c>
      <c r="U198" s="242">
        <v>7397419809375</v>
      </c>
      <c r="V198" s="81">
        <v>9516.7999999999993</v>
      </c>
      <c r="W198" s="74">
        <v>17</v>
      </c>
      <c r="X198" s="31" t="str">
        <f>IF(C198&lt;=1.2,IF(H198&lt;=100,IF(Calcul!$AG$2=460,"a","b"),IF(Calcul!$AG$2=460,"c","d")),IF(H198&lt;=40,IF(Calcul!$AG$2=460,"a0","a"),IF(Calcul!$AG$2=460,"a","b")))</f>
        <v>a</v>
      </c>
      <c r="Y198" s="31" t="str">
        <f>IF(C198&lt;=1.2,IF(H198&lt;=100,IF(Calcul!$AG$2=460,"a","c"),IF(Calcul!$AG$2=460,"c","d")),IF(H198&lt;=40,IF(Calcul!$AG$2=460,"a0","b"),IF(Calcul!$AG$2=460,"a","c")))</f>
        <v>b</v>
      </c>
      <c r="Z198" s="156">
        <f t="shared" si="6"/>
        <v>2580307.2709761802</v>
      </c>
      <c r="AA198" s="31">
        <f t="shared" si="7"/>
        <v>149057.99999999997</v>
      </c>
    </row>
    <row r="199" spans="1:27" ht="13">
      <c r="A199" s="9">
        <v>197</v>
      </c>
      <c r="B199" s="35" t="s">
        <v>978</v>
      </c>
      <c r="C199" s="40">
        <v>2.8578927634045748</v>
      </c>
      <c r="D199" s="76">
        <v>173</v>
      </c>
      <c r="E199" s="76">
        <v>762.2</v>
      </c>
      <c r="F199" s="76">
        <v>266.7</v>
      </c>
      <c r="G199" s="76">
        <v>14.3</v>
      </c>
      <c r="H199" s="76">
        <v>21.6</v>
      </c>
      <c r="I199" s="76">
        <v>22040</v>
      </c>
      <c r="J199" s="77">
        <v>2053000000</v>
      </c>
      <c r="K199" s="77">
        <v>5387000</v>
      </c>
      <c r="L199" s="77">
        <v>6198000</v>
      </c>
      <c r="M199" s="78">
        <v>305.2</v>
      </c>
      <c r="N199" s="80">
        <v>11561.84</v>
      </c>
      <c r="O199" s="80">
        <v>68500000</v>
      </c>
      <c r="P199" s="80">
        <v>513700</v>
      </c>
      <c r="Q199" s="80">
        <v>807500</v>
      </c>
      <c r="R199" s="78">
        <v>55.8</v>
      </c>
      <c r="S199" s="79">
        <v>76.83</v>
      </c>
      <c r="T199" s="80">
        <v>2680000</v>
      </c>
      <c r="U199" s="242">
        <v>9392863165000</v>
      </c>
      <c r="V199" s="81">
        <v>11758.3</v>
      </c>
      <c r="W199" s="74">
        <v>17</v>
      </c>
      <c r="X199" s="31" t="str">
        <f>IF(C199&lt;=1.2,IF(H199&lt;=100,IF(Calcul!$AG$2=460,"a","b"),IF(Calcul!$AG$2=460,"c","d")),IF(H199&lt;=40,IF(Calcul!$AG$2=460,"a0","a"),IF(Calcul!$AG$2=460,"a","b")))</f>
        <v>a</v>
      </c>
      <c r="Y199" s="31" t="str">
        <f>IF(C199&lt;=1.2,IF(H199&lt;=100,IF(Calcul!$AG$2=460,"a","c"),IF(Calcul!$AG$2=460,"c","d")),IF(H199&lt;=40,IF(Calcul!$AG$2=460,"a0","b"),IF(Calcul!$AG$2=460,"a","c")))</f>
        <v>b</v>
      </c>
      <c r="Z199" s="156">
        <f t="shared" si="6"/>
        <v>3101383.8244761806</v>
      </c>
      <c r="AA199" s="31">
        <f t="shared" si="7"/>
        <v>185749.19999999998</v>
      </c>
    </row>
    <row r="200" spans="1:27" ht="13">
      <c r="A200" s="9">
        <v>198</v>
      </c>
      <c r="B200" s="35" t="s">
        <v>979</v>
      </c>
      <c r="C200" s="40">
        <v>2.8723880597014926</v>
      </c>
      <c r="D200" s="76">
        <v>197</v>
      </c>
      <c r="E200" s="76">
        <v>769.8</v>
      </c>
      <c r="F200" s="76">
        <v>268</v>
      </c>
      <c r="G200" s="76">
        <v>15.6</v>
      </c>
      <c r="H200" s="76">
        <v>25.4</v>
      </c>
      <c r="I200" s="76">
        <v>25060</v>
      </c>
      <c r="J200" s="77">
        <v>2400000000</v>
      </c>
      <c r="K200" s="77">
        <v>6234000</v>
      </c>
      <c r="L200" s="77">
        <v>7167000</v>
      </c>
      <c r="M200" s="78">
        <v>309.39999999999998</v>
      </c>
      <c r="N200" s="80">
        <v>12705.44</v>
      </c>
      <c r="O200" s="80">
        <v>81750000</v>
      </c>
      <c r="P200" s="80">
        <v>610100</v>
      </c>
      <c r="Q200" s="80">
        <v>958600</v>
      </c>
      <c r="R200" s="78">
        <v>57.1</v>
      </c>
      <c r="S200" s="79">
        <v>85.73</v>
      </c>
      <c r="T200" s="80">
        <v>4060000</v>
      </c>
      <c r="U200" s="242">
        <v>11325059670000.002</v>
      </c>
      <c r="V200" s="81">
        <v>13843.599999999999</v>
      </c>
      <c r="W200" s="74">
        <v>17</v>
      </c>
      <c r="X200" s="31" t="str">
        <f>IF(C200&lt;=1.2,IF(H200&lt;=100,IF(Calcul!$AG$2=460,"a","b"),IF(Calcul!$AG$2=460,"c","d")),IF(H200&lt;=40,IF(Calcul!$AG$2=460,"a0","a"),IF(Calcul!$AG$2=460,"a","b")))</f>
        <v>a</v>
      </c>
      <c r="Y200" s="31" t="str">
        <f>IF(C200&lt;=1.2,IF(H200&lt;=100,IF(Calcul!$AG$2=460,"a","c"),IF(Calcul!$AG$2=460,"c","d")),IF(H200&lt;=40,IF(Calcul!$AG$2=460,"a0","b"),IF(Calcul!$AG$2=460,"a","c")))</f>
        <v>b</v>
      </c>
      <c r="Z200" s="156">
        <f t="shared" si="6"/>
        <v>3585835.2109761802</v>
      </c>
      <c r="AA200" s="31">
        <f t="shared" si="7"/>
        <v>220230.19199999998</v>
      </c>
    </row>
    <row r="201" spans="1:27" ht="13">
      <c r="A201" s="9">
        <v>199</v>
      </c>
      <c r="B201" s="35" t="s">
        <v>980</v>
      </c>
      <c r="C201" s="40">
        <v>2.9285714285714284</v>
      </c>
      <c r="D201" s="76">
        <v>220</v>
      </c>
      <c r="E201" s="76">
        <v>779</v>
      </c>
      <c r="F201" s="76">
        <v>266</v>
      </c>
      <c r="G201" s="76">
        <v>16.5</v>
      </c>
      <c r="H201" s="76">
        <v>30</v>
      </c>
      <c r="I201" s="76">
        <v>28070</v>
      </c>
      <c r="J201" s="77">
        <v>2782000000</v>
      </c>
      <c r="K201" s="77">
        <v>7143000</v>
      </c>
      <c r="L201" s="77">
        <v>8198000</v>
      </c>
      <c r="M201" s="78">
        <v>314.8</v>
      </c>
      <c r="N201" s="80">
        <v>13625</v>
      </c>
      <c r="O201" s="80">
        <v>94400000</v>
      </c>
      <c r="P201" s="80">
        <v>709900</v>
      </c>
      <c r="Q201" s="80">
        <v>1113000</v>
      </c>
      <c r="R201" s="78">
        <v>58</v>
      </c>
      <c r="S201" s="79">
        <v>96.42</v>
      </c>
      <c r="T201" s="80">
        <v>6070000</v>
      </c>
      <c r="U201" s="242">
        <v>13239623600000</v>
      </c>
      <c r="V201" s="81">
        <v>16206.5</v>
      </c>
      <c r="W201" s="74">
        <v>17</v>
      </c>
      <c r="X201" s="31" t="str">
        <f>IF(C201&lt;=1.2,IF(H201&lt;=100,IF(Calcul!$AG$2=460,"a","b"),IF(Calcul!$AG$2=460,"c","d")),IF(H201&lt;=40,IF(Calcul!$AG$2=460,"a0","a"),IF(Calcul!$AG$2=460,"a","b")))</f>
        <v>a</v>
      </c>
      <c r="Y201" s="31" t="str">
        <f>IF(C201&lt;=1.2,IF(H201&lt;=100,IF(Calcul!$AG$2=460,"a","c"),IF(Calcul!$AG$2=460,"c","d")),IF(H201&lt;=40,IF(Calcul!$AG$2=460,"a0","b"),IF(Calcul!$AG$2=460,"a","c")))</f>
        <v>b</v>
      </c>
      <c r="Z201" s="156">
        <f t="shared" si="6"/>
        <v>4098863.4834761806</v>
      </c>
      <c r="AA201" s="31">
        <f t="shared" si="7"/>
        <v>255771.5625</v>
      </c>
    </row>
    <row r="202" spans="1:27" ht="13">
      <c r="A202" s="9">
        <v>200</v>
      </c>
      <c r="B202" s="35" t="s">
        <v>981</v>
      </c>
      <c r="C202" s="40">
        <v>2.862187178608159</v>
      </c>
      <c r="D202" s="76">
        <v>176</v>
      </c>
      <c r="E202" s="76">
        <v>834.9</v>
      </c>
      <c r="F202" s="76">
        <v>291.7</v>
      </c>
      <c r="G202" s="76">
        <v>14</v>
      </c>
      <c r="H202" s="76">
        <v>18.8</v>
      </c>
      <c r="I202" s="76">
        <v>22400</v>
      </c>
      <c r="J202" s="77">
        <v>2460000000</v>
      </c>
      <c r="K202" s="77">
        <v>5893000</v>
      </c>
      <c r="L202" s="77">
        <v>6808000</v>
      </c>
      <c r="M202" s="78">
        <v>331.4</v>
      </c>
      <c r="N202" s="80">
        <v>12372.08</v>
      </c>
      <c r="O202" s="80">
        <v>77990000</v>
      </c>
      <c r="P202" s="80">
        <v>534700</v>
      </c>
      <c r="Q202" s="80">
        <v>841900</v>
      </c>
      <c r="R202" s="78">
        <v>59</v>
      </c>
      <c r="S202" s="79">
        <v>72.45</v>
      </c>
      <c r="T202" s="80">
        <v>2220000</v>
      </c>
      <c r="U202" s="242">
        <v>12985709546975.002</v>
      </c>
      <c r="V202" s="81">
        <v>11237.800000000001</v>
      </c>
      <c r="W202" s="74">
        <v>18</v>
      </c>
      <c r="X202" s="31" t="str">
        <f>IF(C202&lt;=1.2,IF(H202&lt;=100,IF(Calcul!$AG$2=460,"a","b"),IF(Calcul!$AG$2=460,"c","d")),IF(H202&lt;=40,IF(Calcul!$AG$2=460,"a0","a"),IF(Calcul!$AG$2=460,"a","b")))</f>
        <v>a</v>
      </c>
      <c r="Y202" s="31" t="str">
        <f>IF(C202&lt;=1.2,IF(H202&lt;=100,IF(Calcul!$AG$2=460,"a","c"),IF(Calcul!$AG$2=460,"c","d")),IF(H202&lt;=40,IF(Calcul!$AG$2=460,"a0","b"),IF(Calcul!$AG$2=460,"a","c")))</f>
        <v>b</v>
      </c>
      <c r="Z202" s="156">
        <f t="shared" si="6"/>
        <v>3405060.7027935022</v>
      </c>
      <c r="AA202" s="31">
        <f t="shared" si="7"/>
        <v>194083.8915</v>
      </c>
    </row>
    <row r="203" spans="1:27" ht="13">
      <c r="A203" s="9">
        <v>201</v>
      </c>
      <c r="B203" s="35" t="s">
        <v>982</v>
      </c>
      <c r="C203" s="40">
        <v>2.8751709986320115</v>
      </c>
      <c r="D203" s="76">
        <v>194</v>
      </c>
      <c r="E203" s="76">
        <v>840.7</v>
      </c>
      <c r="F203" s="76">
        <v>292.39999999999998</v>
      </c>
      <c r="G203" s="76">
        <v>14.7</v>
      </c>
      <c r="H203" s="76">
        <v>21.7</v>
      </c>
      <c r="I203" s="76">
        <v>24680</v>
      </c>
      <c r="J203" s="77">
        <v>2792000000</v>
      </c>
      <c r="K203" s="77">
        <v>6641000</v>
      </c>
      <c r="L203" s="77">
        <v>7640000</v>
      </c>
      <c r="M203" s="78">
        <v>336.3</v>
      </c>
      <c r="N203" s="80">
        <v>13090.030000000002</v>
      </c>
      <c r="O203" s="80">
        <v>90660000</v>
      </c>
      <c r="P203" s="80">
        <v>620100</v>
      </c>
      <c r="Q203" s="80">
        <v>973800</v>
      </c>
      <c r="R203" s="78">
        <v>60.6</v>
      </c>
      <c r="S203" s="79">
        <v>78.95</v>
      </c>
      <c r="T203" s="80">
        <v>3060000</v>
      </c>
      <c r="U203" s="242">
        <v>15202798065000</v>
      </c>
      <c r="V203" s="81">
        <v>12959.689999999999</v>
      </c>
      <c r="W203" s="74">
        <v>18</v>
      </c>
      <c r="X203" s="31" t="str">
        <f>IF(C203&lt;=1.2,IF(H203&lt;=100,IF(Calcul!$AG$2=460,"a","b"),IF(Calcul!$AG$2=460,"c","d")),IF(H203&lt;=40,IF(Calcul!$AG$2=460,"a0","a"),IF(Calcul!$AG$2=460,"a","b")))</f>
        <v>a</v>
      </c>
      <c r="Y203" s="31" t="str">
        <f>IF(C203&lt;=1.2,IF(H203&lt;=100,IF(Calcul!$AG$2=460,"a","c"),IF(Calcul!$AG$2=460,"c","d")),IF(H203&lt;=40,IF(Calcul!$AG$2=460,"a0","b"),IF(Calcul!$AG$2=460,"a","c")))</f>
        <v>b</v>
      </c>
      <c r="Z203" s="156">
        <f t="shared" si="6"/>
        <v>3821263.7226685025</v>
      </c>
      <c r="AA203" s="31">
        <f t="shared" si="7"/>
        <v>224940.21987499995</v>
      </c>
    </row>
    <row r="204" spans="1:27" ht="13">
      <c r="A204" s="9">
        <v>202</v>
      </c>
      <c r="B204" s="35" t="s">
        <v>983</v>
      </c>
      <c r="C204" s="40">
        <v>2.8961878829135466</v>
      </c>
      <c r="D204" s="76">
        <v>226</v>
      </c>
      <c r="E204" s="76">
        <v>850.9</v>
      </c>
      <c r="F204" s="76">
        <v>293.8</v>
      </c>
      <c r="G204" s="76">
        <v>16.100000000000001</v>
      </c>
      <c r="H204" s="76">
        <v>26.8</v>
      </c>
      <c r="I204" s="76">
        <v>28860</v>
      </c>
      <c r="J204" s="77">
        <v>3397000000</v>
      </c>
      <c r="K204" s="77">
        <v>7985000</v>
      </c>
      <c r="L204" s="77">
        <v>9155000</v>
      </c>
      <c r="M204" s="78">
        <v>343.1</v>
      </c>
      <c r="N204" s="80">
        <v>14508.6</v>
      </c>
      <c r="O204" s="80">
        <v>113600000</v>
      </c>
      <c r="P204" s="80">
        <v>773300</v>
      </c>
      <c r="Q204" s="80">
        <v>1212000</v>
      </c>
      <c r="R204" s="78">
        <v>62.7</v>
      </c>
      <c r="S204" s="79">
        <v>90.55</v>
      </c>
      <c r="T204" s="80">
        <v>5144000</v>
      </c>
      <c r="U204" s="242">
        <v>19287599004000</v>
      </c>
      <c r="V204" s="81">
        <v>16023.47</v>
      </c>
      <c r="W204" s="74">
        <v>18</v>
      </c>
      <c r="X204" s="31" t="str">
        <f>IF(C204&lt;=1.2,IF(H204&lt;=100,IF(Calcul!$AG$2=460,"a","b"),IF(Calcul!$AG$2=460,"c","d")),IF(H204&lt;=40,IF(Calcul!$AG$2=460,"a0","a"),IF(Calcul!$AG$2=460,"a","b")))</f>
        <v>a</v>
      </c>
      <c r="Y204" s="31" t="str">
        <f>IF(C204&lt;=1.2,IF(H204&lt;=100,IF(Calcul!$AG$2=460,"a","c"),IF(Calcul!$AG$2=460,"c","d")),IF(H204&lt;=40,IF(Calcul!$AG$2=460,"a0","b"),IF(Calcul!$AG$2=460,"a","c")))</f>
        <v>b</v>
      </c>
      <c r="Z204" s="156">
        <f t="shared" si="6"/>
        <v>4578614.5104185026</v>
      </c>
      <c r="AA204" s="31">
        <f t="shared" si="7"/>
        <v>280073.50050000002</v>
      </c>
    </row>
    <row r="205" spans="1:27" ht="13">
      <c r="A205" s="9">
        <v>203</v>
      </c>
      <c r="B205" s="35" t="s">
        <v>984</v>
      </c>
      <c r="C205" s="40">
        <v>2.9417808219178081</v>
      </c>
      <c r="D205" s="76">
        <v>251</v>
      </c>
      <c r="E205" s="76">
        <v>859</v>
      </c>
      <c r="F205" s="76">
        <v>292</v>
      </c>
      <c r="G205" s="76">
        <v>17</v>
      </c>
      <c r="H205" s="76">
        <v>31</v>
      </c>
      <c r="I205" s="76">
        <v>31930</v>
      </c>
      <c r="J205" s="77">
        <v>3865000000</v>
      </c>
      <c r="K205" s="77">
        <v>8999000</v>
      </c>
      <c r="L205" s="77">
        <v>10300000</v>
      </c>
      <c r="M205" s="78">
        <v>347.9</v>
      </c>
      <c r="N205" s="80">
        <v>15469</v>
      </c>
      <c r="O205" s="80">
        <v>129000000</v>
      </c>
      <c r="P205" s="80">
        <v>883600</v>
      </c>
      <c r="Q205" s="80">
        <v>1383000</v>
      </c>
      <c r="R205" s="78">
        <v>63.6</v>
      </c>
      <c r="S205" s="79">
        <v>100.1</v>
      </c>
      <c r="T205" s="80">
        <v>7360000</v>
      </c>
      <c r="U205" s="242">
        <v>22110084000000</v>
      </c>
      <c r="V205" s="81">
        <v>18381</v>
      </c>
      <c r="W205" s="74">
        <v>18</v>
      </c>
      <c r="X205" s="31" t="str">
        <f>IF(C205&lt;=1.2,IF(H205&lt;=100,IF(Calcul!$AG$2=460,"a","b"),IF(Calcul!$AG$2=460,"c","d")),IF(H205&lt;=40,IF(Calcul!$AG$2=460,"a0","a"),IF(Calcul!$AG$2=460,"a","b")))</f>
        <v>a</v>
      </c>
      <c r="Y205" s="31" t="str">
        <f>IF(C205&lt;=1.2,IF(H205&lt;=100,IF(Calcul!$AG$2=460,"a","c"),IF(Calcul!$AG$2=460,"c","d")),IF(H205&lt;=40,IF(Calcul!$AG$2=460,"a0","b"),IF(Calcul!$AG$2=460,"a","c")))</f>
        <v>b</v>
      </c>
      <c r="Z205" s="156">
        <f t="shared" si="6"/>
        <v>5152204.3329949845</v>
      </c>
      <c r="AA205" s="31">
        <f t="shared" si="7"/>
        <v>319513.125</v>
      </c>
    </row>
    <row r="206" spans="1:27" ht="13">
      <c r="A206" s="9">
        <v>204</v>
      </c>
      <c r="B206" s="35" t="s">
        <v>985</v>
      </c>
      <c r="C206" s="40">
        <v>2.9772502472799207</v>
      </c>
      <c r="D206" s="76">
        <v>201</v>
      </c>
      <c r="E206" s="76">
        <v>903</v>
      </c>
      <c r="F206" s="76">
        <v>303.3</v>
      </c>
      <c r="G206" s="76">
        <v>15.1</v>
      </c>
      <c r="H206" s="76">
        <v>20.2</v>
      </c>
      <c r="I206" s="76">
        <v>25590</v>
      </c>
      <c r="J206" s="77">
        <v>3253000000</v>
      </c>
      <c r="K206" s="77">
        <v>7204000</v>
      </c>
      <c r="L206" s="77">
        <v>8351000</v>
      </c>
      <c r="M206" s="78">
        <v>356.5</v>
      </c>
      <c r="N206" s="80">
        <v>14409.3</v>
      </c>
      <c r="O206" s="80">
        <v>94230000</v>
      </c>
      <c r="P206" s="80">
        <v>621400</v>
      </c>
      <c r="Q206" s="80">
        <v>982000</v>
      </c>
      <c r="R206" s="78">
        <v>60.7</v>
      </c>
      <c r="S206" s="79">
        <v>77.88</v>
      </c>
      <c r="T206" s="80">
        <v>2910000</v>
      </c>
      <c r="U206" s="242">
        <v>18359204050800</v>
      </c>
      <c r="V206" s="81">
        <v>12564.74</v>
      </c>
      <c r="W206" s="74">
        <v>19</v>
      </c>
      <c r="X206" s="31" t="str">
        <f>IF(C206&lt;=1.2,IF(H206&lt;=100,IF(Calcul!$AG$2=460,"a","b"),IF(Calcul!$AG$2=460,"c","d")),IF(H206&lt;=40,IF(Calcul!$AG$2=460,"a0","a"),IF(Calcul!$AG$2=460,"a","b")))</f>
        <v>a</v>
      </c>
      <c r="Y206" s="31" t="str">
        <f>IF(C206&lt;=1.2,IF(H206&lt;=100,IF(Calcul!$AG$2=460,"a","c"),IF(Calcul!$AG$2=460,"c","d")),IF(H206&lt;=40,IF(Calcul!$AG$2=460,"a0","b"),IF(Calcul!$AG$2=460,"a","c")))</f>
        <v>b</v>
      </c>
      <c r="Z206" s="156">
        <f t="shared" si="6"/>
        <v>4174925.6623338209</v>
      </c>
      <c r="AA206" s="31">
        <f t="shared" si="7"/>
        <v>225157.48200000005</v>
      </c>
    </row>
    <row r="207" spans="1:27" ht="13">
      <c r="A207" s="9">
        <v>205</v>
      </c>
      <c r="B207" s="35" t="s">
        <v>986</v>
      </c>
      <c r="C207" s="40">
        <v>2.9937520552449848</v>
      </c>
      <c r="D207" s="76">
        <v>224</v>
      </c>
      <c r="E207" s="76">
        <v>910.4</v>
      </c>
      <c r="F207" s="76">
        <v>304.10000000000002</v>
      </c>
      <c r="G207" s="76">
        <v>15.9</v>
      </c>
      <c r="H207" s="76">
        <v>23.9</v>
      </c>
      <c r="I207" s="76">
        <v>28560</v>
      </c>
      <c r="J207" s="77">
        <v>3764000000</v>
      </c>
      <c r="K207" s="77">
        <v>8269000</v>
      </c>
      <c r="L207" s="77">
        <v>9535000</v>
      </c>
      <c r="M207" s="78">
        <v>363</v>
      </c>
      <c r="N207" s="80">
        <v>15312.23</v>
      </c>
      <c r="O207" s="80">
        <v>112400000</v>
      </c>
      <c r="P207" s="80">
        <v>739000</v>
      </c>
      <c r="Q207" s="80">
        <v>1163000</v>
      </c>
      <c r="R207" s="78">
        <v>62.7</v>
      </c>
      <c r="S207" s="79">
        <v>86.08</v>
      </c>
      <c r="T207" s="80">
        <v>4220000</v>
      </c>
      <c r="U207" s="242">
        <v>22083291225000</v>
      </c>
      <c r="V207" s="81">
        <v>14844.66</v>
      </c>
      <c r="W207" s="74">
        <v>19</v>
      </c>
      <c r="X207" s="31" t="str">
        <f>IF(C207&lt;=1.2,IF(H207&lt;=100,IF(Calcul!$AG$2=460,"a","b"),IF(Calcul!$AG$2=460,"c","d")),IF(H207&lt;=40,IF(Calcul!$AG$2=460,"a0","a"),IF(Calcul!$AG$2=460,"a","b")))</f>
        <v>a</v>
      </c>
      <c r="Y207" s="31" t="str">
        <f>IF(C207&lt;=1.2,IF(H207&lt;=100,IF(Calcul!$AG$2=460,"a","c"),IF(Calcul!$AG$2=460,"c","d")),IF(H207&lt;=40,IF(Calcul!$AG$2=460,"a0","b"),IF(Calcul!$AG$2=460,"a","c")))</f>
        <v>b</v>
      </c>
      <c r="Z207" s="156">
        <f t="shared" si="6"/>
        <v>4766562.3818338215</v>
      </c>
      <c r="AA207" s="31">
        <f t="shared" si="7"/>
        <v>267595.15500000003</v>
      </c>
    </row>
    <row r="208" spans="1:27" ht="13">
      <c r="A208" s="9">
        <v>206</v>
      </c>
      <c r="B208" s="35" t="s">
        <v>987</v>
      </c>
      <c r="C208" s="40">
        <v>3</v>
      </c>
      <c r="D208" s="76">
        <v>238</v>
      </c>
      <c r="E208" s="76">
        <v>915</v>
      </c>
      <c r="F208" s="76">
        <v>305</v>
      </c>
      <c r="G208" s="76">
        <v>16.5</v>
      </c>
      <c r="H208" s="76">
        <v>25.9</v>
      </c>
      <c r="I208" s="76">
        <v>30350</v>
      </c>
      <c r="J208" s="77">
        <v>4064000000</v>
      </c>
      <c r="K208" s="77">
        <v>8883000</v>
      </c>
      <c r="L208" s="77">
        <v>10230000</v>
      </c>
      <c r="M208" s="78">
        <v>365.9</v>
      </c>
      <c r="N208" s="80">
        <v>15962.55</v>
      </c>
      <c r="O208" s="80">
        <v>122900000</v>
      </c>
      <c r="P208" s="80">
        <v>805600</v>
      </c>
      <c r="Q208" s="80">
        <v>1267000</v>
      </c>
      <c r="R208" s="78">
        <v>63.6</v>
      </c>
      <c r="S208" s="79">
        <v>90.56</v>
      </c>
      <c r="T208" s="80">
        <v>5140000</v>
      </c>
      <c r="U208" s="242">
        <v>24288075937250</v>
      </c>
      <c r="V208" s="81">
        <v>16107.199999999999</v>
      </c>
      <c r="W208" s="74">
        <v>19</v>
      </c>
      <c r="X208" s="31" t="str">
        <f>IF(C208&lt;=1.2,IF(H208&lt;=100,IF(Calcul!$AG$2=460,"a","b"),IF(Calcul!$AG$2=460,"c","d")),IF(H208&lt;=40,IF(Calcul!$AG$2=460,"a0","a"),IF(Calcul!$AG$2=460,"a","b")))</f>
        <v>a</v>
      </c>
      <c r="Y208" s="31" t="str">
        <f>IF(C208&lt;=1.2,IF(H208&lt;=100,IF(Calcul!$AG$2=460,"a","c"),IF(Calcul!$AG$2=460,"c","d")),IF(H208&lt;=40,IF(Calcul!$AG$2=460,"a0","b"),IF(Calcul!$AG$2=460,"a","c")))</f>
        <v>b</v>
      </c>
      <c r="Z208" s="156">
        <f t="shared" si="6"/>
        <v>5114736.6065916298</v>
      </c>
      <c r="AA208" s="31">
        <f t="shared" si="7"/>
        <v>291552.25312499999</v>
      </c>
    </row>
    <row r="209" spans="1:27" ht="13">
      <c r="A209" s="9">
        <v>207</v>
      </c>
      <c r="B209" s="35" t="s">
        <v>988</v>
      </c>
      <c r="C209" s="40">
        <v>3.0062193126022914</v>
      </c>
      <c r="D209" s="76">
        <v>253</v>
      </c>
      <c r="E209" s="76">
        <v>918.4</v>
      </c>
      <c r="F209" s="76">
        <v>305.5</v>
      </c>
      <c r="G209" s="76">
        <v>17.3</v>
      </c>
      <c r="H209" s="76">
        <v>27.9</v>
      </c>
      <c r="I209" s="76">
        <v>32280</v>
      </c>
      <c r="J209" s="77">
        <v>4363000000</v>
      </c>
      <c r="K209" s="77">
        <v>9501000</v>
      </c>
      <c r="L209" s="77">
        <v>10940000</v>
      </c>
      <c r="M209" s="78">
        <v>367.6</v>
      </c>
      <c r="N209" s="80">
        <v>16775.97</v>
      </c>
      <c r="O209" s="80">
        <v>133000000</v>
      </c>
      <c r="P209" s="80">
        <v>870800</v>
      </c>
      <c r="Q209" s="80">
        <v>1371000</v>
      </c>
      <c r="R209" s="78">
        <v>64.2</v>
      </c>
      <c r="S209" s="79">
        <v>95.48</v>
      </c>
      <c r="T209" s="80">
        <v>6250000</v>
      </c>
      <c r="U209" s="242">
        <v>26366925812500</v>
      </c>
      <c r="V209" s="81">
        <v>17357.019999999997</v>
      </c>
      <c r="W209" s="74">
        <v>19</v>
      </c>
      <c r="X209" s="31" t="str">
        <f>IF(C209&lt;=1.2,IF(H209&lt;=100,IF(Calcul!$AG$2=460,"a","b"),IF(Calcul!$AG$2=460,"c","d")),IF(H209&lt;=40,IF(Calcul!$AG$2=460,"a0","a"),IF(Calcul!$AG$2=460,"a","b")))</f>
        <v>a</v>
      </c>
      <c r="Y209" s="31" t="str">
        <f>IF(C209&lt;=1.2,IF(H209&lt;=100,IF(Calcul!$AG$2=460,"a","c"),IF(Calcul!$AG$2=460,"c","d")),IF(H209&lt;=40,IF(Calcul!$AG$2=460,"a0","b"),IF(Calcul!$AG$2=460,"a","c")))</f>
        <v>b</v>
      </c>
      <c r="Z209" s="156">
        <f t="shared" si="6"/>
        <v>5470305.7098338204</v>
      </c>
      <c r="AA209" s="31">
        <f t="shared" si="7"/>
        <v>314824.158</v>
      </c>
    </row>
    <row r="210" spans="1:27" ht="13">
      <c r="A210" s="9">
        <v>208</v>
      </c>
      <c r="B210" s="35" t="s">
        <v>989</v>
      </c>
      <c r="C210" s="40">
        <v>3.006514657980456</v>
      </c>
      <c r="D210" s="76">
        <v>271</v>
      </c>
      <c r="E210" s="76">
        <v>923</v>
      </c>
      <c r="F210" s="76">
        <v>307</v>
      </c>
      <c r="G210" s="76">
        <v>18.399999999999999</v>
      </c>
      <c r="H210" s="76">
        <v>30</v>
      </c>
      <c r="I210" s="76">
        <v>34610</v>
      </c>
      <c r="J210" s="77">
        <v>4716000000</v>
      </c>
      <c r="K210" s="77">
        <v>10220000</v>
      </c>
      <c r="L210" s="77">
        <v>11780000</v>
      </c>
      <c r="M210" s="78">
        <v>369.1</v>
      </c>
      <c r="N210" s="80">
        <v>17882</v>
      </c>
      <c r="O210" s="80">
        <v>145200000</v>
      </c>
      <c r="P210" s="80">
        <v>945800</v>
      </c>
      <c r="Q210" s="80">
        <v>1491000</v>
      </c>
      <c r="R210" s="78">
        <v>64.8</v>
      </c>
      <c r="S210" s="79">
        <v>100.7</v>
      </c>
      <c r="T210" s="80">
        <v>7690000</v>
      </c>
      <c r="U210" s="242">
        <v>28947398700000</v>
      </c>
      <c r="V210" s="81">
        <v>18730.800000000003</v>
      </c>
      <c r="W210" s="74">
        <v>19</v>
      </c>
      <c r="X210" s="31" t="str">
        <f>IF(C210&lt;=1.2,IF(H210&lt;=100,IF(Calcul!$AG$2=460,"a","b"),IF(Calcul!$AG$2=460,"c","d")),IF(H210&lt;=40,IF(Calcul!$AG$2=460,"a0","a"),IF(Calcul!$AG$2=460,"a","b")))</f>
        <v>a</v>
      </c>
      <c r="Y210" s="31" t="str">
        <f>IF(C210&lt;=1.2,IF(H210&lt;=100,IF(Calcul!$AG$2=460,"a","c"),IF(Calcul!$AG$2=460,"c","d")),IF(H210&lt;=40,IF(Calcul!$AG$2=460,"a0","b"),IF(Calcul!$AG$2=460,"a","c")))</f>
        <v>b</v>
      </c>
      <c r="Z210" s="156">
        <f t="shared" si="6"/>
        <v>5891433.9673390267</v>
      </c>
      <c r="AA210" s="31">
        <f t="shared" si="7"/>
        <v>341505.15</v>
      </c>
    </row>
    <row r="211" spans="1:27" ht="13">
      <c r="A211" s="9">
        <v>209</v>
      </c>
      <c r="B211" s="35" t="s">
        <v>990</v>
      </c>
      <c r="C211" s="40">
        <v>3.0113747156321096</v>
      </c>
      <c r="D211" s="76">
        <v>289</v>
      </c>
      <c r="E211" s="76">
        <v>926.6</v>
      </c>
      <c r="F211" s="76">
        <v>307.7</v>
      </c>
      <c r="G211" s="76">
        <v>19.5</v>
      </c>
      <c r="H211" s="76">
        <v>32</v>
      </c>
      <c r="I211" s="76">
        <v>36830</v>
      </c>
      <c r="J211" s="77">
        <v>5042000000</v>
      </c>
      <c r="K211" s="77">
        <v>10880000</v>
      </c>
      <c r="L211" s="77">
        <v>12570000</v>
      </c>
      <c r="M211" s="78">
        <v>370</v>
      </c>
      <c r="N211" s="80">
        <v>18977.2</v>
      </c>
      <c r="O211" s="80">
        <v>156000000</v>
      </c>
      <c r="P211" s="80">
        <v>1014000</v>
      </c>
      <c r="Q211" s="80">
        <v>1601000</v>
      </c>
      <c r="R211" s="78">
        <v>65.099999999999994</v>
      </c>
      <c r="S211" s="79">
        <v>105.9</v>
      </c>
      <c r="T211" s="80">
        <v>9260000</v>
      </c>
      <c r="U211" s="242">
        <v>31212057240000</v>
      </c>
      <c r="V211" s="81">
        <v>20009.3</v>
      </c>
      <c r="W211" s="74">
        <v>19</v>
      </c>
      <c r="X211" s="31" t="str">
        <f>IF(C211&lt;=1.2,IF(H211&lt;=100,IF(Calcul!$AG$2=460,"a","b"),IF(Calcul!$AG$2=460,"c","d")),IF(H211&lt;=40,IF(Calcul!$AG$2=460,"a0","a"),IF(Calcul!$AG$2=460,"a","b")))</f>
        <v>a</v>
      </c>
      <c r="Y211" s="31" t="str">
        <f>IF(C211&lt;=1.2,IF(H211&lt;=100,IF(Calcul!$AG$2=460,"a","c"),IF(Calcul!$AG$2=460,"c","d")),IF(H211&lt;=40,IF(Calcul!$AG$2=460,"a0","b"),IF(Calcul!$AG$2=460,"a","c")))</f>
        <v>b</v>
      </c>
      <c r="Z211" s="156">
        <f t="shared" si="6"/>
        <v>6284155.9763338212</v>
      </c>
      <c r="AA211" s="31">
        <f t="shared" si="7"/>
        <v>365492.16</v>
      </c>
    </row>
    <row r="212" spans="1:27" ht="13">
      <c r="A212" s="9">
        <v>210</v>
      </c>
      <c r="B212" s="35" t="s">
        <v>991</v>
      </c>
      <c r="C212" s="40">
        <v>3.0161812297734629</v>
      </c>
      <c r="D212" s="76">
        <v>313</v>
      </c>
      <c r="E212" s="76">
        <v>932</v>
      </c>
      <c r="F212" s="76">
        <v>309</v>
      </c>
      <c r="G212" s="76">
        <v>21.1</v>
      </c>
      <c r="H212" s="76">
        <v>34.5</v>
      </c>
      <c r="I212" s="76">
        <v>39840</v>
      </c>
      <c r="J212" s="77">
        <v>5482000000</v>
      </c>
      <c r="K212" s="77">
        <v>11760000</v>
      </c>
      <c r="L212" s="77">
        <v>13630000</v>
      </c>
      <c r="M212" s="78">
        <v>371</v>
      </c>
      <c r="N212" s="80">
        <v>20557.95</v>
      </c>
      <c r="O212" s="80">
        <v>170400000</v>
      </c>
      <c r="P212" s="80">
        <v>1103000</v>
      </c>
      <c r="Q212" s="80">
        <v>1748000</v>
      </c>
      <c r="R212" s="78">
        <v>65.400000000000006</v>
      </c>
      <c r="S212" s="79">
        <v>112.4</v>
      </c>
      <c r="T212" s="80">
        <v>11600000</v>
      </c>
      <c r="U212" s="242">
        <v>34314566250000</v>
      </c>
      <c r="V212" s="81">
        <v>21630.699999999997</v>
      </c>
      <c r="W212" s="74">
        <v>19</v>
      </c>
      <c r="X212" s="31" t="str">
        <f>IF(C212&lt;=1.2,IF(H212&lt;=100,IF(Calcul!$AG$2=460,"a","b"),IF(Calcul!$AG$2=460,"c","d")),IF(H212&lt;=40,IF(Calcul!$AG$2=460,"a0","a"),IF(Calcul!$AG$2=460,"a","b")))</f>
        <v>a</v>
      </c>
      <c r="Y212" s="31" t="str">
        <f>IF(C212&lt;=1.2,IF(H212&lt;=100,IF(Calcul!$AG$2=460,"a","c"),IF(Calcul!$AG$2=460,"c","d")),IF(H212&lt;=40,IF(Calcul!$AG$2=460,"a0","b"),IF(Calcul!$AG$2=460,"a","c")))</f>
        <v>b</v>
      </c>
      <c r="Z212" s="156">
        <f t="shared" si="6"/>
        <v>6814427.8798390264</v>
      </c>
      <c r="AA212" s="31">
        <f t="shared" si="7"/>
        <v>396699.06937499996</v>
      </c>
    </row>
    <row r="213" spans="1:27" ht="13">
      <c r="A213" s="9">
        <v>211</v>
      </c>
      <c r="B213" s="35" t="s">
        <v>992</v>
      </c>
      <c r="C213" s="40">
        <v>3.0616883116883118</v>
      </c>
      <c r="D213" s="76">
        <v>345</v>
      </c>
      <c r="E213" s="76">
        <v>943</v>
      </c>
      <c r="F213" s="76">
        <v>308</v>
      </c>
      <c r="G213" s="76">
        <v>22.1</v>
      </c>
      <c r="H213" s="76">
        <v>39.9</v>
      </c>
      <c r="I213" s="76">
        <v>43970</v>
      </c>
      <c r="J213" s="77">
        <v>6256000000</v>
      </c>
      <c r="K213" s="77">
        <v>13270000</v>
      </c>
      <c r="L213" s="77">
        <v>15350000</v>
      </c>
      <c r="M213" s="78">
        <v>377.2</v>
      </c>
      <c r="N213" s="80">
        <v>21789.590000000004</v>
      </c>
      <c r="O213" s="80">
        <v>195200000</v>
      </c>
      <c r="P213" s="80">
        <v>1267000</v>
      </c>
      <c r="Q213" s="80">
        <v>2003000</v>
      </c>
      <c r="R213" s="78">
        <v>66.599999999999994</v>
      </c>
      <c r="S213" s="79">
        <v>124.2</v>
      </c>
      <c r="T213" s="80">
        <v>16500000</v>
      </c>
      <c r="U213" s="242">
        <v>39800772968000</v>
      </c>
      <c r="V213" s="81">
        <v>24893.279999999999</v>
      </c>
      <c r="W213" s="74">
        <v>19</v>
      </c>
      <c r="X213" s="31" t="str">
        <f>IF(C213&lt;=1.2,IF(H213&lt;=100,IF(Calcul!$AG$2=460,"a","b"),IF(Calcul!$AG$2=460,"c","d")),IF(H213&lt;=40,IF(Calcul!$AG$2=460,"a0","a"),IF(Calcul!$AG$2=460,"a","b")))</f>
        <v>a</v>
      </c>
      <c r="Y213" s="31" t="str">
        <f>IF(C213&lt;=1.2,IF(H213&lt;=100,IF(Calcul!$AG$2=460,"a","c"),IF(Calcul!$AG$2=460,"c","d")),IF(H213&lt;=40,IF(Calcul!$AG$2=460,"a0","b"),IF(Calcul!$AG$2=460,"a","c")))</f>
        <v>b</v>
      </c>
      <c r="Z213" s="156">
        <f t="shared" si="6"/>
        <v>7673782.1095916294</v>
      </c>
      <c r="AA213" s="31">
        <f t="shared" si="7"/>
        <v>455119.30012499995</v>
      </c>
    </row>
    <row r="214" spans="1:27" ht="13">
      <c r="A214" s="9">
        <v>212</v>
      </c>
      <c r="B214" s="35" t="s">
        <v>993</v>
      </c>
      <c r="C214" s="40">
        <v>3.0677419354838711</v>
      </c>
      <c r="D214" s="76">
        <v>381</v>
      </c>
      <c r="E214" s="76">
        <v>951</v>
      </c>
      <c r="F214" s="76">
        <v>310</v>
      </c>
      <c r="G214" s="76">
        <v>24.4</v>
      </c>
      <c r="H214" s="76">
        <v>43.9</v>
      </c>
      <c r="I214" s="76">
        <v>48590</v>
      </c>
      <c r="J214" s="77">
        <v>6968000000</v>
      </c>
      <c r="K214" s="77">
        <v>14650000</v>
      </c>
      <c r="L214" s="77">
        <v>17020000</v>
      </c>
      <c r="M214" s="78">
        <v>378.7</v>
      </c>
      <c r="N214" s="80">
        <v>24111.360000000001</v>
      </c>
      <c r="O214" s="80">
        <v>219100000</v>
      </c>
      <c r="P214" s="80">
        <v>1414000</v>
      </c>
      <c r="Q214" s="80">
        <v>2243000</v>
      </c>
      <c r="R214" s="78">
        <v>67.2</v>
      </c>
      <c r="S214" s="79">
        <v>134.5</v>
      </c>
      <c r="T214" s="80">
        <v>22000000</v>
      </c>
      <c r="U214" s="242">
        <v>45070535707750</v>
      </c>
      <c r="V214" s="81">
        <v>27527.920000000002</v>
      </c>
      <c r="W214" s="74">
        <v>19</v>
      </c>
      <c r="X214" s="31" t="str">
        <f>IF(C214&lt;=1.2,IF(H214&lt;=100,IF(Calcul!$AG$2=460,"a","b"),IF(Calcul!$AG$2=460,"c","d")),IF(H214&lt;=40,IF(Calcul!$AG$2=460,"a0","a"),IF(Calcul!$AG$2=460,"a","b")))</f>
        <v>b</v>
      </c>
      <c r="Y214" s="31" t="str">
        <f>IF(C214&lt;=1.2,IF(H214&lt;=100,IF(Calcul!$AG$2=460,"a","c"),IF(Calcul!$AG$2=460,"c","d")),IF(H214&lt;=40,IF(Calcul!$AG$2=460,"a0","b"),IF(Calcul!$AG$2=460,"a","c")))</f>
        <v>c</v>
      </c>
      <c r="Z214" s="156">
        <f t="shared" si="6"/>
        <v>8511176.1435916293</v>
      </c>
      <c r="AA214" s="31">
        <f t="shared" si="7"/>
        <v>505981.74200000003</v>
      </c>
    </row>
    <row r="215" spans="1:27" ht="13">
      <c r="A215" s="9">
        <v>213</v>
      </c>
      <c r="B215" s="35" t="s">
        <v>994</v>
      </c>
      <c r="C215" s="40">
        <v>3.070287539936102</v>
      </c>
      <c r="D215" s="76">
        <v>425</v>
      </c>
      <c r="E215" s="76">
        <v>961</v>
      </c>
      <c r="F215" s="76">
        <v>313</v>
      </c>
      <c r="G215" s="76">
        <v>26.9</v>
      </c>
      <c r="H215" s="76">
        <v>49</v>
      </c>
      <c r="I215" s="76">
        <v>54200</v>
      </c>
      <c r="J215" s="77">
        <v>7882000000</v>
      </c>
      <c r="K215" s="77">
        <v>16400000</v>
      </c>
      <c r="L215" s="77">
        <v>19130000</v>
      </c>
      <c r="M215" s="78">
        <v>381.3</v>
      </c>
      <c r="N215" s="80">
        <v>26706.1</v>
      </c>
      <c r="O215" s="80">
        <v>251900000</v>
      </c>
      <c r="P215" s="80">
        <v>1610000</v>
      </c>
      <c r="Q215" s="80">
        <v>2562000</v>
      </c>
      <c r="R215" s="78">
        <v>68.2</v>
      </c>
      <c r="S215" s="79">
        <v>147.19999999999999</v>
      </c>
      <c r="T215" s="80">
        <v>30300000</v>
      </c>
      <c r="U215" s="242">
        <v>52379078400000</v>
      </c>
      <c r="V215" s="81">
        <v>30985.300000000003</v>
      </c>
      <c r="W215" s="74">
        <v>19</v>
      </c>
      <c r="X215" s="31" t="str">
        <f>IF(C215&lt;=1.2,IF(H215&lt;=100,IF(Calcul!$AG$2=460,"a","b"),IF(Calcul!$AG$2=460,"c","d")),IF(H215&lt;=40,IF(Calcul!$AG$2=460,"a0","a"),IF(Calcul!$AG$2=460,"a","b")))</f>
        <v>b</v>
      </c>
      <c r="Y215" s="31" t="str">
        <f>IF(C215&lt;=1.2,IF(H215&lt;=100,IF(Calcul!$AG$2=460,"a","c"),IF(Calcul!$AG$2=460,"c","d")),IF(H215&lt;=40,IF(Calcul!$AG$2=460,"a0","b"),IF(Calcul!$AG$2=460,"a","c")))</f>
        <v>c</v>
      </c>
      <c r="Z215" s="156">
        <f t="shared" si="6"/>
        <v>9564158.0298390258</v>
      </c>
      <c r="AA215" s="31">
        <f t="shared" si="7"/>
        <v>574261.56375000009</v>
      </c>
    </row>
    <row r="216" spans="1:27" ht="13">
      <c r="A216" s="9">
        <v>214</v>
      </c>
      <c r="B216" s="35" t="s">
        <v>995</v>
      </c>
      <c r="C216" s="40">
        <v>3.0727848101265822</v>
      </c>
      <c r="D216" s="76">
        <v>474</v>
      </c>
      <c r="E216" s="76">
        <v>971</v>
      </c>
      <c r="F216" s="76">
        <v>316</v>
      </c>
      <c r="G216" s="76">
        <v>30</v>
      </c>
      <c r="H216" s="76">
        <v>54.1</v>
      </c>
      <c r="I216" s="76">
        <v>60390</v>
      </c>
      <c r="J216" s="77">
        <v>8857000000</v>
      </c>
      <c r="K216" s="77">
        <v>18240000</v>
      </c>
      <c r="L216" s="77">
        <v>21390000</v>
      </c>
      <c r="M216" s="78">
        <v>383</v>
      </c>
      <c r="N216" s="80">
        <v>29877.599999999995</v>
      </c>
      <c r="O216" s="80">
        <v>286600000</v>
      </c>
      <c r="P216" s="80">
        <v>1814000</v>
      </c>
      <c r="Q216" s="80">
        <v>2901000</v>
      </c>
      <c r="R216" s="78">
        <v>68.900000000000006</v>
      </c>
      <c r="S216" s="79">
        <v>160.5</v>
      </c>
      <c r="T216" s="80">
        <v>41000000</v>
      </c>
      <c r="U216" s="242">
        <v>60236556956500</v>
      </c>
      <c r="V216" s="81">
        <v>34506</v>
      </c>
      <c r="W216" s="74">
        <v>19</v>
      </c>
      <c r="X216" s="31" t="str">
        <f>IF(C216&lt;=1.2,IF(H216&lt;=100,IF(Calcul!$AG$2=460,"a","b"),IF(Calcul!$AG$2=460,"c","d")),IF(H216&lt;=40,IF(Calcul!$AG$2=460,"a0","a"),IF(Calcul!$AG$2=460,"a","b")))</f>
        <v>b</v>
      </c>
      <c r="Y216" s="31" t="str">
        <f>IF(C216&lt;=1.2,IF(H216&lt;=100,IF(Calcul!$AG$2=460,"a","c"),IF(Calcul!$AG$2=460,"c","d")),IF(H216&lt;=40,IF(Calcul!$AG$2=460,"a0","b"),IF(Calcul!$AG$2=460,"a","c")))</f>
        <v>c</v>
      </c>
      <c r="Z216" s="156">
        <f t="shared" si="6"/>
        <v>10695251.993086426</v>
      </c>
      <c r="AA216" s="31">
        <f t="shared" si="7"/>
        <v>644006.40000000002</v>
      </c>
    </row>
    <row r="217" spans="1:27" ht="13">
      <c r="A217" s="9">
        <v>215</v>
      </c>
      <c r="B217" s="35" t="s">
        <v>996</v>
      </c>
      <c r="C217" s="40">
        <v>3.0752351097178683</v>
      </c>
      <c r="D217" s="76">
        <v>521</v>
      </c>
      <c r="E217" s="76">
        <v>981</v>
      </c>
      <c r="F217" s="76">
        <v>319</v>
      </c>
      <c r="G217" s="76">
        <v>33</v>
      </c>
      <c r="H217" s="76">
        <v>58.9</v>
      </c>
      <c r="I217" s="76">
        <v>66370</v>
      </c>
      <c r="J217" s="77">
        <v>9824000000</v>
      </c>
      <c r="K217" s="77">
        <v>20030000</v>
      </c>
      <c r="L217" s="77">
        <v>23610000</v>
      </c>
      <c r="M217" s="78">
        <v>384.7</v>
      </c>
      <c r="N217" s="80">
        <v>32973.700000000004</v>
      </c>
      <c r="O217" s="80">
        <v>321400000</v>
      </c>
      <c r="P217" s="80">
        <v>2015000</v>
      </c>
      <c r="Q217" s="80">
        <v>3238000</v>
      </c>
      <c r="R217" s="78">
        <v>69.599999999999994</v>
      </c>
      <c r="S217" s="79">
        <v>173.1</v>
      </c>
      <c r="T217" s="80">
        <v>53382000</v>
      </c>
      <c r="U217" s="242">
        <v>68319066743500</v>
      </c>
      <c r="V217" s="81">
        <v>37884.399999999994</v>
      </c>
      <c r="W217" s="74">
        <v>19</v>
      </c>
      <c r="X217" s="31" t="str">
        <f>IF(C217&lt;=1.2,IF(H217&lt;=100,IF(Calcul!$AG$2=460,"a","b"),IF(Calcul!$AG$2=460,"c","d")),IF(H217&lt;=40,IF(Calcul!$AG$2=460,"a0","a"),IF(Calcul!$AG$2=460,"a","b")))</f>
        <v>b</v>
      </c>
      <c r="Y217" s="31" t="str">
        <f>IF(C217&lt;=1.2,IF(H217&lt;=100,IF(Calcul!$AG$2=460,"a","c"),IF(Calcul!$AG$2=460,"c","d")),IF(H217&lt;=40,IF(Calcul!$AG$2=460,"a0","b"),IF(Calcul!$AG$2=460,"a","c")))</f>
        <v>c</v>
      </c>
      <c r="Z217" s="156">
        <f t="shared" si="6"/>
        <v>11802526.55659163</v>
      </c>
      <c r="AA217" s="31">
        <f t="shared" si="7"/>
        <v>712101</v>
      </c>
    </row>
    <row r="218" spans="1:27" ht="13">
      <c r="A218" s="9">
        <v>216</v>
      </c>
      <c r="B218" s="35" t="s">
        <v>997</v>
      </c>
      <c r="C218" s="40">
        <v>3.0838509316770186</v>
      </c>
      <c r="D218" s="76">
        <v>576</v>
      </c>
      <c r="E218" s="76">
        <v>993</v>
      </c>
      <c r="F218" s="76">
        <v>322</v>
      </c>
      <c r="G218" s="76">
        <v>36.1</v>
      </c>
      <c r="H218" s="76">
        <v>65</v>
      </c>
      <c r="I218" s="76">
        <v>73320</v>
      </c>
      <c r="J218" s="77">
        <v>11020000000</v>
      </c>
      <c r="K218" s="77">
        <v>22190000</v>
      </c>
      <c r="L218" s="77">
        <v>26280000</v>
      </c>
      <c r="M218" s="78">
        <v>387.6</v>
      </c>
      <c r="N218" s="80">
        <v>36276.5</v>
      </c>
      <c r="O218" s="80">
        <v>365200000</v>
      </c>
      <c r="P218" s="80">
        <v>2268000</v>
      </c>
      <c r="Q218" s="80">
        <v>3658000</v>
      </c>
      <c r="R218" s="78">
        <v>70.599999999999994</v>
      </c>
      <c r="S218" s="79">
        <v>188.4</v>
      </c>
      <c r="T218" s="80">
        <v>71300000</v>
      </c>
      <c r="U218" s="242">
        <v>78626099200000</v>
      </c>
      <c r="V218" s="81">
        <v>42165.7</v>
      </c>
      <c r="W218" s="74">
        <v>19</v>
      </c>
      <c r="X218" s="31" t="str">
        <f>IF(C218&lt;=1.2,IF(H218&lt;=100,IF(Calcul!$AG$2=460,"a","b"),IF(Calcul!$AG$2=460,"c","d")),IF(H218&lt;=40,IF(Calcul!$AG$2=460,"a0","a"),IF(Calcul!$AG$2=460,"a","b")))</f>
        <v>b</v>
      </c>
      <c r="Y218" s="31" t="str">
        <f>IF(C218&lt;=1.2,IF(H218&lt;=100,IF(Calcul!$AG$2=460,"a","c"),IF(Calcul!$AG$2=460,"c","d")),IF(H218&lt;=40,IF(Calcul!$AG$2=460,"a0","b"),IF(Calcul!$AG$2=460,"a","c")))</f>
        <v>c</v>
      </c>
      <c r="Z218" s="156">
        <f t="shared" si="6"/>
        <v>13138490.379839027</v>
      </c>
      <c r="AA218" s="31">
        <f t="shared" si="7"/>
        <v>797819.66874999995</v>
      </c>
    </row>
    <row r="219" spans="1:27" ht="13">
      <c r="A219" s="9">
        <v>217</v>
      </c>
      <c r="B219" s="35" t="s">
        <v>998</v>
      </c>
      <c r="C219" s="40">
        <v>2.2177033492822966</v>
      </c>
      <c r="D219" s="76">
        <v>344</v>
      </c>
      <c r="E219" s="76">
        <v>927</v>
      </c>
      <c r="F219" s="76">
        <v>418</v>
      </c>
      <c r="G219" s="76">
        <v>19.3</v>
      </c>
      <c r="H219" s="76">
        <v>32</v>
      </c>
      <c r="I219" s="76">
        <v>43720</v>
      </c>
      <c r="J219" s="77">
        <v>6450000000</v>
      </c>
      <c r="K219" s="77">
        <v>13920000</v>
      </c>
      <c r="L219" s="77">
        <v>15700000</v>
      </c>
      <c r="M219" s="78">
        <v>384.1</v>
      </c>
      <c r="N219" s="80">
        <v>18801.599999999999</v>
      </c>
      <c r="O219" s="80">
        <v>390100000</v>
      </c>
      <c r="P219" s="80">
        <v>1867000</v>
      </c>
      <c r="Q219" s="80">
        <v>2880000</v>
      </c>
      <c r="R219" s="78">
        <v>94.5</v>
      </c>
      <c r="S219" s="79">
        <v>105.6</v>
      </c>
      <c r="T219" s="80">
        <v>11600000</v>
      </c>
      <c r="U219" s="242">
        <v>78119963125000</v>
      </c>
      <c r="V219" s="81">
        <v>27064.1</v>
      </c>
      <c r="W219" s="74">
        <v>19</v>
      </c>
      <c r="X219" s="31" t="str">
        <f>IF(C219&lt;=1.2,IF(H219&lt;=100,IF(Calcul!$AG$2=460,"a","b"),IF(Calcul!$AG$2=460,"c","d")),IF(H219&lt;=40,IF(Calcul!$AG$2=460,"a0","a"),IF(Calcul!$AG$2=460,"a","b")))</f>
        <v>a</v>
      </c>
      <c r="Y219" s="31" t="str">
        <f>IF(C219&lt;=1.2,IF(H219&lt;=100,IF(Calcul!$AG$2=460,"a","c"),IF(Calcul!$AG$2=460,"c","d")),IF(H219&lt;=40,IF(Calcul!$AG$2=460,"a0","b"),IF(Calcul!$AG$2=460,"a","c")))</f>
        <v>b</v>
      </c>
      <c r="Z219" s="156">
        <f t="shared" si="6"/>
        <v>7848715.4798390269</v>
      </c>
      <c r="AA219" s="31">
        <f t="shared" si="7"/>
        <v>685762.84</v>
      </c>
    </row>
    <row r="220" spans="1:27" ht="13">
      <c r="A220" s="9">
        <v>218</v>
      </c>
      <c r="B220" s="35" t="s">
        <v>999</v>
      </c>
      <c r="C220" s="40">
        <v>2.2219570405727924</v>
      </c>
      <c r="D220" s="76">
        <v>368</v>
      </c>
      <c r="E220" s="76">
        <v>931</v>
      </c>
      <c r="F220" s="76">
        <v>419</v>
      </c>
      <c r="G220" s="76">
        <v>20.3</v>
      </c>
      <c r="H220" s="76">
        <v>34.299999999999997</v>
      </c>
      <c r="I220" s="76">
        <v>46560</v>
      </c>
      <c r="J220" s="77">
        <v>6922000000</v>
      </c>
      <c r="K220" s="77">
        <v>14870000</v>
      </c>
      <c r="L220" s="77">
        <v>16790000</v>
      </c>
      <c r="M220" s="78">
        <v>385.6</v>
      </c>
      <c r="N220" s="80">
        <v>19816.29</v>
      </c>
      <c r="O220" s="80">
        <v>421200000</v>
      </c>
      <c r="P220" s="80">
        <v>2010000</v>
      </c>
      <c r="Q220" s="80">
        <v>3104000</v>
      </c>
      <c r="R220" s="78">
        <v>95.1</v>
      </c>
      <c r="S220" s="79">
        <v>111.2</v>
      </c>
      <c r="T220" s="80">
        <v>14100000</v>
      </c>
      <c r="U220" s="242">
        <v>84668664717000.016</v>
      </c>
      <c r="V220" s="81">
        <v>29053.279999999999</v>
      </c>
      <c r="W220" s="74">
        <v>19</v>
      </c>
      <c r="X220" s="31" t="str">
        <f>IF(C220&lt;=1.2,IF(H220&lt;=100,IF(Calcul!$AG$2=460,"a","b"),IF(Calcul!$AG$2=460,"c","d")),IF(H220&lt;=40,IF(Calcul!$AG$2=460,"a0","a"),IF(Calcul!$AG$2=460,"a","b")))</f>
        <v>a</v>
      </c>
      <c r="Y220" s="31" t="str">
        <f>IF(C220&lt;=1.2,IF(H220&lt;=100,IF(Calcul!$AG$2=460,"a","c"),IF(Calcul!$AG$2=460,"c","d")),IF(H220&lt;=40,IF(Calcul!$AG$2=460,"a0","b"),IF(Calcul!$AG$2=460,"a","c")))</f>
        <v>b</v>
      </c>
      <c r="Z220" s="156">
        <f t="shared" si="6"/>
        <v>8396929.8955812193</v>
      </c>
      <c r="AA220" s="31">
        <f t="shared" si="7"/>
        <v>738145.04662499996</v>
      </c>
    </row>
    <row r="221" spans="1:27" ht="13">
      <c r="A221" s="9">
        <v>219</v>
      </c>
      <c r="B221" s="35" t="s">
        <v>1000</v>
      </c>
      <c r="C221" s="40">
        <v>2.2285714285714286</v>
      </c>
      <c r="D221" s="76">
        <v>390</v>
      </c>
      <c r="E221" s="76">
        <v>936</v>
      </c>
      <c r="F221" s="76">
        <v>420</v>
      </c>
      <c r="G221" s="76">
        <v>21.3</v>
      </c>
      <c r="H221" s="76">
        <v>36.6</v>
      </c>
      <c r="I221" s="76">
        <v>49430</v>
      </c>
      <c r="J221" s="77">
        <v>7417000000</v>
      </c>
      <c r="K221" s="77">
        <v>15850000</v>
      </c>
      <c r="L221" s="77">
        <v>17920000</v>
      </c>
      <c r="M221" s="78">
        <v>387.4</v>
      </c>
      <c r="N221" s="80">
        <v>20856.38</v>
      </c>
      <c r="O221" s="80">
        <v>452700000</v>
      </c>
      <c r="P221" s="80">
        <v>2156000</v>
      </c>
      <c r="Q221" s="80">
        <v>3331000</v>
      </c>
      <c r="R221" s="78">
        <v>95.7</v>
      </c>
      <c r="S221" s="79">
        <v>116.8</v>
      </c>
      <c r="T221" s="80">
        <v>16900000</v>
      </c>
      <c r="U221" s="242">
        <v>91549561743000</v>
      </c>
      <c r="V221" s="81">
        <v>31052.36</v>
      </c>
      <c r="W221" s="74">
        <v>19</v>
      </c>
      <c r="X221" s="31" t="str">
        <f>IF(C221&lt;=1.2,IF(H221&lt;=100,IF(Calcul!$AG$2=460,"a","b"),IF(Calcul!$AG$2=460,"c","d")),IF(H221&lt;=40,IF(Calcul!$AG$2=460,"a0","a"),IF(Calcul!$AG$2=460,"a","b")))</f>
        <v>a</v>
      </c>
      <c r="Y221" s="31" t="str">
        <f>IF(C221&lt;=1.2,IF(H221&lt;=100,IF(Calcul!$AG$2=460,"a","c"),IF(Calcul!$AG$2=460,"c","d")),IF(H221&lt;=40,IF(Calcul!$AG$2=460,"a0","b"),IF(Calcul!$AG$2=460,"a","c")))</f>
        <v>b</v>
      </c>
      <c r="Z221" s="156">
        <f t="shared" si="6"/>
        <v>8961001.6470864229</v>
      </c>
      <c r="AA221" s="31">
        <f t="shared" si="7"/>
        <v>790942.05825</v>
      </c>
    </row>
    <row r="222" spans="1:27" ht="13">
      <c r="A222" s="9">
        <v>220</v>
      </c>
      <c r="B222" s="35" t="s">
        <v>1001</v>
      </c>
      <c r="C222" s="40">
        <v>2.2345971563981042</v>
      </c>
      <c r="D222" s="76">
        <v>420</v>
      </c>
      <c r="E222" s="76">
        <v>943</v>
      </c>
      <c r="F222" s="76">
        <v>422</v>
      </c>
      <c r="G222" s="76">
        <v>22.5</v>
      </c>
      <c r="H222" s="76">
        <v>39.9</v>
      </c>
      <c r="I222" s="76">
        <v>53410</v>
      </c>
      <c r="J222" s="77">
        <v>8133000000</v>
      </c>
      <c r="K222" s="77">
        <v>17250000</v>
      </c>
      <c r="L222" s="77">
        <v>19530000</v>
      </c>
      <c r="M222" s="78">
        <v>390.2</v>
      </c>
      <c r="N222" s="80">
        <v>22148.350000000002</v>
      </c>
      <c r="O222" s="80">
        <v>500700000</v>
      </c>
      <c r="P222" s="80">
        <v>2373000</v>
      </c>
      <c r="Q222" s="80">
        <v>3667000</v>
      </c>
      <c r="R222" s="78">
        <v>96.8</v>
      </c>
      <c r="S222" s="79">
        <v>124.6</v>
      </c>
      <c r="T222" s="80">
        <v>21500000</v>
      </c>
      <c r="U222" s="242">
        <v>102091429431750</v>
      </c>
      <c r="V222" s="81">
        <v>33988</v>
      </c>
      <c r="W222" s="74">
        <v>19</v>
      </c>
      <c r="X222" s="31" t="str">
        <f>IF(C222&lt;=1.2,IF(H222&lt;=100,IF(Calcul!$AG$2=460,"a","b"),IF(Calcul!$AG$2=460,"c","d")),IF(H222&lt;=40,IF(Calcul!$AG$2=460,"a0","a"),IF(Calcul!$AG$2=460,"a","b")))</f>
        <v>a</v>
      </c>
      <c r="Y222" s="31" t="str">
        <f>IF(C222&lt;=1.2,IF(H222&lt;=100,IF(Calcul!$AG$2=460,"a","c"),IF(Calcul!$AG$2=460,"c","d")),IF(H222&lt;=40,IF(Calcul!$AG$2=460,"a0","b"),IF(Calcul!$AG$2=460,"a","c")))</f>
        <v>b</v>
      </c>
      <c r="Z222" s="156">
        <f t="shared" si="6"/>
        <v>9764958.1515916288</v>
      </c>
      <c r="AA222" s="31">
        <f t="shared" si="7"/>
        <v>869938.453125</v>
      </c>
    </row>
    <row r="223" spans="1:27" ht="13">
      <c r="A223" s="9">
        <v>221</v>
      </c>
      <c r="B223" s="35" t="s">
        <v>1002</v>
      </c>
      <c r="C223" s="40">
        <v>2.2411347517730498</v>
      </c>
      <c r="D223" s="76">
        <v>449</v>
      </c>
      <c r="E223" s="76">
        <v>948</v>
      </c>
      <c r="F223" s="76">
        <v>423</v>
      </c>
      <c r="G223" s="76">
        <v>24</v>
      </c>
      <c r="H223" s="76">
        <v>42.7</v>
      </c>
      <c r="I223" s="76">
        <v>57140</v>
      </c>
      <c r="J223" s="77">
        <v>8747000000</v>
      </c>
      <c r="K223" s="77">
        <v>18450000</v>
      </c>
      <c r="L223" s="77">
        <v>20950000</v>
      </c>
      <c r="M223" s="78">
        <v>391.3</v>
      </c>
      <c r="N223" s="80">
        <v>23663.199999999997</v>
      </c>
      <c r="O223" s="80">
        <v>539700000</v>
      </c>
      <c r="P223" s="80">
        <v>2552000</v>
      </c>
      <c r="Q223" s="80">
        <v>3949000</v>
      </c>
      <c r="R223" s="78">
        <v>97.2</v>
      </c>
      <c r="S223" s="79">
        <v>131.69999999999999</v>
      </c>
      <c r="T223" s="80">
        <v>26270000</v>
      </c>
      <c r="U223" s="242">
        <v>110580224543250</v>
      </c>
      <c r="V223" s="81">
        <v>36437.599999999999</v>
      </c>
      <c r="W223" s="74">
        <v>19</v>
      </c>
      <c r="X223" s="31" t="str">
        <f>IF(C223&lt;=1.2,IF(H223&lt;=100,IF(Calcul!$AG$2=460,"a","b"),IF(Calcul!$AG$2=460,"c","d")),IF(H223&lt;=40,IF(Calcul!$AG$2=460,"a0","a"),IF(Calcul!$AG$2=460,"a","b")))</f>
        <v>b</v>
      </c>
      <c r="Y223" s="31" t="str">
        <f>IF(C223&lt;=1.2,IF(H223&lt;=100,IF(Calcul!$AG$2=460,"a","c"),IF(Calcul!$AG$2=460,"c","d")),IF(H223&lt;=40,IF(Calcul!$AG$2=460,"a0","b"),IF(Calcul!$AG$2=460,"a","c")))</f>
        <v>c</v>
      </c>
      <c r="Z223" s="156">
        <f t="shared" si="6"/>
        <v>10474215.123833822</v>
      </c>
      <c r="AA223" s="31">
        <f t="shared" si="7"/>
        <v>934516.1875</v>
      </c>
    </row>
    <row r="224" spans="1:27" ht="13">
      <c r="A224" s="9">
        <v>222</v>
      </c>
      <c r="B224" s="35" t="s">
        <v>1003</v>
      </c>
      <c r="C224" s="40">
        <v>2.2677725118483414</v>
      </c>
      <c r="D224" s="76">
        <v>491</v>
      </c>
      <c r="E224" s="76">
        <v>957</v>
      </c>
      <c r="F224" s="76">
        <v>422</v>
      </c>
      <c r="G224" s="76">
        <v>25.9</v>
      </c>
      <c r="H224" s="76">
        <v>47</v>
      </c>
      <c r="I224" s="76">
        <v>62330</v>
      </c>
      <c r="J224" s="77">
        <v>9663000000</v>
      </c>
      <c r="K224" s="77">
        <v>20200000</v>
      </c>
      <c r="L224" s="77">
        <v>23000000</v>
      </c>
      <c r="M224" s="78">
        <v>393.7</v>
      </c>
      <c r="N224" s="80">
        <v>25665.3</v>
      </c>
      <c r="O224" s="80">
        <v>590000000</v>
      </c>
      <c r="P224" s="80">
        <v>2796000</v>
      </c>
      <c r="Q224" s="80">
        <v>4335000</v>
      </c>
      <c r="R224" s="78">
        <v>97.3</v>
      </c>
      <c r="S224" s="79">
        <v>142.19999999999999</v>
      </c>
      <c r="T224" s="80">
        <v>34400000</v>
      </c>
      <c r="U224" s="242">
        <v>122144750000000</v>
      </c>
      <c r="V224" s="81">
        <v>39978.300000000003</v>
      </c>
      <c r="W224" s="74">
        <v>19</v>
      </c>
      <c r="X224" s="31" t="str">
        <f>IF(C224&lt;=1.2,IF(H224&lt;=100,IF(Calcul!$AG$2=460,"a","b"),IF(Calcul!$AG$2=460,"c","d")),IF(H224&lt;=40,IF(Calcul!$AG$2=460,"a0","a"),IF(Calcul!$AG$2=460,"a","b")))</f>
        <v>b</v>
      </c>
      <c r="Y224" s="31" t="str">
        <f>IF(C224&lt;=1.2,IF(H224&lt;=100,IF(Calcul!$AG$2=460,"a","c"),IF(Calcul!$AG$2=460,"c","d")),IF(H224&lt;=40,IF(Calcul!$AG$2=460,"a0","b"),IF(Calcul!$AG$2=460,"a","c")))</f>
        <v>c</v>
      </c>
      <c r="Z224" s="156">
        <f t="shared" si="6"/>
        <v>11501859.904839026</v>
      </c>
      <c r="AA224" s="31">
        <f t="shared" si="7"/>
        <v>1022254.6412500002</v>
      </c>
    </row>
    <row r="225" spans="1:27" ht="13">
      <c r="A225" s="9">
        <v>223</v>
      </c>
      <c r="B225" s="35" t="s">
        <v>1004</v>
      </c>
      <c r="C225" s="40">
        <v>2.2705882352941176</v>
      </c>
      <c r="D225" s="76">
        <v>537</v>
      </c>
      <c r="E225" s="76">
        <v>965</v>
      </c>
      <c r="F225" s="76">
        <v>425</v>
      </c>
      <c r="G225" s="76">
        <v>28.4</v>
      </c>
      <c r="H225" s="76">
        <v>51.1</v>
      </c>
      <c r="I225" s="76">
        <v>68250</v>
      </c>
      <c r="J225" s="77">
        <v>10660000000</v>
      </c>
      <c r="K225" s="77">
        <v>22080000</v>
      </c>
      <c r="L225" s="77">
        <v>25270000</v>
      </c>
      <c r="M225" s="78">
        <v>395.1</v>
      </c>
      <c r="N225" s="80">
        <v>28208.04</v>
      </c>
      <c r="O225" s="80">
        <v>655500000</v>
      </c>
      <c r="P225" s="80">
        <v>3085000</v>
      </c>
      <c r="Q225" s="80">
        <v>4795000</v>
      </c>
      <c r="R225" s="78">
        <v>98</v>
      </c>
      <c r="S225" s="79">
        <v>152.9</v>
      </c>
      <c r="T225" s="80">
        <v>44471000</v>
      </c>
      <c r="U225" s="242">
        <v>136870564788750</v>
      </c>
      <c r="V225" s="81">
        <v>43746.48</v>
      </c>
      <c r="W225" s="74">
        <v>19</v>
      </c>
      <c r="X225" s="31" t="str">
        <f>IF(C225&lt;=1.2,IF(H225&lt;=100,IF(Calcul!$AG$2=460,"a","b"),IF(Calcul!$AG$2=460,"c","d")),IF(H225&lt;=40,IF(Calcul!$AG$2=460,"a0","a"),IF(Calcul!$AG$2=460,"a","b")))</f>
        <v>b</v>
      </c>
      <c r="Y225" s="31" t="str">
        <f>IF(C225&lt;=1.2,IF(H225&lt;=100,IF(Calcul!$AG$2=460,"a","c"),IF(Calcul!$AG$2=460,"c","d")),IF(H225&lt;=40,IF(Calcul!$AG$2=460,"a0","b"),IF(Calcul!$AG$2=460,"a","c")))</f>
        <v>c</v>
      </c>
      <c r="Z225" s="156">
        <f t="shared" si="6"/>
        <v>12632701.030086424</v>
      </c>
      <c r="AA225" s="31">
        <f t="shared" si="7"/>
        <v>1125579.9555000002</v>
      </c>
    </row>
    <row r="226" spans="1:27" ht="13">
      <c r="A226" s="9">
        <v>224</v>
      </c>
      <c r="B226" s="35" t="s">
        <v>1005</v>
      </c>
      <c r="C226" s="40">
        <v>2.2833723653395785</v>
      </c>
      <c r="D226" s="76">
        <v>588</v>
      </c>
      <c r="E226" s="76">
        <v>975</v>
      </c>
      <c r="F226" s="76">
        <v>427</v>
      </c>
      <c r="G226" s="76">
        <v>31</v>
      </c>
      <c r="H226" s="76">
        <v>55.9</v>
      </c>
      <c r="I226" s="76">
        <v>74810</v>
      </c>
      <c r="J226" s="77">
        <v>11810000000</v>
      </c>
      <c r="K226" s="77">
        <v>24230000</v>
      </c>
      <c r="L226" s="77">
        <v>27840000</v>
      </c>
      <c r="M226" s="78">
        <v>397.4</v>
      </c>
      <c r="N226" s="80">
        <v>30928.5</v>
      </c>
      <c r="O226" s="80">
        <v>727600000</v>
      </c>
      <c r="P226" s="80">
        <v>3408000</v>
      </c>
      <c r="Q226" s="80">
        <v>5310000</v>
      </c>
      <c r="R226" s="78">
        <v>98.6</v>
      </c>
      <c r="S226" s="79">
        <v>165.1</v>
      </c>
      <c r="T226" s="80">
        <v>58100000</v>
      </c>
      <c r="U226" s="242">
        <v>153659080939000</v>
      </c>
      <c r="V226" s="81">
        <v>48050.8</v>
      </c>
      <c r="W226" s="74">
        <v>19</v>
      </c>
      <c r="X226" s="31" t="str">
        <f>IF(C226&lt;=1.2,IF(H226&lt;=100,IF(Calcul!$AG$2=460,"a","b"),IF(Calcul!$AG$2=460,"c","d")),IF(H226&lt;=40,IF(Calcul!$AG$2=460,"a0","a"),IF(Calcul!$AG$2=460,"a","b")))</f>
        <v>b</v>
      </c>
      <c r="Y226" s="31" t="str">
        <f>IF(C226&lt;=1.2,IF(H226&lt;=100,IF(Calcul!$AG$2=460,"a","c"),IF(Calcul!$AG$2=460,"c","d")),IF(H226&lt;=40,IF(Calcul!$AG$2=460,"a0","b"),IF(Calcul!$AG$2=460,"a","c")))</f>
        <v>c</v>
      </c>
      <c r="Z226" s="156">
        <f t="shared" si="6"/>
        <v>13922670.256591629</v>
      </c>
      <c r="AA226" s="31">
        <f t="shared" si="7"/>
        <v>1240756.3999999999</v>
      </c>
    </row>
    <row r="227" spans="1:27" ht="13">
      <c r="A227" s="9">
        <v>225</v>
      </c>
      <c r="B227" s="35" t="s">
        <v>1006</v>
      </c>
      <c r="C227" s="40">
        <v>2.2900232018561484</v>
      </c>
      <c r="D227" s="76">
        <v>656</v>
      </c>
      <c r="E227" s="76">
        <v>987</v>
      </c>
      <c r="F227" s="76">
        <v>431</v>
      </c>
      <c r="G227" s="76">
        <v>34.5</v>
      </c>
      <c r="H227" s="76">
        <v>62</v>
      </c>
      <c r="I227" s="76">
        <v>83530</v>
      </c>
      <c r="J227" s="77">
        <v>13349999999.999998</v>
      </c>
      <c r="K227" s="77">
        <v>27060000</v>
      </c>
      <c r="L227" s="77">
        <v>31270000</v>
      </c>
      <c r="M227" s="78">
        <v>399.8</v>
      </c>
      <c r="N227" s="80">
        <v>34581</v>
      </c>
      <c r="O227" s="80">
        <v>830400000</v>
      </c>
      <c r="P227" s="80">
        <v>3853000</v>
      </c>
      <c r="Q227" s="80">
        <v>6022000</v>
      </c>
      <c r="R227" s="78">
        <v>99.7</v>
      </c>
      <c r="S227" s="79">
        <v>180.8</v>
      </c>
      <c r="T227" s="80">
        <v>79500000</v>
      </c>
      <c r="U227" s="242">
        <v>177627750000000</v>
      </c>
      <c r="V227" s="81">
        <v>53756.5</v>
      </c>
      <c r="W227" s="74">
        <v>19</v>
      </c>
      <c r="X227" s="31" t="str">
        <f>IF(C227&lt;=1.2,IF(H227&lt;=100,IF(Calcul!$AG$2=460,"a","b"),IF(Calcul!$AG$2=460,"c","d")),IF(H227&lt;=40,IF(Calcul!$AG$2=460,"a0","a"),IF(Calcul!$AG$2=460,"a","b")))</f>
        <v>b</v>
      </c>
      <c r="Y227" s="31" t="str">
        <f>IF(C227&lt;=1.2,IF(H227&lt;=100,IF(Calcul!$AG$2=460,"a","c"),IF(Calcul!$AG$2=460,"c","d")),IF(H227&lt;=40,IF(Calcul!$AG$2=460,"a0","b"),IF(Calcul!$AG$2=460,"a","c")))</f>
        <v>c</v>
      </c>
      <c r="Z227" s="156">
        <f t="shared" si="6"/>
        <v>15636941.579839027</v>
      </c>
      <c r="AA227" s="31">
        <f t="shared" si="7"/>
        <v>1398911.8125</v>
      </c>
    </row>
    <row r="228" spans="1:27" ht="13">
      <c r="A228" s="9">
        <v>226</v>
      </c>
      <c r="B228" s="35" t="s">
        <v>1007</v>
      </c>
      <c r="C228" s="40">
        <v>2.3018433179723501</v>
      </c>
      <c r="D228" s="76">
        <v>725</v>
      </c>
      <c r="E228" s="76">
        <v>999</v>
      </c>
      <c r="F228" s="76">
        <v>434</v>
      </c>
      <c r="G228" s="76">
        <v>38.1</v>
      </c>
      <c r="H228" s="76">
        <v>68.099999999999994</v>
      </c>
      <c r="I228" s="76">
        <v>92290</v>
      </c>
      <c r="J228" s="77">
        <v>14920000000</v>
      </c>
      <c r="K228" s="77">
        <v>29880000</v>
      </c>
      <c r="L228" s="77">
        <v>34740000</v>
      </c>
      <c r="M228" s="78">
        <v>402.1</v>
      </c>
      <c r="N228" s="80">
        <v>38361.61</v>
      </c>
      <c r="O228" s="80">
        <v>932000000</v>
      </c>
      <c r="P228" s="80">
        <v>4295000</v>
      </c>
      <c r="Q228" s="80">
        <v>6734000</v>
      </c>
      <c r="R228" s="78">
        <v>100.5</v>
      </c>
      <c r="S228" s="79">
        <v>196.6</v>
      </c>
      <c r="T228" s="80">
        <v>105656000</v>
      </c>
      <c r="U228" s="242">
        <v>201911930730000</v>
      </c>
      <c r="V228" s="81">
        <v>59417.32</v>
      </c>
      <c r="W228" s="74">
        <v>19</v>
      </c>
      <c r="X228" s="31" t="str">
        <f>IF(C228&lt;=1.2,IF(H228&lt;=100,IF(Calcul!$AG$2=460,"a","b"),IF(Calcul!$AG$2=460,"c","d")),IF(H228&lt;=40,IF(Calcul!$AG$2=460,"a0","a"),IF(Calcul!$AG$2=460,"a","b")))</f>
        <v>b</v>
      </c>
      <c r="Y228" s="31" t="str">
        <f>IF(C228&lt;=1.2,IF(H228&lt;=100,IF(Calcul!$AG$2=460,"a","c"),IF(Calcul!$AG$2=460,"c","d")),IF(H228&lt;=40,IF(Calcul!$AG$2=460,"a0","b"),IF(Calcul!$AG$2=460,"a","c")))</f>
        <v>c</v>
      </c>
      <c r="Z228" s="156">
        <f t="shared" si="6"/>
        <v>17368064.241086423</v>
      </c>
      <c r="AA228" s="31">
        <f t="shared" si="7"/>
        <v>1554082.7748749999</v>
      </c>
    </row>
    <row r="229" spans="1:27" ht="13">
      <c r="A229" s="9">
        <v>227</v>
      </c>
      <c r="B229" s="35" t="s">
        <v>1008</v>
      </c>
      <c r="C229" s="40">
        <v>2.3135011441647597</v>
      </c>
      <c r="D229" s="76">
        <v>787</v>
      </c>
      <c r="E229" s="76">
        <v>1011</v>
      </c>
      <c r="F229" s="76">
        <v>437</v>
      </c>
      <c r="G229" s="76">
        <v>40.9</v>
      </c>
      <c r="H229" s="76">
        <v>73.900000000000006</v>
      </c>
      <c r="I229" s="76">
        <v>100200</v>
      </c>
      <c r="J229" s="77">
        <v>16459999999.999998</v>
      </c>
      <c r="K229" s="77">
        <v>32560000</v>
      </c>
      <c r="L229" s="77">
        <v>38010000</v>
      </c>
      <c r="M229" s="78">
        <v>405.3</v>
      </c>
      <c r="N229" s="80">
        <v>41442.110000000008</v>
      </c>
      <c r="O229" s="80">
        <v>1033000000</v>
      </c>
      <c r="P229" s="80">
        <v>4728000</v>
      </c>
      <c r="Q229" s="80">
        <v>7425000</v>
      </c>
      <c r="R229" s="78">
        <v>101.5</v>
      </c>
      <c r="S229" s="79">
        <v>211</v>
      </c>
      <c r="T229" s="80">
        <v>134285000</v>
      </c>
      <c r="U229" s="242">
        <v>226783892882500</v>
      </c>
      <c r="V229" s="81">
        <v>64895.12</v>
      </c>
      <c r="W229" s="74">
        <v>19</v>
      </c>
      <c r="X229" s="31" t="str">
        <f>IF(C229&lt;=1.2,IF(H229&lt;=100,IF(Calcul!$AG$2=460,"a","b"),IF(Calcul!$AG$2=460,"c","d")),IF(H229&lt;=40,IF(Calcul!$AG$2=460,"a0","a"),IF(Calcul!$AG$2=460,"a","b")))</f>
        <v>b</v>
      </c>
      <c r="Y229" s="31" t="str">
        <f>IF(C229&lt;=1.2,IF(H229&lt;=100,IF(Calcul!$AG$2=460,"a","c"),IF(Calcul!$AG$2=460,"c","d")),IF(H229&lt;=40,IF(Calcul!$AG$2=460,"a0","b"),IF(Calcul!$AG$2=460,"a","c")))</f>
        <v>c</v>
      </c>
      <c r="Z229" s="156">
        <f t="shared" si="6"/>
        <v>19007106.578591634</v>
      </c>
      <c r="AA229" s="31">
        <f t="shared" si="7"/>
        <v>1706570.7601250003</v>
      </c>
    </row>
    <row r="230" spans="1:27" ht="13">
      <c r="A230" s="9">
        <v>228</v>
      </c>
      <c r="B230" s="35" t="s">
        <v>1009</v>
      </c>
      <c r="C230" s="40">
        <v>2.3385650224215246</v>
      </c>
      <c r="D230" s="76">
        <v>970</v>
      </c>
      <c r="E230" s="76">
        <v>1043</v>
      </c>
      <c r="F230" s="76">
        <v>446</v>
      </c>
      <c r="G230" s="76">
        <v>50</v>
      </c>
      <c r="H230" s="76">
        <v>89.9</v>
      </c>
      <c r="I230" s="76">
        <v>123700</v>
      </c>
      <c r="J230" s="77">
        <v>21000000000</v>
      </c>
      <c r="K230" s="77">
        <v>40270000</v>
      </c>
      <c r="L230" s="77">
        <v>47660000</v>
      </c>
      <c r="M230" s="78">
        <v>412.1</v>
      </c>
      <c r="N230" s="80">
        <v>51420.400000000009</v>
      </c>
      <c r="O230" s="80">
        <v>1339000000</v>
      </c>
      <c r="P230" s="80">
        <v>6002000</v>
      </c>
      <c r="Q230" s="80">
        <v>9490000</v>
      </c>
      <c r="R230" s="78">
        <v>104</v>
      </c>
      <c r="S230" s="79">
        <v>252.1</v>
      </c>
      <c r="T230" s="80">
        <v>243221000</v>
      </c>
      <c r="U230" s="242">
        <v>304086769447500</v>
      </c>
      <c r="V230" s="81">
        <v>80540</v>
      </c>
      <c r="W230" s="74">
        <v>19</v>
      </c>
      <c r="X230" s="31" t="str">
        <f>IF(C230&lt;=1.2,IF(H230&lt;=100,IF(Calcul!$AG$2=460,"a","b"),IF(Calcul!$AG$2=460,"c","d")),IF(H230&lt;=40,IF(Calcul!$AG$2=460,"a0","a"),IF(Calcul!$AG$2=460,"a","b")))</f>
        <v>b</v>
      </c>
      <c r="Y230" s="31" t="str">
        <f>IF(C230&lt;=1.2,IF(H230&lt;=100,IF(Calcul!$AG$2=460,"a","c"),IF(Calcul!$AG$2=460,"c","d")),IF(H230&lt;=40,IF(Calcul!$AG$2=460,"a0","b"),IF(Calcul!$AG$2=460,"a","c")))</f>
        <v>c</v>
      </c>
      <c r="Z230" s="156">
        <f t="shared" si="6"/>
        <v>23830642.631591633</v>
      </c>
      <c r="AA230" s="31">
        <f t="shared" si="7"/>
        <v>2148295.35</v>
      </c>
    </row>
    <row r="231" spans="1:27" ht="13">
      <c r="A231" s="9">
        <v>229</v>
      </c>
      <c r="B231" s="35" t="s">
        <v>1010</v>
      </c>
      <c r="C231" s="40">
        <v>2.352549889135255</v>
      </c>
      <c r="D231" s="76">
        <v>1077</v>
      </c>
      <c r="E231" s="76">
        <v>1061</v>
      </c>
      <c r="F231" s="76">
        <v>451</v>
      </c>
      <c r="G231" s="76">
        <v>55</v>
      </c>
      <c r="H231" s="76">
        <v>99.1</v>
      </c>
      <c r="I231" s="76">
        <v>137200</v>
      </c>
      <c r="J231" s="77">
        <v>23770000000</v>
      </c>
      <c r="K231" s="77">
        <v>44790000</v>
      </c>
      <c r="L231" s="77">
        <v>53390000</v>
      </c>
      <c r="M231" s="78">
        <v>416.3</v>
      </c>
      <c r="N231" s="80">
        <v>57028.100000000006</v>
      </c>
      <c r="O231" s="80">
        <v>1527000000</v>
      </c>
      <c r="P231" s="80">
        <v>6773000</v>
      </c>
      <c r="Q231" s="80">
        <v>10740000</v>
      </c>
      <c r="R231" s="78">
        <v>105.5</v>
      </c>
      <c r="S231" s="79">
        <v>275.5</v>
      </c>
      <c r="T231" s="80">
        <v>325998000</v>
      </c>
      <c r="U231" s="242">
        <v>353214802117500</v>
      </c>
      <c r="V231" s="81">
        <v>89746</v>
      </c>
      <c r="W231" s="74">
        <v>19</v>
      </c>
      <c r="X231" s="31" t="str">
        <f>IF(C231&lt;=1.2,IF(H231&lt;=100,IF(Calcul!$AG$2=460,"a","b"),IF(Calcul!$AG$2=460,"c","d")),IF(H231&lt;=40,IF(Calcul!$AG$2=460,"a0","a"),IF(Calcul!$AG$2=460,"a","b")))</f>
        <v>b</v>
      </c>
      <c r="Y231" s="31" t="str">
        <f>IF(C231&lt;=1.2,IF(H231&lt;=100,IF(Calcul!$AG$2=460,"a","c"),IF(Calcul!$AG$2=460,"c","d")),IF(H231&lt;=40,IF(Calcul!$AG$2=460,"a0","b"),IF(Calcul!$AG$2=460,"a","c")))</f>
        <v>c</v>
      </c>
      <c r="Z231" s="156">
        <f t="shared" si="6"/>
        <v>26679726.068086423</v>
      </c>
      <c r="AA231" s="31">
        <f t="shared" si="7"/>
        <v>2412490.4</v>
      </c>
    </row>
    <row r="232" spans="1:27" ht="13">
      <c r="A232" s="9">
        <v>230</v>
      </c>
      <c r="B232" s="35" t="s">
        <v>1011</v>
      </c>
      <c r="C232" s="40">
        <v>2.3654266958424506</v>
      </c>
      <c r="D232" s="76">
        <v>1194</v>
      </c>
      <c r="E232" s="76">
        <v>1081</v>
      </c>
      <c r="F232" s="76">
        <v>457</v>
      </c>
      <c r="G232" s="76">
        <v>60.5</v>
      </c>
      <c r="H232" s="76">
        <v>109</v>
      </c>
      <c r="I232" s="76">
        <v>152200</v>
      </c>
      <c r="J232" s="77">
        <v>26940000000</v>
      </c>
      <c r="K232" s="77">
        <v>49830000</v>
      </c>
      <c r="L232" s="77">
        <v>59830000</v>
      </c>
      <c r="M232" s="78">
        <v>420.8</v>
      </c>
      <c r="N232" s="80">
        <v>63310.5</v>
      </c>
      <c r="O232" s="80">
        <v>1750000000</v>
      </c>
      <c r="P232" s="80">
        <v>7660000</v>
      </c>
      <c r="Q232" s="80">
        <v>12180000</v>
      </c>
      <c r="R232" s="78">
        <v>107.2</v>
      </c>
      <c r="S232" s="79">
        <v>300.8</v>
      </c>
      <c r="T232" s="80">
        <v>435309000</v>
      </c>
      <c r="U232" s="242">
        <v>413343000000000</v>
      </c>
      <c r="V232" s="81">
        <v>99988.5</v>
      </c>
      <c r="W232" s="74">
        <v>19</v>
      </c>
      <c r="X232" s="31" t="str">
        <f>IF(C232&lt;=1.2,IF(H232&lt;=100,IF(Calcul!$AG$2=460,"a","b"),IF(Calcul!$AG$2=460,"c","d")),IF(H232&lt;=40,IF(Calcul!$AG$2=460,"a0","a"),IF(Calcul!$AG$2=460,"a","b")))</f>
        <v>b</v>
      </c>
      <c r="Y232" s="31" t="str">
        <f>IF(C232&lt;=1.2,IF(H232&lt;=100,IF(Calcul!$AG$2=460,"a","c"),IF(Calcul!$AG$2=460,"c","d")),IF(H232&lt;=40,IF(Calcul!$AG$2=460,"a0","b"),IF(Calcul!$AG$2=460,"a","c")))</f>
        <v>c</v>
      </c>
      <c r="Z232" s="156">
        <f t="shared" si="6"/>
        <v>29907633.829839028</v>
      </c>
      <c r="AA232" s="31">
        <f t="shared" si="7"/>
        <v>2713374.46875</v>
      </c>
    </row>
    <row r="233" spans="1:27" ht="13">
      <c r="A233" s="9">
        <v>231</v>
      </c>
      <c r="B233" s="35" t="s">
        <v>1012</v>
      </c>
      <c r="C233" s="40">
        <v>2.3709327548806942</v>
      </c>
      <c r="D233" s="76">
        <v>1269</v>
      </c>
      <c r="E233" s="76">
        <v>1093</v>
      </c>
      <c r="F233" s="76">
        <v>461</v>
      </c>
      <c r="G233" s="76">
        <v>64</v>
      </c>
      <c r="H233" s="76">
        <v>115.1</v>
      </c>
      <c r="I233" s="76">
        <v>161700</v>
      </c>
      <c r="J233" s="77">
        <v>28999999999.999996</v>
      </c>
      <c r="K233" s="77">
        <v>53040000</v>
      </c>
      <c r="L233" s="77">
        <v>63960000</v>
      </c>
      <c r="M233" s="78">
        <v>423.5</v>
      </c>
      <c r="N233" s="80">
        <v>67318</v>
      </c>
      <c r="O233" s="80">
        <v>1899000000</v>
      </c>
      <c r="P233" s="80">
        <v>8237000</v>
      </c>
      <c r="Q233" s="80">
        <v>13130000</v>
      </c>
      <c r="R233" s="78">
        <v>108.4</v>
      </c>
      <c r="S233" s="79">
        <v>316.5</v>
      </c>
      <c r="T233" s="80">
        <v>514493000</v>
      </c>
      <c r="U233" s="242">
        <v>453997922647499.94</v>
      </c>
      <c r="V233" s="81">
        <v>106480.8</v>
      </c>
      <c r="W233" s="74">
        <v>19</v>
      </c>
      <c r="X233" s="31" t="str">
        <f>IF(C233&lt;=1.2,IF(H233&lt;=100,IF(Calcul!$AG$2=460,"a","b"),IF(Calcul!$AG$2=460,"c","d")),IF(H233&lt;=40,IF(Calcul!$AG$2=460,"a0","a"),IF(Calcul!$AG$2=460,"a","b")))</f>
        <v>b</v>
      </c>
      <c r="Y233" s="31" t="str">
        <f>IF(C233&lt;=1.2,IF(H233&lt;=100,IF(Calcul!$AG$2=460,"a","c"),IF(Calcul!$AG$2=460,"c","d")),IF(H233&lt;=40,IF(Calcul!$AG$2=460,"a0","b"),IF(Calcul!$AG$2=460,"a","c")))</f>
        <v>c</v>
      </c>
      <c r="Z233" s="156">
        <f t="shared" si="6"/>
        <v>31965800.338086423</v>
      </c>
      <c r="AA233" s="31">
        <f t="shared" si="7"/>
        <v>2907958.3374999999</v>
      </c>
    </row>
    <row r="234" spans="1:27" ht="13">
      <c r="A234" s="9">
        <v>232</v>
      </c>
      <c r="B234" s="35" t="s">
        <v>1013</v>
      </c>
      <c r="C234" s="40">
        <v>2.3107822410147993</v>
      </c>
      <c r="D234" s="76">
        <v>1377</v>
      </c>
      <c r="E234" s="76">
        <v>1093</v>
      </c>
      <c r="F234" s="76">
        <v>473</v>
      </c>
      <c r="G234" s="76">
        <v>76.7</v>
      </c>
      <c r="H234" s="76">
        <v>115.1</v>
      </c>
      <c r="I234" s="76">
        <v>175400</v>
      </c>
      <c r="J234" s="77">
        <v>30340000000</v>
      </c>
      <c r="K234" s="77">
        <v>55500000</v>
      </c>
      <c r="L234" s="77">
        <v>67680000</v>
      </c>
      <c r="M234" s="78">
        <v>415.9</v>
      </c>
      <c r="N234" s="80">
        <v>79717.37000000001</v>
      </c>
      <c r="O234" s="80">
        <v>2063000000</v>
      </c>
      <c r="P234" s="80">
        <v>8723000</v>
      </c>
      <c r="Q234" s="80">
        <v>14160000</v>
      </c>
      <c r="R234" s="78">
        <v>108.5</v>
      </c>
      <c r="S234" s="79">
        <v>329.2</v>
      </c>
      <c r="T234" s="80">
        <v>596419000</v>
      </c>
      <c r="U234" s="242">
        <v>493205747457499.94</v>
      </c>
      <c r="V234" s="81">
        <v>109223.24</v>
      </c>
      <c r="W234" s="74">
        <v>19</v>
      </c>
      <c r="X234" s="31" t="str">
        <f>IF(C234&lt;=1.2,IF(H234&lt;=100,IF(Calcul!$AG$2=460,"a","b"),IF(Calcul!$AG$2=460,"c","d")),IF(H234&lt;=40,IF(Calcul!$AG$2=460,"a0","a"),IF(Calcul!$AG$2=460,"a","b")))</f>
        <v>b</v>
      </c>
      <c r="Y234" s="31" t="str">
        <f>IF(C234&lt;=1.2,IF(H234&lt;=100,IF(Calcul!$AG$2=460,"a","c"),IF(Calcul!$AG$2=460,"c","d")),IF(H234&lt;=40,IF(Calcul!$AG$2=460,"a0","b"),IF(Calcul!$AG$2=460,"a","c")))</f>
        <v>c</v>
      </c>
      <c r="Z234" s="156">
        <f t="shared" si="6"/>
        <v>33822910.924086422</v>
      </c>
      <c r="AA234" s="31">
        <f t="shared" si="7"/>
        <v>3029617.7426250004</v>
      </c>
    </row>
    <row r="235" spans="1:27" ht="13">
      <c r="A235" s="9">
        <v>233</v>
      </c>
      <c r="B235" s="35" t="s">
        <v>1014</v>
      </c>
      <c r="C235" s="40">
        <v>2.4550000000000001</v>
      </c>
      <c r="D235" s="76">
        <v>296</v>
      </c>
      <c r="E235" s="76">
        <v>982</v>
      </c>
      <c r="F235" s="76">
        <v>400</v>
      </c>
      <c r="G235" s="76">
        <v>16.5</v>
      </c>
      <c r="H235" s="76">
        <v>27.1</v>
      </c>
      <c r="I235" s="76">
        <v>37760</v>
      </c>
      <c r="J235" s="77">
        <v>6203000000</v>
      </c>
      <c r="K235" s="77">
        <v>12630000</v>
      </c>
      <c r="L235" s="77">
        <v>14260000</v>
      </c>
      <c r="M235" s="78">
        <v>405.3</v>
      </c>
      <c r="N235" s="80">
        <v>18153.150000000001</v>
      </c>
      <c r="O235" s="80">
        <v>289600000</v>
      </c>
      <c r="P235" s="80">
        <v>1448000</v>
      </c>
      <c r="Q235" s="80">
        <v>2243000</v>
      </c>
      <c r="R235" s="78">
        <v>87.6</v>
      </c>
      <c r="S235" s="79">
        <v>105.8</v>
      </c>
      <c r="T235" s="80">
        <v>7640000</v>
      </c>
      <c r="U235" s="242">
        <v>66016782324000</v>
      </c>
      <c r="V235" s="81">
        <v>22451.300000000003</v>
      </c>
      <c r="W235" s="74">
        <v>30</v>
      </c>
      <c r="X235" s="31" t="str">
        <f>IF(C235&lt;=1.2,IF(H235&lt;=100,IF(Calcul!$AG$2=460,"a","b"),IF(Calcul!$AG$2=460,"c","d")),IF(H235&lt;=40,IF(Calcul!$AG$2=460,"a0","a"),IF(Calcul!$AG$2=460,"a","b")))</f>
        <v>a</v>
      </c>
      <c r="Y235" s="31" t="str">
        <f>IF(C235&lt;=1.2,IF(H235&lt;=100,IF(Calcul!$AG$2=460,"a","c"),IF(Calcul!$AG$2=460,"c","d")),IF(H235&lt;=40,IF(Calcul!$AG$2=460,"a0","b"),IF(Calcul!$AG$2=460,"a","c")))</f>
        <v>b</v>
      </c>
      <c r="Z235" s="156">
        <f t="shared" si="6"/>
        <v>7127593.3679738473</v>
      </c>
      <c r="AA235" s="31">
        <f t="shared" si="7"/>
        <v>522175.50312500005</v>
      </c>
    </row>
    <row r="236" spans="1:27" ht="13">
      <c r="A236" s="9">
        <v>234</v>
      </c>
      <c r="B236" s="35" t="s">
        <v>1015</v>
      </c>
      <c r="C236" s="40">
        <v>2.4750000000000001</v>
      </c>
      <c r="D236" s="76">
        <v>321</v>
      </c>
      <c r="E236" s="76">
        <v>990</v>
      </c>
      <c r="F236" s="76">
        <v>400</v>
      </c>
      <c r="G236" s="76">
        <v>16.5</v>
      </c>
      <c r="H236" s="76">
        <v>31</v>
      </c>
      <c r="I236" s="76">
        <v>40880</v>
      </c>
      <c r="J236" s="77">
        <v>6964000000</v>
      </c>
      <c r="K236" s="77">
        <v>14070000</v>
      </c>
      <c r="L236" s="77">
        <v>15800000</v>
      </c>
      <c r="M236" s="78">
        <v>412.7</v>
      </c>
      <c r="N236" s="80">
        <v>18451.5</v>
      </c>
      <c r="O236" s="80">
        <v>331200000</v>
      </c>
      <c r="P236" s="80">
        <v>1656000</v>
      </c>
      <c r="Q236" s="80">
        <v>2555000</v>
      </c>
      <c r="R236" s="78">
        <v>90</v>
      </c>
      <c r="S236" s="79">
        <v>113.6</v>
      </c>
      <c r="T236" s="80">
        <v>10300000</v>
      </c>
      <c r="U236" s="242">
        <v>76149586800000</v>
      </c>
      <c r="V236" s="81">
        <v>25568</v>
      </c>
      <c r="W236" s="74">
        <v>30</v>
      </c>
      <c r="X236" s="31" t="str">
        <f>IF(C236&lt;=1.2,IF(H236&lt;=100,IF(Calcul!$AG$2=460,"a","b"),IF(Calcul!$AG$2=460,"c","d")),IF(H236&lt;=40,IF(Calcul!$AG$2=460,"a0","a"),IF(Calcul!$AG$2=460,"a","b")))</f>
        <v>a</v>
      </c>
      <c r="Y236" s="31" t="str">
        <f>IF(C236&lt;=1.2,IF(H236&lt;=100,IF(Calcul!$AG$2=460,"a","c"),IF(Calcul!$AG$2=460,"c","d")),IF(H236&lt;=40,IF(Calcul!$AG$2=460,"a0","b"),IF(Calcul!$AG$2=460,"a","c")))</f>
        <v>b</v>
      </c>
      <c r="Z236" s="156">
        <f t="shared" si="6"/>
        <v>7898639.5138044357</v>
      </c>
      <c r="AA236" s="31">
        <f t="shared" si="7"/>
        <v>597322.53125</v>
      </c>
    </row>
    <row r="237" spans="1:27" ht="13">
      <c r="A237" s="9">
        <v>235</v>
      </c>
      <c r="B237" s="35" t="s">
        <v>1016</v>
      </c>
      <c r="C237" s="40">
        <v>2.5</v>
      </c>
      <c r="D237" s="76">
        <v>371</v>
      </c>
      <c r="E237" s="76">
        <v>1000</v>
      </c>
      <c r="F237" s="76">
        <v>400</v>
      </c>
      <c r="G237" s="76">
        <v>19</v>
      </c>
      <c r="H237" s="76">
        <v>36.1</v>
      </c>
      <c r="I237" s="76">
        <v>47280</v>
      </c>
      <c r="J237" s="77">
        <v>8137000000</v>
      </c>
      <c r="K237" s="77">
        <v>16270000</v>
      </c>
      <c r="L237" s="77">
        <v>18360000</v>
      </c>
      <c r="M237" s="78">
        <v>414.9</v>
      </c>
      <c r="N237" s="80">
        <v>21251.9</v>
      </c>
      <c r="O237" s="80">
        <v>385800000</v>
      </c>
      <c r="P237" s="80">
        <v>1929000</v>
      </c>
      <c r="Q237" s="80">
        <v>2984000</v>
      </c>
      <c r="R237" s="78">
        <v>90.3</v>
      </c>
      <c r="S237" s="79">
        <v>126.3</v>
      </c>
      <c r="T237" s="80">
        <v>15900000</v>
      </c>
      <c r="U237" s="242">
        <v>89612004604500</v>
      </c>
      <c r="V237" s="81">
        <v>29651.8</v>
      </c>
      <c r="W237" s="74">
        <v>30</v>
      </c>
      <c r="X237" s="31" t="str">
        <f>IF(C237&lt;=1.2,IF(H237&lt;=100,IF(Calcul!$AG$2=460,"a","b"),IF(Calcul!$AG$2=460,"c","d")),IF(H237&lt;=40,IF(Calcul!$AG$2=460,"a0","a"),IF(Calcul!$AG$2=460,"a","b")))</f>
        <v>a</v>
      </c>
      <c r="Y237" s="31" t="str">
        <f>IF(C237&lt;=1.2,IF(H237&lt;=100,IF(Calcul!$AG$2=460,"a","c"),IF(Calcul!$AG$2=460,"c","d")),IF(H237&lt;=40,IF(Calcul!$AG$2=460,"a0","b"),IF(Calcul!$AG$2=460,"a","c")))</f>
        <v>b</v>
      </c>
      <c r="Z237" s="156">
        <f t="shared" si="6"/>
        <v>9180397.3804738484</v>
      </c>
      <c r="AA237" s="31">
        <f t="shared" si="7"/>
        <v>693837.48750000005</v>
      </c>
    </row>
    <row r="238" spans="1:27" ht="13">
      <c r="A238" s="9">
        <v>236</v>
      </c>
      <c r="B238" s="35" t="s">
        <v>1017</v>
      </c>
      <c r="C238" s="40">
        <v>2.5074626865671643</v>
      </c>
      <c r="D238" s="76">
        <v>412</v>
      </c>
      <c r="E238" s="76">
        <v>1008</v>
      </c>
      <c r="F238" s="76">
        <v>402</v>
      </c>
      <c r="G238" s="76">
        <v>21.1</v>
      </c>
      <c r="H238" s="76">
        <v>40</v>
      </c>
      <c r="I238" s="76">
        <v>52510</v>
      </c>
      <c r="J238" s="77">
        <v>9105000000</v>
      </c>
      <c r="K238" s="77">
        <v>18070000</v>
      </c>
      <c r="L238" s="77">
        <v>20460000</v>
      </c>
      <c r="M238" s="78">
        <v>416.4</v>
      </c>
      <c r="N238" s="80">
        <v>23594</v>
      </c>
      <c r="O238" s="80">
        <v>434000000</v>
      </c>
      <c r="P238" s="80">
        <v>2160000</v>
      </c>
      <c r="Q238" s="80">
        <v>3349000</v>
      </c>
      <c r="R238" s="78">
        <v>90.9</v>
      </c>
      <c r="S238" s="79">
        <v>136.19999999999999</v>
      </c>
      <c r="T238" s="80">
        <v>21400000</v>
      </c>
      <c r="U238" s="242">
        <v>101667104000000</v>
      </c>
      <c r="V238" s="81">
        <v>32929.199999999997</v>
      </c>
      <c r="W238" s="74">
        <v>30</v>
      </c>
      <c r="X238" s="31" t="str">
        <f>IF(C238&lt;=1.2,IF(H238&lt;=100,IF(Calcul!$AG$2=460,"a","b"),IF(Calcul!$AG$2=460,"c","d")),IF(H238&lt;=40,IF(Calcul!$AG$2=460,"a0","a"),IF(Calcul!$AG$2=460,"a","b")))</f>
        <v>a</v>
      </c>
      <c r="Y238" s="31" t="str">
        <f>IF(C238&lt;=1.2,IF(H238&lt;=100,IF(Calcul!$AG$2=460,"a","c"),IF(Calcul!$AG$2=460,"c","d")),IF(H238&lt;=40,IF(Calcul!$AG$2=460,"a0","b"),IF(Calcul!$AG$2=460,"a","c")))</f>
        <v>b</v>
      </c>
      <c r="Z238" s="156">
        <f t="shared" si="6"/>
        <v>10230740.313804436</v>
      </c>
      <c r="AA238" s="31">
        <f t="shared" si="7"/>
        <v>775133.95</v>
      </c>
    </row>
    <row r="239" spans="1:27" ht="13">
      <c r="A239" s="9">
        <v>237</v>
      </c>
      <c r="B239" s="35" t="s">
        <v>1018</v>
      </c>
      <c r="C239" s="40">
        <v>2.5174129353233829</v>
      </c>
      <c r="D239" s="76">
        <v>443</v>
      </c>
      <c r="E239" s="76">
        <v>1012</v>
      </c>
      <c r="F239" s="76">
        <v>402</v>
      </c>
      <c r="G239" s="76">
        <v>23.6</v>
      </c>
      <c r="H239" s="76">
        <v>41.9</v>
      </c>
      <c r="I239" s="76">
        <v>56370</v>
      </c>
      <c r="J239" s="77">
        <v>9665000000</v>
      </c>
      <c r="K239" s="77">
        <v>19100000</v>
      </c>
      <c r="L239" s="77">
        <v>21780000</v>
      </c>
      <c r="M239" s="78">
        <v>414.1</v>
      </c>
      <c r="N239" s="80">
        <v>26185.24</v>
      </c>
      <c r="O239" s="80">
        <v>455000000</v>
      </c>
      <c r="P239" s="80">
        <v>2264000</v>
      </c>
      <c r="Q239" s="80">
        <v>3529000</v>
      </c>
      <c r="R239" s="78">
        <v>89.8</v>
      </c>
      <c r="S239" s="79">
        <v>142.5</v>
      </c>
      <c r="T239" s="80">
        <v>25400000</v>
      </c>
      <c r="U239" s="242">
        <v>107049443637500</v>
      </c>
      <c r="V239" s="81">
        <v>34464.479999999996</v>
      </c>
      <c r="W239" s="74">
        <v>30</v>
      </c>
      <c r="X239" s="31" t="str">
        <f>IF(C239&lt;=1.2,IF(H239&lt;=100,IF(Calcul!$AG$2=460,"a","b"),IF(Calcul!$AG$2=460,"c","d")),IF(H239&lt;=40,IF(Calcul!$AG$2=460,"a0","a"),IF(Calcul!$AG$2=460,"a","b")))</f>
        <v>b</v>
      </c>
      <c r="Y239" s="31" t="str">
        <f>IF(C239&lt;=1.2,IF(H239&lt;=100,IF(Calcul!$AG$2=460,"a","c"),IF(Calcul!$AG$2=460,"c","d")),IF(H239&lt;=40,IF(Calcul!$AG$2=460,"a0","b"),IF(Calcul!$AG$2=460,"a","c")))</f>
        <v>c</v>
      </c>
      <c r="Z239" s="156">
        <f t="shared" si="6"/>
        <v>10888359.290135024</v>
      </c>
      <c r="AA239" s="31">
        <f t="shared" si="7"/>
        <v>809796.27199999988</v>
      </c>
    </row>
    <row r="240" spans="1:27" ht="13">
      <c r="A240" s="9">
        <v>238</v>
      </c>
      <c r="B240" s="35" t="s">
        <v>1019</v>
      </c>
      <c r="C240" s="40">
        <v>2.5247524752475248</v>
      </c>
      <c r="D240" s="76">
        <v>483</v>
      </c>
      <c r="E240" s="76">
        <v>1020</v>
      </c>
      <c r="F240" s="76">
        <v>404</v>
      </c>
      <c r="G240" s="76">
        <v>25.4</v>
      </c>
      <c r="H240" s="76">
        <v>46</v>
      </c>
      <c r="I240" s="76">
        <v>61510</v>
      </c>
      <c r="J240" s="77">
        <v>10669999999.999998</v>
      </c>
      <c r="K240" s="77">
        <v>20930000</v>
      </c>
      <c r="L240" s="77">
        <v>23920000</v>
      </c>
      <c r="M240" s="78">
        <v>416.6</v>
      </c>
      <c r="N240" s="80">
        <v>28270.400000000001</v>
      </c>
      <c r="O240" s="80">
        <v>507100000</v>
      </c>
      <c r="P240" s="80">
        <v>2510000</v>
      </c>
      <c r="Q240" s="80">
        <v>3919000</v>
      </c>
      <c r="R240" s="78">
        <v>90.8</v>
      </c>
      <c r="S240" s="79">
        <v>152.5</v>
      </c>
      <c r="T240" s="80">
        <v>33068000</v>
      </c>
      <c r="U240" s="242">
        <v>120268399900000</v>
      </c>
      <c r="V240" s="81">
        <v>37938.800000000003</v>
      </c>
      <c r="W240" s="74">
        <v>30</v>
      </c>
      <c r="X240" s="31" t="str">
        <f>IF(C240&lt;=1.2,IF(H240&lt;=100,IF(Calcul!$AG$2=460,"a","b"),IF(Calcul!$AG$2=460,"c","d")),IF(H240&lt;=40,IF(Calcul!$AG$2=460,"a0","a"),IF(Calcul!$AG$2=460,"a","b")))</f>
        <v>b</v>
      </c>
      <c r="Y240" s="31" t="str">
        <f>IF(C240&lt;=1.2,IF(H240&lt;=100,IF(Calcul!$AG$2=460,"a","c"),IF(Calcul!$AG$2=460,"c","d")),IF(H240&lt;=40,IF(Calcul!$AG$2=460,"a0","b"),IF(Calcul!$AG$2=460,"a","c")))</f>
        <v>c</v>
      </c>
      <c r="Z240" s="156">
        <f t="shared" si="6"/>
        <v>11961314.713804435</v>
      </c>
      <c r="AA240" s="31">
        <f t="shared" si="7"/>
        <v>896556.33000000007</v>
      </c>
    </row>
    <row r="241" spans="1:27" ht="13">
      <c r="A241" s="9">
        <v>239</v>
      </c>
      <c r="B241" s="35" t="s">
        <v>1020</v>
      </c>
      <c r="C241" s="40">
        <v>2.5307125307125307</v>
      </c>
      <c r="D241" s="76">
        <v>539</v>
      </c>
      <c r="E241" s="76">
        <v>1030</v>
      </c>
      <c r="F241" s="76">
        <v>407</v>
      </c>
      <c r="G241" s="76">
        <v>28.4</v>
      </c>
      <c r="H241" s="76">
        <v>51.1</v>
      </c>
      <c r="I241" s="76">
        <v>68720</v>
      </c>
      <c r="J241" s="77">
        <v>12029999999.999998</v>
      </c>
      <c r="K241" s="77">
        <v>23350000</v>
      </c>
      <c r="L241" s="77">
        <v>26820000</v>
      </c>
      <c r="M241" s="78">
        <v>418.3</v>
      </c>
      <c r="N241" s="80">
        <v>31641.84</v>
      </c>
      <c r="O241" s="80">
        <v>576300000</v>
      </c>
      <c r="P241" s="80">
        <v>2832000</v>
      </c>
      <c r="Q241" s="80">
        <v>4436000</v>
      </c>
      <c r="R241" s="78">
        <v>91.6</v>
      </c>
      <c r="S241" s="79">
        <v>165.7</v>
      </c>
      <c r="T241" s="80">
        <v>45300000</v>
      </c>
      <c r="U241" s="242">
        <v>138059178630750</v>
      </c>
      <c r="V241" s="81">
        <v>42370.48</v>
      </c>
      <c r="W241" s="74">
        <v>30</v>
      </c>
      <c r="X241" s="31" t="str">
        <f>IF(C241&lt;=1.2,IF(H241&lt;=100,IF(Calcul!$AG$2=460,"a","b"),IF(Calcul!$AG$2=460,"c","d")),IF(H241&lt;=40,IF(Calcul!$AG$2=460,"a0","a"),IF(Calcul!$AG$2=460,"a","b")))</f>
        <v>b</v>
      </c>
      <c r="Y241" s="31" t="str">
        <f>IF(C241&lt;=1.2,IF(H241&lt;=100,IF(Calcul!$AG$2=460,"a","c"),IF(Calcul!$AG$2=460,"c","d")),IF(H241&lt;=40,IF(Calcul!$AG$2=460,"a0","b"),IF(Calcul!$AG$2=460,"a","c")))</f>
        <v>c</v>
      </c>
      <c r="Z241" s="156">
        <f t="shared" si="6"/>
        <v>13411928.732473848</v>
      </c>
      <c r="AA241" s="31">
        <f t="shared" si="7"/>
        <v>1008167.4855000002</v>
      </c>
    </row>
    <row r="242" spans="1:27" ht="13">
      <c r="A242" s="9">
        <v>240</v>
      </c>
      <c r="B242" s="35" t="s">
        <v>1021</v>
      </c>
      <c r="C242" s="40">
        <v>2.5294117647058822</v>
      </c>
      <c r="D242" s="76">
        <v>554</v>
      </c>
      <c r="E242" s="76">
        <v>1032</v>
      </c>
      <c r="F242" s="76">
        <v>408</v>
      </c>
      <c r="G242" s="76">
        <v>29.5</v>
      </c>
      <c r="H242" s="76">
        <v>52</v>
      </c>
      <c r="I242" s="76">
        <v>70580</v>
      </c>
      <c r="J242" s="77">
        <v>12320000000</v>
      </c>
      <c r="K242" s="77">
        <v>23880000</v>
      </c>
      <c r="L242" s="77">
        <v>27500000</v>
      </c>
      <c r="M242" s="78">
        <v>417.9</v>
      </c>
      <c r="N242" s="80">
        <v>32802</v>
      </c>
      <c r="O242" s="80">
        <v>591000000</v>
      </c>
      <c r="P242" s="80">
        <v>2897000</v>
      </c>
      <c r="Q242" s="80">
        <v>4547000</v>
      </c>
      <c r="R242" s="78">
        <v>91.5</v>
      </c>
      <c r="S242" s="79">
        <v>168.6</v>
      </c>
      <c r="T242" s="80">
        <v>48300000</v>
      </c>
      <c r="U242" s="242">
        <v>141899100000000</v>
      </c>
      <c r="V242" s="81">
        <v>43204</v>
      </c>
      <c r="W242" s="74">
        <v>30</v>
      </c>
      <c r="X242" s="31" t="str">
        <f>IF(C242&lt;=1.2,IF(H242&lt;=100,IF(Calcul!$AG$2=460,"a","b"),IF(Calcul!$AG$2=460,"c","d")),IF(H242&lt;=40,IF(Calcul!$AG$2=460,"a0","a"),IF(Calcul!$AG$2=460,"a","b")))</f>
        <v>b</v>
      </c>
      <c r="Y242" s="31" t="str">
        <f>IF(C242&lt;=1.2,IF(H242&lt;=100,IF(Calcul!$AG$2=460,"a","c"),IF(Calcul!$AG$2=460,"c","d")),IF(H242&lt;=40,IF(Calcul!$AG$2=460,"a0","b"),IF(Calcul!$AG$2=460,"a","c")))</f>
        <v>c</v>
      </c>
      <c r="Z242" s="156">
        <f t="shared" si="6"/>
        <v>13748103.513804436</v>
      </c>
      <c r="AA242" s="31">
        <f t="shared" si="7"/>
        <v>1029949.375</v>
      </c>
    </row>
    <row r="243" spans="1:27" ht="13">
      <c r="A243" s="9">
        <v>241</v>
      </c>
      <c r="B243" s="35" t="s">
        <v>1022</v>
      </c>
      <c r="C243" s="40">
        <v>2.5427872860635699</v>
      </c>
      <c r="D243" s="76">
        <v>591</v>
      </c>
      <c r="E243" s="76">
        <v>1040</v>
      </c>
      <c r="F243" s="76">
        <v>409</v>
      </c>
      <c r="G243" s="76">
        <v>31</v>
      </c>
      <c r="H243" s="76">
        <v>55.9</v>
      </c>
      <c r="I243" s="76">
        <v>75270</v>
      </c>
      <c r="J243" s="77">
        <v>13309999999.999998</v>
      </c>
      <c r="K243" s="77">
        <v>25600000</v>
      </c>
      <c r="L243" s="77">
        <v>29530000</v>
      </c>
      <c r="M243" s="78">
        <v>420.5</v>
      </c>
      <c r="N243" s="80">
        <v>34630.700000000004</v>
      </c>
      <c r="O243" s="80">
        <v>640100000</v>
      </c>
      <c r="P243" s="80">
        <v>3130000</v>
      </c>
      <c r="Q243" s="80">
        <v>4916000</v>
      </c>
      <c r="R243" s="78">
        <v>92.2</v>
      </c>
      <c r="S243" s="79">
        <v>177.9</v>
      </c>
      <c r="T243" s="80">
        <v>59000000</v>
      </c>
      <c r="U243" s="242">
        <v>154976660920250</v>
      </c>
      <c r="V243" s="81">
        <v>46495.8</v>
      </c>
      <c r="W243" s="74">
        <v>30</v>
      </c>
      <c r="X243" s="31" t="str">
        <f>IF(C243&lt;=1.2,IF(H243&lt;=100,IF(Calcul!$AG$2=460,"a","b"),IF(Calcul!$AG$2=460,"c","d")),IF(H243&lt;=40,IF(Calcul!$AG$2=460,"a0","a"),IF(Calcul!$AG$2=460,"a","b")))</f>
        <v>b</v>
      </c>
      <c r="Y243" s="31" t="str">
        <f>IF(C243&lt;=1.2,IF(H243&lt;=100,IF(Calcul!$AG$2=460,"a","c"),IF(Calcul!$AG$2=460,"c","d")),IF(H243&lt;=40,IF(Calcul!$AG$2=460,"a0","b"),IF(Calcul!$AG$2=460,"a","c")))</f>
        <v>c</v>
      </c>
      <c r="Z243" s="156">
        <f t="shared" si="6"/>
        <v>14765001.052135026</v>
      </c>
      <c r="AA243" s="31">
        <f t="shared" si="7"/>
        <v>1111012.5</v>
      </c>
    </row>
    <row r="244" spans="1:27" ht="13">
      <c r="A244" s="9">
        <v>242</v>
      </c>
      <c r="B244" s="35" t="s">
        <v>1023</v>
      </c>
      <c r="C244" s="40">
        <v>2.5436893203883497</v>
      </c>
      <c r="D244" s="76">
        <v>642</v>
      </c>
      <c r="E244" s="76">
        <v>1048</v>
      </c>
      <c r="F244" s="76">
        <v>412</v>
      </c>
      <c r="G244" s="76">
        <v>34</v>
      </c>
      <c r="H244" s="76">
        <v>60</v>
      </c>
      <c r="I244" s="76">
        <v>81760</v>
      </c>
      <c r="J244" s="77">
        <v>14510000000</v>
      </c>
      <c r="K244" s="77">
        <v>27680000</v>
      </c>
      <c r="L244" s="77">
        <v>32100000</v>
      </c>
      <c r="M244" s="78">
        <v>421.2</v>
      </c>
      <c r="N244" s="80">
        <v>37960</v>
      </c>
      <c r="O244" s="80">
        <v>702800000</v>
      </c>
      <c r="P244" s="80">
        <v>3412000</v>
      </c>
      <c r="Q244" s="80">
        <v>5379000</v>
      </c>
      <c r="R244" s="78">
        <v>92.7</v>
      </c>
      <c r="S244" s="79">
        <v>189.1</v>
      </c>
      <c r="T244" s="80">
        <v>73800000</v>
      </c>
      <c r="U244" s="242">
        <v>171508500800000</v>
      </c>
      <c r="V244" s="81">
        <v>50208</v>
      </c>
      <c r="W244" s="74">
        <v>30</v>
      </c>
      <c r="X244" s="31" t="str">
        <f>IF(C244&lt;=1.2,IF(H244&lt;=100,IF(Calcul!$AG$2=460,"a","b"),IF(Calcul!$AG$2=460,"c","d")),IF(H244&lt;=40,IF(Calcul!$AG$2=460,"a0","a"),IF(Calcul!$AG$2=460,"a","b")))</f>
        <v>b</v>
      </c>
      <c r="Y244" s="31" t="str">
        <f>IF(C244&lt;=1.2,IF(H244&lt;=100,IF(Calcul!$AG$2=460,"a","c"),IF(Calcul!$AG$2=460,"c","d")),IF(H244&lt;=40,IF(Calcul!$AG$2=460,"a0","b"),IF(Calcul!$AG$2=460,"a","c")))</f>
        <v>c</v>
      </c>
      <c r="Z244" s="156">
        <f t="shared" si="6"/>
        <v>16048359.513804436</v>
      </c>
      <c r="AA244" s="31">
        <f t="shared" si="7"/>
        <v>1206810</v>
      </c>
    </row>
    <row r="245" spans="1:27" ht="13">
      <c r="A245" s="9">
        <v>243</v>
      </c>
      <c r="B245" s="35" t="s">
        <v>1024</v>
      </c>
      <c r="C245" s="40">
        <v>2.5611510791366907</v>
      </c>
      <c r="D245" s="76">
        <v>748</v>
      </c>
      <c r="E245" s="76">
        <v>1068</v>
      </c>
      <c r="F245" s="76">
        <v>417</v>
      </c>
      <c r="G245" s="76">
        <v>39</v>
      </c>
      <c r="H245" s="76">
        <v>70</v>
      </c>
      <c r="I245" s="76">
        <v>95340</v>
      </c>
      <c r="J245" s="77">
        <v>17320000000</v>
      </c>
      <c r="K245" s="77">
        <v>32430000</v>
      </c>
      <c r="L245" s="77">
        <v>37880000</v>
      </c>
      <c r="M245" s="78">
        <v>426.2</v>
      </c>
      <c r="N245" s="80">
        <v>43890</v>
      </c>
      <c r="O245" s="80">
        <v>851100000</v>
      </c>
      <c r="P245" s="80">
        <v>4082000</v>
      </c>
      <c r="Q245" s="80">
        <v>6459000</v>
      </c>
      <c r="R245" s="78">
        <v>94.5</v>
      </c>
      <c r="S245" s="79">
        <v>214.1</v>
      </c>
      <c r="T245" s="80">
        <v>115547000</v>
      </c>
      <c r="U245" s="242">
        <v>211924751100000</v>
      </c>
      <c r="V245" s="81">
        <v>59148</v>
      </c>
      <c r="W245" s="74">
        <v>30</v>
      </c>
      <c r="X245" s="31" t="str">
        <f>IF(C245&lt;=1.2,IF(H245&lt;=100,IF(Calcul!$AG$2=460,"a","b"),IF(Calcul!$AG$2=460,"c","d")),IF(H245&lt;=40,IF(Calcul!$AG$2=460,"a0","a"),IF(Calcul!$AG$2=460,"a","b")))</f>
        <v>b</v>
      </c>
      <c r="Y245" s="31" t="str">
        <f>IF(C245&lt;=1.2,IF(H245&lt;=100,IF(Calcul!$AG$2=460,"a","c"),IF(Calcul!$AG$2=460,"c","d")),IF(H245&lt;=40,IF(Calcul!$AG$2=460,"a0","b"),IF(Calcul!$AG$2=460,"a","c")))</f>
        <v>c</v>
      </c>
      <c r="Z245" s="156">
        <f t="shared" si="6"/>
        <v>18940729.513804436</v>
      </c>
      <c r="AA245" s="31">
        <f t="shared" si="7"/>
        <v>1435770</v>
      </c>
    </row>
    <row r="246" spans="1:27" ht="13">
      <c r="A246" s="9">
        <v>244</v>
      </c>
      <c r="B246" s="35" t="s">
        <v>1025</v>
      </c>
      <c r="C246" s="40">
        <v>2.5754716981132075</v>
      </c>
      <c r="D246" s="76">
        <v>883</v>
      </c>
      <c r="E246" s="76">
        <v>1092</v>
      </c>
      <c r="F246" s="76">
        <v>424</v>
      </c>
      <c r="G246" s="76">
        <v>45.5</v>
      </c>
      <c r="H246" s="76">
        <v>82</v>
      </c>
      <c r="I246" s="76">
        <v>112500</v>
      </c>
      <c r="J246" s="77">
        <v>20960000000</v>
      </c>
      <c r="K246" s="77">
        <v>38390000</v>
      </c>
      <c r="L246" s="77">
        <v>45260000</v>
      </c>
      <c r="M246" s="78">
        <v>431.6</v>
      </c>
      <c r="N246" s="80">
        <v>51615</v>
      </c>
      <c r="O246" s="80">
        <v>1050000000</v>
      </c>
      <c r="P246" s="80">
        <v>4952000</v>
      </c>
      <c r="Q246" s="80">
        <v>7874000</v>
      </c>
      <c r="R246" s="78">
        <v>96.6</v>
      </c>
      <c r="S246" s="79">
        <v>244.6</v>
      </c>
      <c r="T246" s="80">
        <v>185176000</v>
      </c>
      <c r="U246" s="242">
        <v>267776250000000</v>
      </c>
      <c r="V246" s="81">
        <v>70276</v>
      </c>
      <c r="W246" s="74">
        <v>30</v>
      </c>
      <c r="X246" s="31" t="str">
        <f>IF(C246&lt;=1.2,IF(H246&lt;=100,IF(Calcul!$AG$2=460,"a","b"),IF(Calcul!$AG$2=460,"c","d")),IF(H246&lt;=40,IF(Calcul!$AG$2=460,"a0","a"),IF(Calcul!$AG$2=460,"a","b")))</f>
        <v>b</v>
      </c>
      <c r="Y246" s="31" t="str">
        <f>IF(C246&lt;=1.2,IF(H246&lt;=100,IF(Calcul!$AG$2=460,"a","c"),IF(Calcul!$AG$2=460,"c","d")),IF(H246&lt;=40,IF(Calcul!$AG$2=460,"a0","b"),IF(Calcul!$AG$2=460,"a","c")))</f>
        <v>c</v>
      </c>
      <c r="Z246" s="156">
        <f t="shared" si="6"/>
        <v>22632471.513804436</v>
      </c>
      <c r="AA246" s="31">
        <f t="shared" si="7"/>
        <v>1728618.9375</v>
      </c>
    </row>
    <row r="247" spans="1:27" ht="13">
      <c r="A247" s="9">
        <v>245</v>
      </c>
      <c r="B247" s="35" t="s">
        <v>1026</v>
      </c>
      <c r="C247" s="40">
        <v>2.5887850467289719</v>
      </c>
      <c r="D247" s="76">
        <v>976</v>
      </c>
      <c r="E247" s="76">
        <v>1108</v>
      </c>
      <c r="F247" s="76">
        <v>428</v>
      </c>
      <c r="G247" s="76">
        <v>50</v>
      </c>
      <c r="H247" s="76">
        <v>89.9</v>
      </c>
      <c r="I247" s="76">
        <v>124300</v>
      </c>
      <c r="J247" s="77">
        <v>23490000000</v>
      </c>
      <c r="K247" s="77">
        <v>42400000</v>
      </c>
      <c r="L247" s="77">
        <v>50300000</v>
      </c>
      <c r="M247" s="78">
        <v>435</v>
      </c>
      <c r="N247" s="80">
        <v>57234.600000000006</v>
      </c>
      <c r="O247" s="80">
        <v>1185000000</v>
      </c>
      <c r="P247" s="80">
        <v>5538000</v>
      </c>
      <c r="Q247" s="80">
        <v>8839000</v>
      </c>
      <c r="R247" s="78">
        <v>97.7</v>
      </c>
      <c r="S247" s="79">
        <v>264.89999999999998</v>
      </c>
      <c r="T247" s="80">
        <v>244199000</v>
      </c>
      <c r="U247" s="242">
        <v>307071304462500</v>
      </c>
      <c r="V247" s="81">
        <v>77890</v>
      </c>
      <c r="W247" s="74">
        <v>30</v>
      </c>
      <c r="X247" s="31" t="str">
        <f>IF(C247&lt;=1.2,IF(H247&lt;=100,IF(Calcul!$AG$2=460,"a","b"),IF(Calcul!$AG$2=460,"c","d")),IF(H247&lt;=40,IF(Calcul!$AG$2=460,"a0","a"),IF(Calcul!$AG$2=460,"a","b")))</f>
        <v>b</v>
      </c>
      <c r="Y247" s="31" t="str">
        <f>IF(C247&lt;=1.2,IF(H247&lt;=100,IF(Calcul!$AG$2=460,"a","c"),IF(Calcul!$AG$2=460,"c","d")),IF(H247&lt;=40,IF(Calcul!$AG$2=460,"a0","b"),IF(Calcul!$AG$2=460,"a","c")))</f>
        <v>c</v>
      </c>
      <c r="Z247" s="156">
        <f t="shared" si="6"/>
        <v>25148225.052135028</v>
      </c>
      <c r="AA247" s="31">
        <f t="shared" si="7"/>
        <v>1922556.4500000002</v>
      </c>
    </row>
    <row r="248" spans="1:27" ht="13">
      <c r="A248" s="9">
        <v>246</v>
      </c>
      <c r="B248" s="35" t="s">
        <v>1027</v>
      </c>
      <c r="C248" s="40">
        <v>3.2333333333333334</v>
      </c>
      <c r="D248" s="76">
        <v>222</v>
      </c>
      <c r="E248" s="76">
        <v>970</v>
      </c>
      <c r="F248" s="76">
        <v>300</v>
      </c>
      <c r="G248" s="76">
        <v>16</v>
      </c>
      <c r="H248" s="76">
        <v>21.1</v>
      </c>
      <c r="I248" s="76">
        <v>28280</v>
      </c>
      <c r="J248" s="77">
        <v>4077000000</v>
      </c>
      <c r="K248" s="77">
        <v>8405000</v>
      </c>
      <c r="L248" s="77">
        <v>9803000</v>
      </c>
      <c r="M248" s="78">
        <v>379.7</v>
      </c>
      <c r="N248" s="80">
        <v>17223.599999999999</v>
      </c>
      <c r="O248" s="80">
        <v>95460000</v>
      </c>
      <c r="P248" s="80">
        <v>636400</v>
      </c>
      <c r="Q248" s="80">
        <v>1020000</v>
      </c>
      <c r="R248" s="78">
        <v>58.1</v>
      </c>
      <c r="S248" s="79">
        <v>93.35</v>
      </c>
      <c r="T248" s="80">
        <v>3900000</v>
      </c>
      <c r="U248" s="242">
        <v>21488313526650</v>
      </c>
      <c r="V248" s="81">
        <v>13435.2</v>
      </c>
      <c r="W248" s="74">
        <v>30</v>
      </c>
      <c r="X248" s="31" t="str">
        <f>IF(C248&lt;=1.2,IF(H248&lt;=100,IF(Calcul!$AG$2=460,"a","b"),IF(Calcul!$AG$2=460,"c","d")),IF(H248&lt;=40,IF(Calcul!$AG$2=460,"a0","a"),IF(Calcul!$AG$2=460,"a","b")))</f>
        <v>a</v>
      </c>
      <c r="Y248" s="31" t="str">
        <f>IF(C248&lt;=1.2,IF(H248&lt;=100,IF(Calcul!$AG$2=460,"a","c"),IF(Calcul!$AG$2=460,"c","d")),IF(H248&lt;=40,IF(Calcul!$AG$2=460,"a0","b"),IF(Calcul!$AG$2=460,"a","c")))</f>
        <v>b</v>
      </c>
      <c r="Z248" s="156">
        <f t="shared" si="6"/>
        <v>4901503.0654738471</v>
      </c>
      <c r="AA248" s="31">
        <f t="shared" si="7"/>
        <v>222140.80000000002</v>
      </c>
    </row>
    <row r="249" spans="1:27" ht="13">
      <c r="A249" s="9">
        <v>247</v>
      </c>
      <c r="B249" s="35" t="s">
        <v>1028</v>
      </c>
      <c r="C249" s="40">
        <v>3.2666666666666666</v>
      </c>
      <c r="D249" s="76">
        <v>249</v>
      </c>
      <c r="E249" s="76">
        <v>980</v>
      </c>
      <c r="F249" s="76">
        <v>300</v>
      </c>
      <c r="G249" s="76">
        <v>16.5</v>
      </c>
      <c r="H249" s="76">
        <v>26</v>
      </c>
      <c r="I249" s="76">
        <v>31680</v>
      </c>
      <c r="J249" s="77">
        <v>4811000000</v>
      </c>
      <c r="K249" s="77">
        <v>9818000</v>
      </c>
      <c r="L249" s="77">
        <v>11350000</v>
      </c>
      <c r="M249" s="78">
        <v>389.7</v>
      </c>
      <c r="N249" s="80">
        <v>18069</v>
      </c>
      <c r="O249" s="80">
        <v>117500000</v>
      </c>
      <c r="P249" s="80">
        <v>783600</v>
      </c>
      <c r="Q249" s="80">
        <v>1245000</v>
      </c>
      <c r="R249" s="78">
        <v>60.9</v>
      </c>
      <c r="S249" s="79">
        <v>103.6</v>
      </c>
      <c r="T249" s="80">
        <v>5820000</v>
      </c>
      <c r="U249" s="242">
        <v>26734657500000</v>
      </c>
      <c r="V249" s="81">
        <v>16368</v>
      </c>
      <c r="W249" s="74">
        <v>30</v>
      </c>
      <c r="X249" s="31" t="str">
        <f>IF(C249&lt;=1.2,IF(H249&lt;=100,IF(Calcul!$AG$2=460,"a","b"),IF(Calcul!$AG$2=460,"c","d")),IF(H249&lt;=40,IF(Calcul!$AG$2=460,"a0","a"),IF(Calcul!$AG$2=460,"a","b")))</f>
        <v>a</v>
      </c>
      <c r="Y249" s="31" t="str">
        <f>IF(C249&lt;=1.2,IF(H249&lt;=100,IF(Calcul!$AG$2=460,"a","c"),IF(Calcul!$AG$2=460,"c","d")),IF(H249&lt;=40,IF(Calcul!$AG$2=460,"a0","b"),IF(Calcul!$AG$2=460,"a","c")))</f>
        <v>b</v>
      </c>
      <c r="Z249" s="156">
        <f t="shared" si="6"/>
        <v>5673439.5138044357</v>
      </c>
      <c r="AA249" s="31">
        <f t="shared" si="7"/>
        <v>273480.1875</v>
      </c>
    </row>
    <row r="250" spans="1:27" ht="13">
      <c r="A250" s="9">
        <v>248</v>
      </c>
      <c r="B250" s="35" t="s">
        <v>1029</v>
      </c>
      <c r="C250" s="40">
        <v>3.3</v>
      </c>
      <c r="D250" s="76">
        <v>272</v>
      </c>
      <c r="E250" s="76">
        <v>990</v>
      </c>
      <c r="F250" s="76">
        <v>300</v>
      </c>
      <c r="G250" s="76">
        <v>16.5</v>
      </c>
      <c r="H250" s="76">
        <v>31</v>
      </c>
      <c r="I250" s="76">
        <v>34680</v>
      </c>
      <c r="J250" s="77">
        <v>5537999999.999999</v>
      </c>
      <c r="K250" s="77">
        <v>11190000</v>
      </c>
      <c r="L250" s="77">
        <v>12820000</v>
      </c>
      <c r="M250" s="78">
        <v>399.6</v>
      </c>
      <c r="N250" s="80">
        <v>18451.5</v>
      </c>
      <c r="O250" s="80">
        <v>140000000</v>
      </c>
      <c r="P250" s="80">
        <v>933600</v>
      </c>
      <c r="Q250" s="80">
        <v>1470000</v>
      </c>
      <c r="R250" s="78">
        <v>63.5</v>
      </c>
      <c r="S250" s="79">
        <v>113.6</v>
      </c>
      <c r="T250" s="80">
        <v>8350000</v>
      </c>
      <c r="U250" s="242">
        <v>32188835000000</v>
      </c>
      <c r="V250" s="81">
        <v>19368</v>
      </c>
      <c r="W250" s="74">
        <v>30</v>
      </c>
      <c r="X250" s="31" t="str">
        <f>IF(C250&lt;=1.2,IF(H250&lt;=100,IF(Calcul!$AG$2=460,"a","b"),IF(Calcul!$AG$2=460,"c","d")),IF(H250&lt;=40,IF(Calcul!$AG$2=460,"a0","a"),IF(Calcul!$AG$2=460,"a","b")))</f>
        <v>a</v>
      </c>
      <c r="Y250" s="31" t="str">
        <f>IF(C250&lt;=1.2,IF(H250&lt;=100,IF(Calcul!$AG$2=460,"a","c"),IF(Calcul!$AG$2=460,"c","d")),IF(H250&lt;=40,IF(Calcul!$AG$2=460,"a0","b"),IF(Calcul!$AG$2=460,"a","c")))</f>
        <v>b</v>
      </c>
      <c r="Z250" s="156">
        <f t="shared" si="6"/>
        <v>6412189.5138044357</v>
      </c>
      <c r="AA250" s="31">
        <f t="shared" si="7"/>
        <v>326072.53125</v>
      </c>
    </row>
    <row r="251" spans="1:27" ht="13">
      <c r="A251" s="9">
        <v>249</v>
      </c>
      <c r="B251" s="35" t="s">
        <v>1030</v>
      </c>
      <c r="C251" s="40">
        <v>3.3333333333333335</v>
      </c>
      <c r="D251" s="76">
        <v>314</v>
      </c>
      <c r="E251" s="76">
        <v>1000</v>
      </c>
      <c r="F251" s="76">
        <v>300</v>
      </c>
      <c r="G251" s="76">
        <v>19.100000000000001</v>
      </c>
      <c r="H251" s="76">
        <v>35.9</v>
      </c>
      <c r="I251" s="76">
        <v>40040</v>
      </c>
      <c r="J251" s="77">
        <v>6442000000</v>
      </c>
      <c r="K251" s="77">
        <v>12880000</v>
      </c>
      <c r="L251" s="77">
        <v>14850000</v>
      </c>
      <c r="M251" s="78">
        <v>401.1</v>
      </c>
      <c r="N251" s="80">
        <v>21339.69</v>
      </c>
      <c r="O251" s="80">
        <v>162300000</v>
      </c>
      <c r="P251" s="80">
        <v>1082000</v>
      </c>
      <c r="Q251" s="80">
        <v>1713000</v>
      </c>
      <c r="R251" s="78">
        <v>63.7</v>
      </c>
      <c r="S251" s="79">
        <v>126</v>
      </c>
      <c r="T251" s="80">
        <v>12600000</v>
      </c>
      <c r="U251" s="242">
        <v>37714008465750</v>
      </c>
      <c r="V251" s="81">
        <v>22311.379999999997</v>
      </c>
      <c r="W251" s="74">
        <v>30</v>
      </c>
      <c r="X251" s="31" t="str">
        <f>IF(C251&lt;=1.2,IF(H251&lt;=100,IF(Calcul!$AG$2=460,"a","b"),IF(Calcul!$AG$2=460,"c","d")),IF(H251&lt;=40,IF(Calcul!$AG$2=460,"a0","a"),IF(Calcul!$AG$2=460,"a","b")))</f>
        <v>a</v>
      </c>
      <c r="Y251" s="31" t="str">
        <f>IF(C251&lt;=1.2,IF(H251&lt;=100,IF(Calcul!$AG$2=460,"a","c"),IF(Calcul!$AG$2=460,"c","d")),IF(H251&lt;=40,IF(Calcul!$AG$2=460,"a0","b"),IF(Calcul!$AG$2=460,"a","c")))</f>
        <v>b</v>
      </c>
      <c r="Z251" s="156">
        <f t="shared" si="6"/>
        <v>7425327.7776350249</v>
      </c>
      <c r="AA251" s="31">
        <f t="shared" si="7"/>
        <v>375797.56512499996</v>
      </c>
    </row>
    <row r="252" spans="1:27" ht="13">
      <c r="A252" s="9">
        <v>250</v>
      </c>
      <c r="B252" s="35" t="s">
        <v>1031</v>
      </c>
      <c r="C252" s="40">
        <v>3.3377483443708611</v>
      </c>
      <c r="D252" s="76">
        <v>350</v>
      </c>
      <c r="E252" s="76">
        <v>1008</v>
      </c>
      <c r="F252" s="76">
        <v>302</v>
      </c>
      <c r="G252" s="76">
        <v>21.1</v>
      </c>
      <c r="H252" s="76">
        <v>40</v>
      </c>
      <c r="I252" s="76">
        <v>44510</v>
      </c>
      <c r="J252" s="77">
        <v>7229999999.999999</v>
      </c>
      <c r="K252" s="77">
        <v>14340000</v>
      </c>
      <c r="L252" s="77">
        <v>16590000</v>
      </c>
      <c r="M252" s="78">
        <v>403</v>
      </c>
      <c r="N252" s="80">
        <v>23594</v>
      </c>
      <c r="O252" s="80">
        <v>184600000</v>
      </c>
      <c r="P252" s="80">
        <v>1223000</v>
      </c>
      <c r="Q252" s="80">
        <v>1941000</v>
      </c>
      <c r="R252" s="78">
        <v>64.400000000000006</v>
      </c>
      <c r="S252" s="79">
        <v>136.19999999999999</v>
      </c>
      <c r="T252" s="80">
        <v>17200000</v>
      </c>
      <c r="U252" s="242">
        <v>43243657600000</v>
      </c>
      <c r="V252" s="81">
        <v>24929.199999999997</v>
      </c>
      <c r="W252" s="74">
        <v>30</v>
      </c>
      <c r="X252" s="31" t="str">
        <f>IF(C252&lt;=1.2,IF(H252&lt;=100,IF(Calcul!$AG$2=460,"a","b"),IF(Calcul!$AG$2=460,"c","d")),IF(H252&lt;=40,IF(Calcul!$AG$2=460,"a0","a"),IF(Calcul!$AG$2=460,"a","b")))</f>
        <v>a</v>
      </c>
      <c r="Y252" s="31" t="str">
        <f>IF(C252&lt;=1.2,IF(H252&lt;=100,IF(Calcul!$AG$2=460,"a","c"),IF(Calcul!$AG$2=460,"c","d")),IF(H252&lt;=40,IF(Calcul!$AG$2=460,"a0","b"),IF(Calcul!$AG$2=460,"a","c")))</f>
        <v>b</v>
      </c>
      <c r="Z252" s="156">
        <f t="shared" si="6"/>
        <v>8294740.3138044365</v>
      </c>
      <c r="AA252" s="31">
        <f t="shared" si="7"/>
        <v>423133.94999999995</v>
      </c>
    </row>
    <row r="253" spans="1:27" ht="13">
      <c r="A253" s="9">
        <v>251</v>
      </c>
      <c r="B253" s="35" t="s">
        <v>1032</v>
      </c>
      <c r="C253" s="40">
        <v>3.3531353135313533</v>
      </c>
      <c r="D253" s="76">
        <v>393</v>
      </c>
      <c r="E253" s="76">
        <v>1016</v>
      </c>
      <c r="F253" s="76">
        <v>303</v>
      </c>
      <c r="G253" s="76">
        <v>24.4</v>
      </c>
      <c r="H253" s="76">
        <v>43.9</v>
      </c>
      <c r="I253" s="76">
        <v>50020</v>
      </c>
      <c r="J253" s="77">
        <v>8077000000.000001</v>
      </c>
      <c r="K253" s="77">
        <v>15900000</v>
      </c>
      <c r="L253" s="77">
        <v>18540000</v>
      </c>
      <c r="M253" s="78">
        <v>401.8</v>
      </c>
      <c r="N253" s="80">
        <v>27121.760000000002</v>
      </c>
      <c r="O253" s="80">
        <v>205000000</v>
      </c>
      <c r="P253" s="80">
        <v>1353000</v>
      </c>
      <c r="Q253" s="80">
        <v>2168000</v>
      </c>
      <c r="R253" s="78">
        <v>64</v>
      </c>
      <c r="S253" s="79">
        <v>147.30000000000001</v>
      </c>
      <c r="T253" s="80">
        <v>23300000</v>
      </c>
      <c r="U253" s="242">
        <v>48430143512500</v>
      </c>
      <c r="V253" s="81">
        <v>27371.920000000002</v>
      </c>
      <c r="W253" s="74">
        <v>30</v>
      </c>
      <c r="X253" s="31" t="str">
        <f>IF(C253&lt;=1.2,IF(H253&lt;=100,IF(Calcul!$AG$2=460,"a","b"),IF(Calcul!$AG$2=460,"c","d")),IF(H253&lt;=40,IF(Calcul!$AG$2=460,"a0","a"),IF(Calcul!$AG$2=460,"a","b")))</f>
        <v>b</v>
      </c>
      <c r="Y253" s="31" t="str">
        <f>IF(C253&lt;=1.2,IF(H253&lt;=100,IF(Calcul!$AG$2=460,"a","c"),IF(Calcul!$AG$2=460,"c","d")),IF(H253&lt;=40,IF(Calcul!$AG$2=460,"a0","b"),IF(Calcul!$AG$2=460,"a","c")))</f>
        <v>c</v>
      </c>
      <c r="Z253" s="156">
        <f t="shared" si="6"/>
        <v>9269720.909135025</v>
      </c>
      <c r="AA253" s="31">
        <f t="shared" si="7"/>
        <v>464712.44949999999</v>
      </c>
    </row>
    <row r="254" spans="1:27" ht="13">
      <c r="A254" s="9">
        <v>252</v>
      </c>
      <c r="B254" s="35" t="s">
        <v>1033</v>
      </c>
      <c r="C254" s="40">
        <v>3.3552631578947367</v>
      </c>
      <c r="D254" s="76">
        <v>415</v>
      </c>
      <c r="E254" s="76">
        <v>1020</v>
      </c>
      <c r="F254" s="76">
        <v>304</v>
      </c>
      <c r="G254" s="76">
        <v>26</v>
      </c>
      <c r="H254" s="76">
        <v>46</v>
      </c>
      <c r="I254" s="76">
        <v>52870</v>
      </c>
      <c r="J254" s="77">
        <v>8531000000</v>
      </c>
      <c r="K254" s="77">
        <v>16730000</v>
      </c>
      <c r="L254" s="77">
        <v>19570000</v>
      </c>
      <c r="M254" s="78">
        <v>401.7</v>
      </c>
      <c r="N254" s="80">
        <v>28858</v>
      </c>
      <c r="O254" s="80">
        <v>217100000</v>
      </c>
      <c r="P254" s="80">
        <v>1428000</v>
      </c>
      <c r="Q254" s="80">
        <v>2298000</v>
      </c>
      <c r="R254" s="78">
        <v>64.099999999999994</v>
      </c>
      <c r="S254" s="79">
        <v>153.1</v>
      </c>
      <c r="T254" s="80">
        <v>27000000</v>
      </c>
      <c r="U254" s="242">
        <v>51489389900000</v>
      </c>
      <c r="V254" s="81">
        <v>28742</v>
      </c>
      <c r="W254" s="74">
        <v>30</v>
      </c>
      <c r="X254" s="31" t="str">
        <f>IF(C254&lt;=1.2,IF(H254&lt;=100,IF(Calcul!$AG$2=460,"a","b"),IF(Calcul!$AG$2=460,"c","d")),IF(H254&lt;=40,IF(Calcul!$AG$2=460,"a0","a"),IF(Calcul!$AG$2=460,"a","b")))</f>
        <v>b</v>
      </c>
      <c r="Y254" s="31" t="str">
        <f>IF(C254&lt;=1.2,IF(H254&lt;=100,IF(Calcul!$AG$2=460,"a","c"),IF(Calcul!$AG$2=460,"c","d")),IF(H254&lt;=40,IF(Calcul!$AG$2=460,"a0","b"),IF(Calcul!$AG$2=460,"a","c")))</f>
        <v>c</v>
      </c>
      <c r="Z254" s="156">
        <f t="shared" si="6"/>
        <v>9785703.5138044357</v>
      </c>
      <c r="AA254" s="31">
        <f t="shared" si="7"/>
        <v>488865</v>
      </c>
    </row>
    <row r="255" spans="1:27" ht="13">
      <c r="A255" s="9">
        <v>253</v>
      </c>
      <c r="B255" s="35" t="s">
        <v>1034</v>
      </c>
      <c r="C255" s="40">
        <v>3.3639344262295081</v>
      </c>
      <c r="D255" s="76">
        <v>438</v>
      </c>
      <c r="E255" s="76">
        <v>1026</v>
      </c>
      <c r="F255" s="76">
        <v>305</v>
      </c>
      <c r="G255" s="76">
        <v>26.9</v>
      </c>
      <c r="H255" s="76">
        <v>49</v>
      </c>
      <c r="I255" s="76">
        <v>55630</v>
      </c>
      <c r="J255" s="77">
        <v>9092000000</v>
      </c>
      <c r="K255" s="77">
        <v>17720000</v>
      </c>
      <c r="L255" s="77">
        <v>20750000</v>
      </c>
      <c r="M255" s="78">
        <v>404.3</v>
      </c>
      <c r="N255" s="80">
        <v>29998.1</v>
      </c>
      <c r="O255" s="80">
        <v>233600000</v>
      </c>
      <c r="P255" s="80">
        <v>1531000</v>
      </c>
      <c r="Q255" s="80">
        <v>2463000</v>
      </c>
      <c r="R255" s="78">
        <v>64.8</v>
      </c>
      <c r="S255" s="79">
        <v>160</v>
      </c>
      <c r="T255" s="80">
        <v>31800000</v>
      </c>
      <c r="U255" s="242">
        <v>55744493600000</v>
      </c>
      <c r="V255" s="81">
        <v>30666.800000000003</v>
      </c>
      <c r="W255" s="74">
        <v>30</v>
      </c>
      <c r="X255" s="31" t="str">
        <f>IF(C255&lt;=1.2,IF(H255&lt;=100,IF(Calcul!$AG$2=460,"a","b"),IF(Calcul!$AG$2=460,"c","d")),IF(H255&lt;=40,IF(Calcul!$AG$2=460,"a0","a"),IF(Calcul!$AG$2=460,"a","b")))</f>
        <v>b</v>
      </c>
      <c r="Y255" s="31" t="str">
        <f>IF(C255&lt;=1.2,IF(H255&lt;=100,IF(Calcul!$AG$2=460,"a","c"),IF(Calcul!$AG$2=460,"c","d")),IF(H255&lt;=40,IF(Calcul!$AG$2=460,"a0","b"),IF(Calcul!$AG$2=460,"a","c")))</f>
        <v>c</v>
      </c>
      <c r="Z255" s="156">
        <f t="shared" si="6"/>
        <v>10373011.213804435</v>
      </c>
      <c r="AA255" s="31">
        <f t="shared" si="7"/>
        <v>523524.51375000004</v>
      </c>
    </row>
    <row r="256" spans="1:27" ht="13">
      <c r="A256" s="9">
        <v>254</v>
      </c>
      <c r="B256" s="35" t="s">
        <v>1035</v>
      </c>
      <c r="C256" s="40">
        <v>3.3527508090614888</v>
      </c>
      <c r="D256" s="76">
        <v>494</v>
      </c>
      <c r="E256" s="76">
        <v>1036</v>
      </c>
      <c r="F256" s="76">
        <v>309</v>
      </c>
      <c r="G256" s="76">
        <v>31</v>
      </c>
      <c r="H256" s="76">
        <v>54</v>
      </c>
      <c r="I256" s="76">
        <v>62910</v>
      </c>
      <c r="J256" s="77">
        <v>10280000000</v>
      </c>
      <c r="K256" s="77">
        <v>19840000</v>
      </c>
      <c r="L256" s="77">
        <v>23410000</v>
      </c>
      <c r="M256" s="78">
        <v>404.2</v>
      </c>
      <c r="N256" s="80">
        <v>34451.999999999993</v>
      </c>
      <c r="O256" s="80">
        <v>268200000</v>
      </c>
      <c r="P256" s="80">
        <v>1736000</v>
      </c>
      <c r="Q256" s="80">
        <v>2818000</v>
      </c>
      <c r="R256" s="78">
        <v>65.3</v>
      </c>
      <c r="S256" s="79">
        <v>174.1</v>
      </c>
      <c r="T256" s="80">
        <v>44000000</v>
      </c>
      <c r="U256" s="242">
        <v>64657924200000</v>
      </c>
      <c r="V256" s="81">
        <v>34141.999999999993</v>
      </c>
      <c r="W256" s="74">
        <v>30</v>
      </c>
      <c r="X256" s="31" t="str">
        <f>IF(C256&lt;=1.2,IF(H256&lt;=100,IF(Calcul!$AG$2=460,"a","b"),IF(Calcul!$AG$2=460,"c","d")),IF(H256&lt;=40,IF(Calcul!$AG$2=460,"a0","a"),IF(Calcul!$AG$2=460,"a","b")))</f>
        <v>b</v>
      </c>
      <c r="Y256" s="31" t="str">
        <f>IF(C256&lt;=1.2,IF(H256&lt;=100,IF(Calcul!$AG$2=460,"a","c"),IF(Calcul!$AG$2=460,"c","d")),IF(H256&lt;=40,IF(Calcul!$AG$2=460,"a0","b"),IF(Calcul!$AG$2=460,"a","c")))</f>
        <v>c</v>
      </c>
      <c r="Z256" s="156">
        <f t="shared" si="6"/>
        <v>11706561.513804436</v>
      </c>
      <c r="AA256" s="31">
        <f t="shared" si="7"/>
        <v>588600</v>
      </c>
    </row>
    <row r="257" spans="1:27" ht="13">
      <c r="A257" s="9">
        <v>255</v>
      </c>
      <c r="B257" s="35" t="s">
        <v>1036</v>
      </c>
      <c r="C257" s="40">
        <v>3.3630573248407645</v>
      </c>
      <c r="D257" s="76">
        <v>584</v>
      </c>
      <c r="E257" s="76">
        <v>1056</v>
      </c>
      <c r="F257" s="76">
        <v>314</v>
      </c>
      <c r="G257" s="76">
        <v>36</v>
      </c>
      <c r="H257" s="76">
        <v>64</v>
      </c>
      <c r="I257" s="76">
        <v>74370</v>
      </c>
      <c r="J257" s="77">
        <v>12460000000</v>
      </c>
      <c r="K257" s="77">
        <v>23600000</v>
      </c>
      <c r="L257" s="77">
        <v>28040000</v>
      </c>
      <c r="M257" s="78">
        <v>409.3</v>
      </c>
      <c r="N257" s="80">
        <v>40322</v>
      </c>
      <c r="O257" s="80">
        <v>334300000</v>
      </c>
      <c r="P257" s="80">
        <v>2130000</v>
      </c>
      <c r="Q257" s="80">
        <v>3475000</v>
      </c>
      <c r="R257" s="78">
        <v>67</v>
      </c>
      <c r="S257" s="79">
        <v>199.1</v>
      </c>
      <c r="T257" s="80">
        <v>71500000</v>
      </c>
      <c r="U257" s="242">
        <v>82243148800000</v>
      </c>
      <c r="V257" s="81">
        <v>40962</v>
      </c>
      <c r="W257" s="74">
        <v>30</v>
      </c>
      <c r="X257" s="31" t="str">
        <f>IF(C257&lt;=1.2,IF(H257&lt;=100,IF(Calcul!$AG$2=460,"a","b"),IF(Calcul!$AG$2=460,"c","d")),IF(H257&lt;=40,IF(Calcul!$AG$2=460,"a0","a"),IF(Calcul!$AG$2=460,"a","b")))</f>
        <v>b</v>
      </c>
      <c r="Y257" s="31" t="str">
        <f>IF(C257&lt;=1.2,IF(H257&lt;=100,IF(Calcul!$AG$2=460,"a","c"),IF(Calcul!$AG$2=460,"c","d")),IF(H257&lt;=40,IF(Calcul!$AG$2=460,"a0","b"),IF(Calcul!$AG$2=460,"a","c")))</f>
        <v>c</v>
      </c>
      <c r="Z257" s="156">
        <f t="shared" si="6"/>
        <v>14019591.513804436</v>
      </c>
      <c r="AA257" s="31">
        <f t="shared" si="7"/>
        <v>715040</v>
      </c>
    </row>
    <row r="258" spans="1:27" ht="13">
      <c r="A258" s="9">
        <v>256</v>
      </c>
      <c r="B258" s="35" t="s">
        <v>1037</v>
      </c>
      <c r="C258" s="40">
        <v>2.7250000000000001</v>
      </c>
      <c r="D258" s="76">
        <v>343</v>
      </c>
      <c r="E258" s="76">
        <v>1090</v>
      </c>
      <c r="F258" s="76">
        <v>400</v>
      </c>
      <c r="G258" s="76">
        <v>18</v>
      </c>
      <c r="H258" s="76">
        <v>31</v>
      </c>
      <c r="I258" s="76">
        <v>44070</v>
      </c>
      <c r="J258" s="77">
        <v>8783600000</v>
      </c>
      <c r="K258" s="77">
        <v>16110000</v>
      </c>
      <c r="L258" s="77">
        <v>18280000</v>
      </c>
      <c r="M258" s="78">
        <v>446.4</v>
      </c>
      <c r="N258" s="80">
        <v>21688</v>
      </c>
      <c r="O258" s="80">
        <v>331300000</v>
      </c>
      <c r="P258" s="80">
        <v>1657000</v>
      </c>
      <c r="Q258" s="80">
        <v>2575000</v>
      </c>
      <c r="R258" s="78">
        <v>86.7</v>
      </c>
      <c r="S258" s="79">
        <v>115.1</v>
      </c>
      <c r="T258" s="80">
        <v>11000000</v>
      </c>
      <c r="U258" s="242">
        <v>92886663825000</v>
      </c>
      <c r="V258" s="81">
        <v>25566</v>
      </c>
      <c r="W258" s="74">
        <v>30</v>
      </c>
      <c r="X258" s="31" t="str">
        <f>IF(C258&lt;=1.2,IF(H258&lt;=100,IF(Calcul!$AG$2=460,"a","b"),IF(Calcul!$AG$2=460,"c","d")),IF(H258&lt;=40,IF(Calcul!$AG$2=460,"a0","a"),IF(Calcul!$AG$2=460,"a","b")))</f>
        <v>a</v>
      </c>
      <c r="Y258" s="31" t="str">
        <f>IF(C258&lt;=1.2,IF(H258&lt;=100,IF(Calcul!$AG$2=460,"a","c"),IF(Calcul!$AG$2=460,"c","d")),IF(H258&lt;=40,IF(Calcul!$AG$2=460,"a0","b"),IF(Calcul!$AG$2=460,"a","c")))</f>
        <v>b</v>
      </c>
      <c r="Z258" s="156">
        <f t="shared" si="6"/>
        <v>9139525.6790986657</v>
      </c>
      <c r="AA258" s="31">
        <f t="shared" si="7"/>
        <v>596424.5</v>
      </c>
    </row>
    <row r="259" spans="1:27" ht="13">
      <c r="A259" s="9">
        <v>257</v>
      </c>
      <c r="B259" s="35" t="s">
        <v>1038</v>
      </c>
      <c r="C259" s="40">
        <v>2.75</v>
      </c>
      <c r="D259" s="76">
        <v>390</v>
      </c>
      <c r="E259" s="76">
        <v>1100</v>
      </c>
      <c r="F259" s="76">
        <v>400</v>
      </c>
      <c r="G259" s="76">
        <v>20</v>
      </c>
      <c r="H259" s="76">
        <v>36</v>
      </c>
      <c r="I259" s="76">
        <v>50130</v>
      </c>
      <c r="J259" s="77">
        <v>10163000000</v>
      </c>
      <c r="K259" s="77">
        <v>18480000</v>
      </c>
      <c r="L259" s="77">
        <v>21000000</v>
      </c>
      <c r="M259" s="78">
        <v>450.2</v>
      </c>
      <c r="N259" s="80">
        <v>24210</v>
      </c>
      <c r="O259" s="80">
        <v>384900000</v>
      </c>
      <c r="P259" s="80">
        <v>1924000</v>
      </c>
      <c r="Q259" s="80">
        <v>2995000</v>
      </c>
      <c r="R259" s="78">
        <v>87.6</v>
      </c>
      <c r="S259" s="79">
        <v>127.1</v>
      </c>
      <c r="T259" s="80">
        <v>16500000</v>
      </c>
      <c r="U259" s="242">
        <v>108935937600000</v>
      </c>
      <c r="V259" s="81">
        <v>29570</v>
      </c>
      <c r="W259" s="74">
        <v>30</v>
      </c>
      <c r="X259" s="31" t="str">
        <f>IF(C259&lt;=1.2,IF(H259&lt;=100,IF(Calcul!$AG$2=460,"a","b"),IF(Calcul!$AG$2=460,"c","d")),IF(H259&lt;=40,IF(Calcul!$AG$2=460,"a0","a"),IF(Calcul!$AG$2=460,"a","b")))</f>
        <v>a</v>
      </c>
      <c r="Y259" s="31" t="str">
        <f>IF(C259&lt;=1.2,IF(H259&lt;=100,IF(Calcul!$AG$2=460,"a","c"),IF(Calcul!$AG$2=460,"c","d")),IF(H259&lt;=40,IF(Calcul!$AG$2=460,"a0","b"),IF(Calcul!$AG$2=460,"a","c")))</f>
        <v>b</v>
      </c>
      <c r="Z259" s="156">
        <f t="shared" si="6"/>
        <v>10498721.679098666</v>
      </c>
      <c r="AA259" s="31">
        <f t="shared" si="7"/>
        <v>691200</v>
      </c>
    </row>
    <row r="260" spans="1:27" ht="13">
      <c r="A260" s="9">
        <v>258</v>
      </c>
      <c r="B260" s="35" t="s">
        <v>1039</v>
      </c>
      <c r="C260" s="40">
        <v>2.7562189054726369</v>
      </c>
      <c r="D260" s="76">
        <v>433</v>
      </c>
      <c r="E260" s="76">
        <v>1108</v>
      </c>
      <c r="F260" s="76">
        <v>402</v>
      </c>
      <c r="G260" s="76">
        <v>22</v>
      </c>
      <c r="H260" s="76">
        <v>40</v>
      </c>
      <c r="I260" s="76">
        <v>55540</v>
      </c>
      <c r="J260" s="77">
        <v>11365000000</v>
      </c>
      <c r="K260" s="77">
        <v>20510000</v>
      </c>
      <c r="L260" s="77">
        <v>23380000</v>
      </c>
      <c r="M260" s="78">
        <v>452.3</v>
      </c>
      <c r="N260" s="80">
        <v>26660</v>
      </c>
      <c r="O260" s="80">
        <v>434300000</v>
      </c>
      <c r="P260" s="80">
        <v>2160000</v>
      </c>
      <c r="Q260" s="80">
        <v>3370000</v>
      </c>
      <c r="R260" s="78">
        <v>88.5</v>
      </c>
      <c r="S260" s="79">
        <v>137.1</v>
      </c>
      <c r="T260" s="80">
        <v>22300000</v>
      </c>
      <c r="U260" s="242">
        <v>123843250800000</v>
      </c>
      <c r="V260" s="81">
        <v>32924</v>
      </c>
      <c r="W260" s="74">
        <v>30</v>
      </c>
      <c r="X260" s="31" t="str">
        <f>IF(C260&lt;=1.2,IF(H260&lt;=100,IF(Calcul!$AG$2=460,"a","b"),IF(Calcul!$AG$2=460,"c","d")),IF(H260&lt;=40,IF(Calcul!$AG$2=460,"a0","a"),IF(Calcul!$AG$2=460,"a","b")))</f>
        <v>a</v>
      </c>
      <c r="Y260" s="31" t="str">
        <f>IF(C260&lt;=1.2,IF(H260&lt;=100,IF(Calcul!$AG$2=460,"a","c"),IF(Calcul!$AG$2=460,"c","d")),IF(H260&lt;=40,IF(Calcul!$AG$2=460,"a0","b"),IF(Calcul!$AG$2=460,"a","c")))</f>
        <v>b</v>
      </c>
      <c r="Z260" s="156">
        <f t="shared" si="6"/>
        <v>11688837.679098666</v>
      </c>
      <c r="AA260" s="31">
        <f t="shared" si="7"/>
        <v>774400</v>
      </c>
    </row>
    <row r="261" spans="1:27" ht="13">
      <c r="A261" s="9">
        <v>259</v>
      </c>
      <c r="B261" s="35" t="s">
        <v>1040</v>
      </c>
      <c r="C261" s="40">
        <v>2.7604938271604937</v>
      </c>
      <c r="D261" s="76">
        <v>499</v>
      </c>
      <c r="E261" s="76">
        <v>1118</v>
      </c>
      <c r="F261" s="76">
        <v>405</v>
      </c>
      <c r="G261" s="76">
        <v>26</v>
      </c>
      <c r="H261" s="76">
        <v>45</v>
      </c>
      <c r="I261" s="76">
        <v>63950</v>
      </c>
      <c r="J261" s="77">
        <v>13050000000</v>
      </c>
      <c r="K261" s="77">
        <v>23340000</v>
      </c>
      <c r="L261" s="77">
        <v>26820000</v>
      </c>
      <c r="M261" s="78">
        <v>451.7</v>
      </c>
      <c r="N261" s="80">
        <v>31370.000000000007</v>
      </c>
      <c r="O261" s="80">
        <v>500100000</v>
      </c>
      <c r="P261" s="80">
        <v>2469000</v>
      </c>
      <c r="Q261" s="80">
        <v>3879000</v>
      </c>
      <c r="R261" s="78">
        <v>88.4</v>
      </c>
      <c r="S261" s="79">
        <v>151.1</v>
      </c>
      <c r="T261" s="80">
        <v>32500000</v>
      </c>
      <c r="U261" s="242">
        <v>143944908224999.97</v>
      </c>
      <c r="V261" s="81">
        <v>37222.000000000007</v>
      </c>
      <c r="W261" s="74">
        <v>30</v>
      </c>
      <c r="X261" s="31" t="str">
        <f>IF(C261&lt;=1.2,IF(H261&lt;=100,IF(Calcul!$AG$2=460,"a","b"),IF(Calcul!$AG$2=460,"c","d")),IF(H261&lt;=40,IF(Calcul!$AG$2=460,"a0","a"),IF(Calcul!$AG$2=460,"a","b")))</f>
        <v>b</v>
      </c>
      <c r="Y261" s="31" t="str">
        <f>IF(C261&lt;=1.2,IF(H261&lt;=100,IF(Calcul!$AG$2=460,"a","c"),IF(Calcul!$AG$2=460,"c","d")),IF(H261&lt;=40,IF(Calcul!$AG$2=460,"a0","b"),IF(Calcul!$AG$2=460,"a","c")))</f>
        <v>c</v>
      </c>
      <c r="Z261" s="156">
        <f t="shared" si="6"/>
        <v>13408222.179098666</v>
      </c>
      <c r="AA261" s="31">
        <f t="shared" si="7"/>
        <v>881038.125</v>
      </c>
    </row>
    <row r="262" spans="1:27" ht="13">
      <c r="A262" s="9">
        <v>260</v>
      </c>
      <c r="B262" s="35" t="s">
        <v>1041</v>
      </c>
      <c r="C262" s="40">
        <v>2.7714987714987713</v>
      </c>
      <c r="D262" s="76">
        <v>548</v>
      </c>
      <c r="E262" s="76">
        <v>1128</v>
      </c>
      <c r="F262" s="76">
        <v>407</v>
      </c>
      <c r="G262" s="76">
        <v>28</v>
      </c>
      <c r="H262" s="76">
        <v>50</v>
      </c>
      <c r="I262" s="76">
        <v>70250</v>
      </c>
      <c r="J262" s="77">
        <v>14566000000</v>
      </c>
      <c r="K262" s="77">
        <v>25820000</v>
      </c>
      <c r="L262" s="77">
        <v>29730000</v>
      </c>
      <c r="M262" s="78">
        <v>455.3</v>
      </c>
      <c r="N262" s="80">
        <v>33950</v>
      </c>
      <c r="O262" s="80">
        <v>564100000</v>
      </c>
      <c r="P262" s="80">
        <v>2771000</v>
      </c>
      <c r="Q262" s="80">
        <v>4358000</v>
      </c>
      <c r="R262" s="78">
        <v>89.6</v>
      </c>
      <c r="S262" s="79">
        <v>163.1</v>
      </c>
      <c r="T262" s="80">
        <v>43400000</v>
      </c>
      <c r="U262" s="242">
        <v>163882896100000</v>
      </c>
      <c r="V262" s="81">
        <v>41466</v>
      </c>
      <c r="W262" s="74">
        <v>30</v>
      </c>
      <c r="X262" s="31" t="str">
        <f>IF(C262&lt;=1.2,IF(H262&lt;=100,IF(Calcul!$AG$2=460,"a","b"),IF(Calcul!$AG$2=460,"c","d")),IF(H262&lt;=40,IF(Calcul!$AG$2=460,"a0","a"),IF(Calcul!$AG$2=460,"a","b")))</f>
        <v>b</v>
      </c>
      <c r="Y262" s="31" t="str">
        <f>IF(C262&lt;=1.2,IF(H262&lt;=100,IF(Calcul!$AG$2=460,"a","c"),IF(Calcul!$AG$2=460,"c","d")),IF(H262&lt;=40,IF(Calcul!$AG$2=460,"a0","b"),IF(Calcul!$AG$2=460,"a","c")))</f>
        <v>c</v>
      </c>
      <c r="Z262" s="156">
        <f t="shared" si="6"/>
        <v>14863355.679098666</v>
      </c>
      <c r="AA262" s="31">
        <f t="shared" si="7"/>
        <v>986906.25</v>
      </c>
    </row>
    <row r="263" spans="1:27" ht="13">
      <c r="A263" s="9">
        <v>261</v>
      </c>
      <c r="B263" s="35" t="s">
        <v>1042</v>
      </c>
      <c r="C263" s="40">
        <v>2.7756097560975608</v>
      </c>
      <c r="D263" s="76">
        <v>607</v>
      </c>
      <c r="E263" s="76">
        <v>1138</v>
      </c>
      <c r="F263" s="76">
        <v>410</v>
      </c>
      <c r="G263" s="76">
        <v>31</v>
      </c>
      <c r="H263" s="76">
        <v>55</v>
      </c>
      <c r="I263" s="76">
        <v>77740</v>
      </c>
      <c r="J263" s="77">
        <v>16240999999.999998</v>
      </c>
      <c r="K263" s="77">
        <v>28540000</v>
      </c>
      <c r="L263" s="77">
        <v>33000000</v>
      </c>
      <c r="M263" s="78">
        <v>457</v>
      </c>
      <c r="N263" s="80">
        <v>37645</v>
      </c>
      <c r="O263" s="80">
        <v>634700000</v>
      </c>
      <c r="P263" s="80">
        <v>3096000</v>
      </c>
      <c r="Q263" s="80">
        <v>4886000</v>
      </c>
      <c r="R263" s="78">
        <v>90.3</v>
      </c>
      <c r="S263" s="79">
        <v>176.1</v>
      </c>
      <c r="T263" s="80">
        <v>57891000</v>
      </c>
      <c r="U263" s="242">
        <v>186108162075000</v>
      </c>
      <c r="V263" s="81">
        <v>45872</v>
      </c>
      <c r="W263" s="74">
        <v>30</v>
      </c>
      <c r="X263" s="31" t="str">
        <f>IF(C263&lt;=1.2,IF(H263&lt;=100,IF(Calcul!$AG$2=460,"a","b"),IF(Calcul!$AG$2=460,"c","d")),IF(H263&lt;=40,IF(Calcul!$AG$2=460,"a0","a"),IF(Calcul!$AG$2=460,"a","b")))</f>
        <v>b</v>
      </c>
      <c r="Y263" s="31" t="str">
        <f>IF(C263&lt;=1.2,IF(H263&lt;=100,IF(Calcul!$AG$2=460,"a","c"),IF(Calcul!$AG$2=460,"c","d")),IF(H263&lt;=40,IF(Calcul!$AG$2=460,"a0","b"),IF(Calcul!$AG$2=460,"a","c")))</f>
        <v>c</v>
      </c>
      <c r="Z263" s="156">
        <f t="shared" si="6"/>
        <v>16501824.679098666</v>
      </c>
      <c r="AA263" s="31">
        <f t="shared" si="7"/>
        <v>1098755.625</v>
      </c>
    </row>
  </sheetData>
  <phoneticPr fontId="3" type="noConversion"/>
  <pageMargins left="0.78740157499999996" right="0.78740157499999996" top="0.984251969" bottom="0.984251969" header="0.4921259845" footer="0.4921259845"/>
  <pageSetup paperSize="9" orientation="portrait" r:id="rId1"/>
  <headerFooter alignWithMargins="0">
    <oddFooter>&amp;R_x000D_&amp;1#&amp;"Aptos"&amp;10&amp;K000000 Data sensitivity - Public</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8"/>
  <dimension ref="A1:AH333"/>
  <sheetViews>
    <sheetView workbookViewId="0">
      <pane ySplit="2" topLeftCell="A3" activePane="bottomLeft" state="frozen"/>
      <selection pane="bottomLeft" activeCell="Z336" sqref="Z336"/>
    </sheetView>
  </sheetViews>
  <sheetFormatPr defaultColWidth="10.90625" defaultRowHeight="12.5"/>
  <cols>
    <col min="1" max="1" width="11.453125" style="9"/>
    <col min="2" max="2" width="16.1796875" customWidth="1"/>
    <col min="4" max="6" width="11.453125" style="52"/>
    <col min="7" max="7" width="11.453125" style="36"/>
    <col min="14" max="14" width="11.453125" style="53"/>
  </cols>
  <sheetData>
    <row r="1" spans="1:34" ht="13">
      <c r="A1" s="9" t="s">
        <v>200</v>
      </c>
      <c r="B1" s="4" t="s">
        <v>202</v>
      </c>
      <c r="C1" s="50" t="s">
        <v>169</v>
      </c>
      <c r="D1" s="8" t="s">
        <v>11</v>
      </c>
      <c r="E1" s="8" t="s">
        <v>12</v>
      </c>
      <c r="F1" s="8" t="s">
        <v>13</v>
      </c>
      <c r="G1" s="5" t="s">
        <v>14</v>
      </c>
      <c r="H1" s="5" t="s">
        <v>15</v>
      </c>
      <c r="I1" s="4" t="s">
        <v>16</v>
      </c>
      <c r="J1" s="4" t="s">
        <v>2</v>
      </c>
      <c r="K1" s="4" t="s">
        <v>4</v>
      </c>
      <c r="L1" s="4" t="s">
        <v>17</v>
      </c>
      <c r="M1" s="4" t="s">
        <v>6</v>
      </c>
      <c r="N1" s="4" t="s">
        <v>18</v>
      </c>
      <c r="O1" s="4" t="s">
        <v>7</v>
      </c>
      <c r="P1" s="4" t="s">
        <v>8</v>
      </c>
      <c r="Q1" s="4" t="s">
        <v>19</v>
      </c>
      <c r="R1" s="5" t="s">
        <v>9</v>
      </c>
      <c r="S1" s="4" t="s">
        <v>20</v>
      </c>
      <c r="T1" s="4" t="s">
        <v>10</v>
      </c>
      <c r="U1" s="4" t="s">
        <v>21</v>
      </c>
      <c r="V1" s="4" t="s">
        <v>191</v>
      </c>
      <c r="W1" s="4" t="s">
        <v>211</v>
      </c>
      <c r="X1" s="4" t="s">
        <v>241</v>
      </c>
      <c r="Y1" s="4" t="s">
        <v>243</v>
      </c>
      <c r="Z1" s="31" t="s">
        <v>343</v>
      </c>
      <c r="AA1" s="31" t="s">
        <v>342</v>
      </c>
      <c r="AB1" s="31"/>
      <c r="AC1" s="31"/>
      <c r="AD1" s="31"/>
      <c r="AE1" s="31"/>
      <c r="AF1" s="4"/>
      <c r="AG1" s="4"/>
      <c r="AH1" s="4"/>
    </row>
    <row r="2" spans="1:34" ht="13">
      <c r="B2" s="4"/>
      <c r="C2" s="50"/>
      <c r="D2" s="8" t="s">
        <v>22</v>
      </c>
      <c r="E2" s="8" t="s">
        <v>0</v>
      </c>
      <c r="F2" s="8" t="s">
        <v>0</v>
      </c>
      <c r="G2" s="5" t="s">
        <v>0</v>
      </c>
      <c r="H2" s="5" t="s">
        <v>0</v>
      </c>
      <c r="I2" s="4" t="s">
        <v>1</v>
      </c>
      <c r="J2" s="4" t="s">
        <v>3</v>
      </c>
      <c r="K2" s="4" t="s">
        <v>5</v>
      </c>
      <c r="L2" s="4" t="s">
        <v>5</v>
      </c>
      <c r="M2" s="4" t="s">
        <v>0</v>
      </c>
      <c r="N2" s="4" t="s">
        <v>1</v>
      </c>
      <c r="O2" s="4" t="s">
        <v>3</v>
      </c>
      <c r="P2" s="4" t="s">
        <v>5</v>
      </c>
      <c r="Q2" s="4" t="s">
        <v>5</v>
      </c>
      <c r="R2" s="5" t="s">
        <v>0</v>
      </c>
      <c r="S2" s="4" t="s">
        <v>0</v>
      </c>
      <c r="T2" s="4" t="s">
        <v>3</v>
      </c>
      <c r="U2" s="4" t="s">
        <v>23</v>
      </c>
      <c r="V2" s="4" t="s">
        <v>1</v>
      </c>
      <c r="W2" s="4" t="s">
        <v>0</v>
      </c>
      <c r="X2" s="4" t="s">
        <v>242</v>
      </c>
      <c r="Y2" s="4" t="s">
        <v>244</v>
      </c>
      <c r="Z2" s="31" t="s">
        <v>5</v>
      </c>
      <c r="AA2" s="31" t="s">
        <v>5</v>
      </c>
      <c r="AB2" s="31"/>
      <c r="AC2" s="31"/>
      <c r="AD2" s="31"/>
      <c r="AE2" s="31"/>
      <c r="AF2" s="4"/>
      <c r="AG2" s="4"/>
      <c r="AH2" s="4"/>
    </row>
    <row r="3" spans="1:34" ht="13">
      <c r="A3" s="9">
        <v>1</v>
      </c>
      <c r="B3" s="4" t="s">
        <v>1043</v>
      </c>
      <c r="C3" s="51"/>
      <c r="D3" s="8">
        <v>1.08</v>
      </c>
      <c r="E3" s="8">
        <v>21.3</v>
      </c>
      <c r="F3" s="8"/>
      <c r="G3" s="5">
        <v>2.2999999999999998</v>
      </c>
      <c r="H3" s="5">
        <v>2.2999999999999998</v>
      </c>
      <c r="I3" s="4">
        <v>137</v>
      </c>
      <c r="J3" s="4">
        <v>6290</v>
      </c>
      <c r="K3" s="4">
        <v>590</v>
      </c>
      <c r="L3" s="4">
        <v>834</v>
      </c>
      <c r="M3" s="4">
        <v>6.77</v>
      </c>
      <c r="N3" s="4">
        <f t="shared" ref="N3:N66" si="0">2*I3/PI()</f>
        <v>87.216908814358646</v>
      </c>
      <c r="O3" s="4">
        <v>6290</v>
      </c>
      <c r="P3" s="4">
        <v>590</v>
      </c>
      <c r="Q3" s="4">
        <v>834</v>
      </c>
      <c r="R3" s="5">
        <v>6.77</v>
      </c>
      <c r="S3" s="4"/>
      <c r="T3" s="4">
        <v>12600</v>
      </c>
      <c r="V3" s="4">
        <f t="shared" ref="V3:V66" si="1">N3</f>
        <v>87.216908814358646</v>
      </c>
      <c r="W3" s="4"/>
      <c r="X3" s="9" t="str">
        <f t="shared" ref="X3:Y22" si="2">IF(fy=460,"a0","a")</f>
        <v>a</v>
      </c>
      <c r="Y3" s="9" t="str">
        <f t="shared" si="2"/>
        <v>a</v>
      </c>
      <c r="Z3" s="31">
        <f t="shared" ref="Z3:Z66" si="3">2*(F3/2-G3/2)^2*G3</f>
        <v>6.0834999999999981</v>
      </c>
      <c r="AA3" s="31">
        <f t="shared" ref="AA3:AA66" si="4">Z3</f>
        <v>6.0834999999999981</v>
      </c>
    </row>
    <row r="4" spans="1:34" ht="13">
      <c r="A4" s="9">
        <v>2</v>
      </c>
      <c r="B4" s="4" t="s">
        <v>1044</v>
      </c>
      <c r="C4" s="51"/>
      <c r="D4" s="8">
        <v>1.2</v>
      </c>
      <c r="E4" s="8">
        <v>21.3</v>
      </c>
      <c r="F4" s="8"/>
      <c r="G4" s="5">
        <v>2.6</v>
      </c>
      <c r="H4" s="5">
        <v>2.6</v>
      </c>
      <c r="I4" s="4">
        <v>153</v>
      </c>
      <c r="J4" s="4">
        <v>6810</v>
      </c>
      <c r="K4" s="4">
        <v>639</v>
      </c>
      <c r="L4" s="4">
        <v>915</v>
      </c>
      <c r="M4" s="4">
        <v>6.68</v>
      </c>
      <c r="N4" s="4">
        <f t="shared" si="0"/>
        <v>97.402825172239943</v>
      </c>
      <c r="O4" s="4">
        <v>6810</v>
      </c>
      <c r="P4" s="4">
        <v>639</v>
      </c>
      <c r="Q4" s="4">
        <v>915</v>
      </c>
      <c r="R4" s="5">
        <v>6.68</v>
      </c>
      <c r="S4" s="4"/>
      <c r="T4" s="4">
        <v>13600</v>
      </c>
      <c r="V4" s="4">
        <f t="shared" si="1"/>
        <v>97.402825172239943</v>
      </c>
      <c r="W4" s="4"/>
      <c r="X4" s="9" t="str">
        <f t="shared" si="2"/>
        <v>a</v>
      </c>
      <c r="Y4" s="9" t="str">
        <f t="shared" si="2"/>
        <v>a</v>
      </c>
      <c r="Z4" s="31">
        <f t="shared" si="3"/>
        <v>8.788000000000002</v>
      </c>
      <c r="AA4" s="31">
        <f t="shared" si="4"/>
        <v>8.788000000000002</v>
      </c>
    </row>
    <row r="5" spans="1:34" ht="13">
      <c r="A5" s="9">
        <v>3</v>
      </c>
      <c r="B5" s="4" t="s">
        <v>1045</v>
      </c>
      <c r="C5" s="51"/>
      <c r="D5" s="8">
        <v>1.32</v>
      </c>
      <c r="E5" s="8">
        <v>21.3</v>
      </c>
      <c r="F5" s="8"/>
      <c r="G5" s="5">
        <v>2.9</v>
      </c>
      <c r="H5" s="5">
        <v>2.9</v>
      </c>
      <c r="I5" s="4">
        <v>168</v>
      </c>
      <c r="J5" s="4">
        <v>7270</v>
      </c>
      <c r="K5" s="4">
        <v>683</v>
      </c>
      <c r="L5" s="4">
        <v>990</v>
      </c>
      <c r="M5" s="4">
        <v>6.59</v>
      </c>
      <c r="N5" s="4">
        <f t="shared" si="0"/>
        <v>106.95212175775367</v>
      </c>
      <c r="O5" s="4">
        <v>7270</v>
      </c>
      <c r="P5" s="4">
        <v>683</v>
      </c>
      <c r="Q5" s="4">
        <v>990</v>
      </c>
      <c r="R5" s="5">
        <v>6.59</v>
      </c>
      <c r="S5" s="4"/>
      <c r="T5" s="4">
        <v>14500</v>
      </c>
      <c r="V5" s="4">
        <f t="shared" si="1"/>
        <v>106.95212175775367</v>
      </c>
      <c r="W5" s="4"/>
      <c r="X5" s="9" t="str">
        <f t="shared" si="2"/>
        <v>a</v>
      </c>
      <c r="Y5" s="9" t="str">
        <f t="shared" si="2"/>
        <v>a</v>
      </c>
      <c r="Z5" s="31">
        <f t="shared" si="3"/>
        <v>12.1945</v>
      </c>
      <c r="AA5" s="31">
        <f t="shared" si="4"/>
        <v>12.1945</v>
      </c>
    </row>
    <row r="6" spans="1:34" ht="13">
      <c r="A6" s="9">
        <v>4</v>
      </c>
      <c r="B6" s="4" t="s">
        <v>1046</v>
      </c>
      <c r="C6" s="51"/>
      <c r="D6" s="8">
        <v>1.43</v>
      </c>
      <c r="E6" s="8">
        <v>21.3</v>
      </c>
      <c r="F6" s="8"/>
      <c r="G6" s="5">
        <v>3.2</v>
      </c>
      <c r="H6" s="5">
        <v>3.2</v>
      </c>
      <c r="I6" s="4">
        <v>182</v>
      </c>
      <c r="J6" s="4">
        <v>7680</v>
      </c>
      <c r="K6" s="4">
        <v>722</v>
      </c>
      <c r="L6" s="4">
        <v>1060</v>
      </c>
      <c r="M6" s="4">
        <v>6.5</v>
      </c>
      <c r="N6" s="4">
        <f t="shared" si="0"/>
        <v>115.86479857089981</v>
      </c>
      <c r="O6" s="4">
        <v>7680</v>
      </c>
      <c r="P6" s="4">
        <v>722</v>
      </c>
      <c r="Q6" s="4">
        <v>1060</v>
      </c>
      <c r="R6" s="5">
        <v>6.5</v>
      </c>
      <c r="S6" s="4"/>
      <c r="T6" s="4">
        <v>15400</v>
      </c>
      <c r="V6" s="4">
        <f t="shared" si="1"/>
        <v>115.86479857089981</v>
      </c>
      <c r="W6" s="4"/>
      <c r="X6" s="9" t="str">
        <f t="shared" si="2"/>
        <v>a</v>
      </c>
      <c r="Y6" s="9" t="str">
        <f t="shared" si="2"/>
        <v>a</v>
      </c>
      <c r="Z6" s="31">
        <f t="shared" si="3"/>
        <v>16.384000000000004</v>
      </c>
      <c r="AA6" s="31">
        <f t="shared" si="4"/>
        <v>16.384000000000004</v>
      </c>
    </row>
    <row r="7" spans="1:34" ht="13">
      <c r="A7" s="9">
        <v>5</v>
      </c>
      <c r="B7" s="4" t="s">
        <v>1047</v>
      </c>
      <c r="C7" s="51"/>
      <c r="D7" s="8">
        <v>1.4</v>
      </c>
      <c r="E7" s="8">
        <v>26.9</v>
      </c>
      <c r="F7" s="8"/>
      <c r="G7" s="5">
        <v>2.2999999999999998</v>
      </c>
      <c r="H7" s="5">
        <v>2.2999999999999998</v>
      </c>
      <c r="I7" s="4">
        <v>178</v>
      </c>
      <c r="J7" s="4">
        <v>13600</v>
      </c>
      <c r="K7" s="4">
        <v>1010</v>
      </c>
      <c r="L7" s="4">
        <v>1400</v>
      </c>
      <c r="M7" s="4">
        <v>8.74</v>
      </c>
      <c r="N7" s="4">
        <f t="shared" si="0"/>
        <v>113.31831948142948</v>
      </c>
      <c r="O7" s="4">
        <v>13600</v>
      </c>
      <c r="P7" s="4">
        <v>1010</v>
      </c>
      <c r="Q7" s="4">
        <v>1400</v>
      </c>
      <c r="R7" s="5">
        <v>8.74</v>
      </c>
      <c r="S7" s="4"/>
      <c r="T7" s="4">
        <v>27100</v>
      </c>
      <c r="V7" s="4">
        <f t="shared" si="1"/>
        <v>113.31831948142948</v>
      </c>
      <c r="W7" s="4"/>
      <c r="X7" s="9" t="str">
        <f t="shared" si="2"/>
        <v>a</v>
      </c>
      <c r="Y7" s="9" t="str">
        <f t="shared" si="2"/>
        <v>a</v>
      </c>
      <c r="Z7" s="31">
        <f t="shared" si="3"/>
        <v>6.0834999999999981</v>
      </c>
      <c r="AA7" s="31">
        <f t="shared" si="4"/>
        <v>6.0834999999999981</v>
      </c>
    </row>
    <row r="8" spans="1:34" ht="13">
      <c r="A8" s="9">
        <v>6</v>
      </c>
      <c r="B8" s="4" t="s">
        <v>1048</v>
      </c>
      <c r="C8" s="51"/>
      <c r="D8" s="8">
        <v>1.56</v>
      </c>
      <c r="E8" s="8">
        <v>26.9</v>
      </c>
      <c r="F8" s="8"/>
      <c r="G8" s="5">
        <v>2.6</v>
      </c>
      <c r="H8" s="5">
        <v>2.6</v>
      </c>
      <c r="I8" s="4">
        <v>198</v>
      </c>
      <c r="J8" s="4">
        <v>14800</v>
      </c>
      <c r="K8" s="4">
        <v>1100</v>
      </c>
      <c r="L8" s="4">
        <v>1540</v>
      </c>
      <c r="M8" s="4">
        <v>8.64</v>
      </c>
      <c r="N8" s="4">
        <f t="shared" si="0"/>
        <v>126.0507149287811</v>
      </c>
      <c r="O8" s="4">
        <v>14800</v>
      </c>
      <c r="P8" s="4">
        <v>1100</v>
      </c>
      <c r="Q8" s="4">
        <v>1540</v>
      </c>
      <c r="R8" s="5">
        <v>8.64</v>
      </c>
      <c r="S8" s="4"/>
      <c r="T8" s="4">
        <v>29600</v>
      </c>
      <c r="V8" s="4">
        <f t="shared" si="1"/>
        <v>126.0507149287811</v>
      </c>
      <c r="W8" s="4"/>
      <c r="X8" s="9" t="str">
        <f t="shared" si="2"/>
        <v>a</v>
      </c>
      <c r="Y8" s="9" t="str">
        <f t="shared" si="2"/>
        <v>a</v>
      </c>
      <c r="Z8" s="31">
        <f t="shared" si="3"/>
        <v>8.788000000000002</v>
      </c>
      <c r="AA8" s="31">
        <f t="shared" si="4"/>
        <v>8.788000000000002</v>
      </c>
    </row>
    <row r="9" spans="1:34" ht="13">
      <c r="A9" s="9">
        <v>7</v>
      </c>
      <c r="B9" s="4" t="s">
        <v>1049</v>
      </c>
      <c r="C9" s="51"/>
      <c r="D9" s="8">
        <v>1.72</v>
      </c>
      <c r="E9" s="8">
        <v>26.9</v>
      </c>
      <c r="F9" s="8"/>
      <c r="G9" s="5">
        <v>2.9</v>
      </c>
      <c r="H9" s="5">
        <v>2.9</v>
      </c>
      <c r="I9" s="4">
        <v>219</v>
      </c>
      <c r="J9" s="4">
        <v>16000</v>
      </c>
      <c r="K9" s="4">
        <v>1190</v>
      </c>
      <c r="L9" s="4">
        <v>1680</v>
      </c>
      <c r="M9" s="4">
        <v>8.5500000000000007</v>
      </c>
      <c r="N9" s="4">
        <f t="shared" si="0"/>
        <v>139.41973014850032</v>
      </c>
      <c r="O9" s="4">
        <v>16000</v>
      </c>
      <c r="P9" s="4">
        <v>1190</v>
      </c>
      <c r="Q9" s="4">
        <v>1680</v>
      </c>
      <c r="R9" s="5">
        <v>8.5500000000000007</v>
      </c>
      <c r="S9" s="4"/>
      <c r="T9" s="4">
        <v>31900</v>
      </c>
      <c r="V9" s="4">
        <f t="shared" si="1"/>
        <v>139.41973014850032</v>
      </c>
      <c r="W9" s="4"/>
      <c r="X9" s="9" t="str">
        <f t="shared" si="2"/>
        <v>a</v>
      </c>
      <c r="Y9" s="9" t="str">
        <f t="shared" si="2"/>
        <v>a</v>
      </c>
      <c r="Z9" s="31">
        <f t="shared" si="3"/>
        <v>12.1945</v>
      </c>
      <c r="AA9" s="31">
        <f t="shared" si="4"/>
        <v>12.1945</v>
      </c>
    </row>
    <row r="10" spans="1:34" ht="13">
      <c r="A10" s="9">
        <v>8</v>
      </c>
      <c r="B10" s="4" t="s">
        <v>1050</v>
      </c>
      <c r="C10" s="51"/>
      <c r="D10" s="8">
        <v>1.87</v>
      </c>
      <c r="E10" s="8">
        <v>26.9</v>
      </c>
      <c r="F10" s="8"/>
      <c r="G10" s="5">
        <v>3.2</v>
      </c>
      <c r="H10" s="5">
        <v>3.2</v>
      </c>
      <c r="I10" s="4">
        <v>238</v>
      </c>
      <c r="J10" s="4">
        <v>17000</v>
      </c>
      <c r="K10" s="4">
        <v>1270</v>
      </c>
      <c r="L10" s="4">
        <v>1810</v>
      </c>
      <c r="M10" s="4">
        <v>8.4600000000000009</v>
      </c>
      <c r="N10" s="4">
        <f t="shared" si="0"/>
        <v>151.51550582348438</v>
      </c>
      <c r="O10" s="4">
        <v>17000</v>
      </c>
      <c r="P10" s="4">
        <v>1270</v>
      </c>
      <c r="Q10" s="4">
        <v>1810</v>
      </c>
      <c r="R10" s="5">
        <v>8.4600000000000009</v>
      </c>
      <c r="S10" s="4"/>
      <c r="T10" s="4">
        <v>34100</v>
      </c>
      <c r="V10" s="4">
        <f t="shared" si="1"/>
        <v>151.51550582348438</v>
      </c>
      <c r="W10" s="4"/>
      <c r="X10" s="9" t="str">
        <f t="shared" si="2"/>
        <v>a</v>
      </c>
      <c r="Y10" s="9" t="str">
        <f t="shared" si="2"/>
        <v>a</v>
      </c>
      <c r="Z10" s="31">
        <f t="shared" si="3"/>
        <v>16.384000000000004</v>
      </c>
      <c r="AA10" s="31">
        <f t="shared" si="4"/>
        <v>16.384000000000004</v>
      </c>
    </row>
    <row r="11" spans="1:34" ht="13">
      <c r="A11" s="9">
        <v>9</v>
      </c>
      <c r="B11" s="4" t="s">
        <v>1051</v>
      </c>
      <c r="C11" s="51"/>
      <c r="D11" s="8">
        <v>2.0699999999999998</v>
      </c>
      <c r="E11" s="8">
        <v>26.9</v>
      </c>
      <c r="F11" s="8"/>
      <c r="G11" s="5">
        <v>3.6</v>
      </c>
      <c r="H11" s="5">
        <v>3.6</v>
      </c>
      <c r="I11" s="4">
        <v>264</v>
      </c>
      <c r="J11" s="4">
        <v>18300</v>
      </c>
      <c r="K11" s="4">
        <v>1360</v>
      </c>
      <c r="L11" s="4">
        <v>1970</v>
      </c>
      <c r="M11" s="4">
        <v>8.34</v>
      </c>
      <c r="N11" s="4">
        <f t="shared" si="0"/>
        <v>168.06761990504148</v>
      </c>
      <c r="O11" s="4">
        <v>18300</v>
      </c>
      <c r="P11" s="4">
        <v>1360</v>
      </c>
      <c r="Q11" s="4">
        <v>1970</v>
      </c>
      <c r="R11" s="5">
        <v>8.34</v>
      </c>
      <c r="S11" s="4"/>
      <c r="T11" s="4">
        <v>36600</v>
      </c>
      <c r="V11" s="4">
        <f t="shared" si="1"/>
        <v>168.06761990504148</v>
      </c>
      <c r="W11" s="4"/>
      <c r="X11" s="9" t="str">
        <f t="shared" si="2"/>
        <v>a</v>
      </c>
      <c r="Y11" s="9" t="str">
        <f t="shared" si="2"/>
        <v>a</v>
      </c>
      <c r="Z11" s="31">
        <f t="shared" si="3"/>
        <v>23.328000000000003</v>
      </c>
      <c r="AA11" s="31">
        <f t="shared" si="4"/>
        <v>23.328000000000003</v>
      </c>
    </row>
    <row r="12" spans="1:34" ht="13">
      <c r="A12" s="9">
        <v>10</v>
      </c>
      <c r="B12" s="4" t="s">
        <v>1052</v>
      </c>
      <c r="C12" s="51"/>
      <c r="D12" s="8">
        <v>1.99</v>
      </c>
      <c r="E12" s="8">
        <v>33.700000000000003</v>
      </c>
      <c r="F12" s="8"/>
      <c r="G12" s="5">
        <v>2.6</v>
      </c>
      <c r="H12" s="5">
        <v>2.6</v>
      </c>
      <c r="I12" s="4">
        <v>254</v>
      </c>
      <c r="J12" s="4">
        <v>30900</v>
      </c>
      <c r="K12" s="4">
        <v>1840</v>
      </c>
      <c r="L12" s="4">
        <v>2520</v>
      </c>
      <c r="M12" s="4">
        <v>11</v>
      </c>
      <c r="N12" s="4">
        <f t="shared" si="0"/>
        <v>161.70142218136567</v>
      </c>
      <c r="O12" s="4">
        <v>30900</v>
      </c>
      <c r="P12" s="4">
        <v>1840</v>
      </c>
      <c r="Q12" s="4">
        <v>2520</v>
      </c>
      <c r="R12" s="5">
        <v>11</v>
      </c>
      <c r="S12" s="4"/>
      <c r="T12" s="4">
        <v>61900</v>
      </c>
      <c r="V12" s="4">
        <f t="shared" si="1"/>
        <v>161.70142218136567</v>
      </c>
      <c r="W12" s="4"/>
      <c r="X12" s="9" t="str">
        <f t="shared" si="2"/>
        <v>a</v>
      </c>
      <c r="Y12" s="9" t="str">
        <f t="shared" si="2"/>
        <v>a</v>
      </c>
      <c r="Z12" s="31">
        <f t="shared" si="3"/>
        <v>8.788000000000002</v>
      </c>
      <c r="AA12" s="31">
        <f t="shared" si="4"/>
        <v>8.788000000000002</v>
      </c>
    </row>
    <row r="13" spans="1:34" ht="13">
      <c r="A13" s="9">
        <v>11</v>
      </c>
      <c r="B13" s="4" t="s">
        <v>1053</v>
      </c>
      <c r="C13" s="51"/>
      <c r="D13" s="8">
        <v>2.2000000000000002</v>
      </c>
      <c r="E13" s="8">
        <v>33.700000000000003</v>
      </c>
      <c r="F13" s="8"/>
      <c r="G13" s="5">
        <v>2.9</v>
      </c>
      <c r="H13" s="5">
        <v>2.9</v>
      </c>
      <c r="I13" s="4">
        <v>281</v>
      </c>
      <c r="J13" s="4">
        <v>33600</v>
      </c>
      <c r="K13" s="4">
        <v>1990</v>
      </c>
      <c r="L13" s="4">
        <v>2760</v>
      </c>
      <c r="M13" s="4">
        <v>10.9</v>
      </c>
      <c r="N13" s="4">
        <f t="shared" si="0"/>
        <v>178.89015603529037</v>
      </c>
      <c r="O13" s="4">
        <v>33600</v>
      </c>
      <c r="P13" s="4">
        <v>1990</v>
      </c>
      <c r="Q13" s="4">
        <v>2760</v>
      </c>
      <c r="R13" s="5">
        <v>10.9</v>
      </c>
      <c r="S13" s="4"/>
      <c r="T13" s="4">
        <v>67100</v>
      </c>
      <c r="V13" s="4">
        <f t="shared" si="1"/>
        <v>178.89015603529037</v>
      </c>
      <c r="W13" s="4"/>
      <c r="X13" s="9" t="str">
        <f t="shared" si="2"/>
        <v>a</v>
      </c>
      <c r="Y13" s="9" t="str">
        <f t="shared" si="2"/>
        <v>a</v>
      </c>
      <c r="Z13" s="31">
        <f t="shared" si="3"/>
        <v>12.1945</v>
      </c>
      <c r="AA13" s="31">
        <f t="shared" si="4"/>
        <v>12.1945</v>
      </c>
    </row>
    <row r="14" spans="1:34" ht="13">
      <c r="A14" s="9">
        <v>12</v>
      </c>
      <c r="B14" s="4" t="s">
        <v>1054</v>
      </c>
      <c r="C14" s="51"/>
      <c r="D14" s="8">
        <v>2.41</v>
      </c>
      <c r="E14" s="8">
        <v>33.700000000000003</v>
      </c>
      <c r="F14" s="8"/>
      <c r="G14" s="5">
        <v>3.2</v>
      </c>
      <c r="H14" s="5">
        <v>3.2</v>
      </c>
      <c r="I14" s="4">
        <v>307</v>
      </c>
      <c r="J14" s="4">
        <v>36000</v>
      </c>
      <c r="K14" s="4">
        <v>2140</v>
      </c>
      <c r="L14" s="4">
        <v>2990</v>
      </c>
      <c r="M14" s="4">
        <v>10.8</v>
      </c>
      <c r="N14" s="4">
        <f t="shared" si="0"/>
        <v>195.44227011684748</v>
      </c>
      <c r="O14" s="4">
        <v>36000</v>
      </c>
      <c r="P14" s="4">
        <v>2140</v>
      </c>
      <c r="Q14" s="4">
        <v>2990</v>
      </c>
      <c r="R14" s="5">
        <v>10.8</v>
      </c>
      <c r="S14" s="4"/>
      <c r="T14" s="4">
        <v>72100</v>
      </c>
      <c r="V14" s="4">
        <f t="shared" si="1"/>
        <v>195.44227011684748</v>
      </c>
      <c r="W14" s="4"/>
      <c r="X14" s="9" t="str">
        <f t="shared" si="2"/>
        <v>a</v>
      </c>
      <c r="Y14" s="9" t="str">
        <f t="shared" si="2"/>
        <v>a</v>
      </c>
      <c r="Z14" s="31">
        <f t="shared" si="3"/>
        <v>16.384000000000004</v>
      </c>
      <c r="AA14" s="31">
        <f t="shared" si="4"/>
        <v>16.384000000000004</v>
      </c>
    </row>
    <row r="15" spans="1:34" ht="13">
      <c r="A15" s="9">
        <v>13</v>
      </c>
      <c r="B15" s="4" t="s">
        <v>1055</v>
      </c>
      <c r="C15" s="51"/>
      <c r="D15" s="8">
        <v>2.67</v>
      </c>
      <c r="E15" s="8">
        <v>33.700000000000003</v>
      </c>
      <c r="F15" s="8"/>
      <c r="G15" s="5">
        <v>3.6</v>
      </c>
      <c r="H15" s="5">
        <v>3.6</v>
      </c>
      <c r="I15" s="4">
        <v>340</v>
      </c>
      <c r="J15" s="4">
        <v>39100</v>
      </c>
      <c r="K15" s="4">
        <v>2320</v>
      </c>
      <c r="L15" s="4">
        <v>3280</v>
      </c>
      <c r="M15" s="4">
        <v>10.7</v>
      </c>
      <c r="N15" s="4">
        <f t="shared" si="0"/>
        <v>216.45072260497767</v>
      </c>
      <c r="O15" s="4">
        <v>39100</v>
      </c>
      <c r="P15" s="4">
        <v>2320</v>
      </c>
      <c r="Q15" s="4">
        <v>3280</v>
      </c>
      <c r="R15" s="5">
        <v>10.7</v>
      </c>
      <c r="S15" s="4"/>
      <c r="T15" s="4">
        <v>78200</v>
      </c>
      <c r="V15" s="4">
        <f t="shared" si="1"/>
        <v>216.45072260497767</v>
      </c>
      <c r="W15" s="4"/>
      <c r="X15" s="9" t="str">
        <f t="shared" si="2"/>
        <v>a</v>
      </c>
      <c r="Y15" s="9" t="str">
        <f t="shared" si="2"/>
        <v>a</v>
      </c>
      <c r="Z15" s="31">
        <f t="shared" si="3"/>
        <v>23.328000000000003</v>
      </c>
      <c r="AA15" s="31">
        <f t="shared" si="4"/>
        <v>23.328000000000003</v>
      </c>
    </row>
    <row r="16" spans="1:34" ht="13">
      <c r="A16" s="9">
        <v>14</v>
      </c>
      <c r="B16" s="4" t="s">
        <v>1056</v>
      </c>
      <c r="C16" s="51"/>
      <c r="D16" s="8">
        <v>2.93</v>
      </c>
      <c r="E16" s="8">
        <v>33.700000000000003</v>
      </c>
      <c r="F16" s="8"/>
      <c r="G16" s="5">
        <v>4</v>
      </c>
      <c r="H16" s="5">
        <v>4</v>
      </c>
      <c r="I16" s="4">
        <v>373</v>
      </c>
      <c r="J16" s="4">
        <v>41900</v>
      </c>
      <c r="K16" s="4">
        <v>2490</v>
      </c>
      <c r="L16" s="4">
        <v>3550</v>
      </c>
      <c r="M16" s="4">
        <v>10.6</v>
      </c>
      <c r="N16" s="4">
        <f t="shared" si="0"/>
        <v>237.45917509310786</v>
      </c>
      <c r="O16" s="4">
        <v>41900</v>
      </c>
      <c r="P16" s="4">
        <v>2490</v>
      </c>
      <c r="Q16" s="4">
        <v>3550</v>
      </c>
      <c r="R16" s="5">
        <v>10.6</v>
      </c>
      <c r="S16" s="4"/>
      <c r="T16" s="4">
        <v>83800</v>
      </c>
      <c r="V16" s="4">
        <f t="shared" si="1"/>
        <v>237.45917509310786</v>
      </c>
      <c r="W16" s="4"/>
      <c r="X16" s="9" t="str">
        <f t="shared" si="2"/>
        <v>a</v>
      </c>
      <c r="Y16" s="9" t="str">
        <f t="shared" si="2"/>
        <v>a</v>
      </c>
      <c r="Z16" s="31">
        <f t="shared" si="3"/>
        <v>32</v>
      </c>
      <c r="AA16" s="31">
        <f t="shared" si="4"/>
        <v>32</v>
      </c>
    </row>
    <row r="17" spans="1:27" ht="13">
      <c r="A17" s="9">
        <v>15</v>
      </c>
      <c r="B17" s="4" t="s">
        <v>1057</v>
      </c>
      <c r="C17" s="51"/>
      <c r="D17" s="8">
        <v>3.24</v>
      </c>
      <c r="E17" s="8">
        <v>33.700000000000003</v>
      </c>
      <c r="F17" s="8"/>
      <c r="G17" s="5">
        <v>4.5</v>
      </c>
      <c r="H17" s="5">
        <v>4.5</v>
      </c>
      <c r="I17" s="4">
        <v>413</v>
      </c>
      <c r="J17" s="4">
        <v>45000</v>
      </c>
      <c r="K17" s="4">
        <v>2670</v>
      </c>
      <c r="L17" s="4">
        <v>3870</v>
      </c>
      <c r="M17" s="4">
        <v>10.4</v>
      </c>
      <c r="N17" s="4">
        <f t="shared" si="0"/>
        <v>262.92396598781113</v>
      </c>
      <c r="O17" s="4">
        <v>45000</v>
      </c>
      <c r="P17" s="4">
        <v>2670</v>
      </c>
      <c r="Q17" s="4">
        <v>3870</v>
      </c>
      <c r="R17" s="5">
        <v>10.4</v>
      </c>
      <c r="S17" s="4"/>
      <c r="T17" s="4">
        <v>90100</v>
      </c>
      <c r="V17" s="4">
        <f t="shared" si="1"/>
        <v>262.92396598781113</v>
      </c>
      <c r="W17" s="4"/>
      <c r="X17" s="9" t="str">
        <f t="shared" si="2"/>
        <v>a</v>
      </c>
      <c r="Y17" s="9" t="str">
        <f t="shared" si="2"/>
        <v>a</v>
      </c>
      <c r="Z17" s="31">
        <f t="shared" si="3"/>
        <v>45.5625</v>
      </c>
      <c r="AA17" s="31">
        <f t="shared" si="4"/>
        <v>45.5625</v>
      </c>
    </row>
    <row r="18" spans="1:27" ht="13">
      <c r="A18" s="9">
        <v>16</v>
      </c>
      <c r="B18" s="4" t="s">
        <v>1058</v>
      </c>
      <c r="C18" s="51"/>
      <c r="D18" s="8">
        <v>3.54</v>
      </c>
      <c r="E18" s="8">
        <v>33.700000000000003</v>
      </c>
      <c r="F18" s="8"/>
      <c r="G18" s="5">
        <v>5</v>
      </c>
      <c r="H18" s="5">
        <v>5</v>
      </c>
      <c r="I18" s="4">
        <v>451</v>
      </c>
      <c r="J18" s="4">
        <v>47800</v>
      </c>
      <c r="K18" s="4">
        <v>2840</v>
      </c>
      <c r="L18" s="4">
        <v>4160</v>
      </c>
      <c r="M18" s="4">
        <v>10.3</v>
      </c>
      <c r="N18" s="4">
        <f t="shared" si="0"/>
        <v>287.11551733777918</v>
      </c>
      <c r="O18" s="4">
        <v>47800</v>
      </c>
      <c r="P18" s="4">
        <v>2840</v>
      </c>
      <c r="Q18" s="4">
        <v>4160</v>
      </c>
      <c r="R18" s="5">
        <v>10.3</v>
      </c>
      <c r="S18" s="4"/>
      <c r="T18" s="4">
        <v>95700</v>
      </c>
      <c r="V18" s="4">
        <f t="shared" si="1"/>
        <v>287.11551733777918</v>
      </c>
      <c r="W18" s="4"/>
      <c r="X18" s="9" t="str">
        <f t="shared" si="2"/>
        <v>a</v>
      </c>
      <c r="Y18" s="9" t="str">
        <f t="shared" si="2"/>
        <v>a</v>
      </c>
      <c r="Z18" s="31">
        <f t="shared" si="3"/>
        <v>62.5</v>
      </c>
      <c r="AA18" s="31">
        <f t="shared" si="4"/>
        <v>62.5</v>
      </c>
    </row>
    <row r="19" spans="1:27" ht="13">
      <c r="A19" s="9">
        <v>17</v>
      </c>
      <c r="B19" s="4" t="s">
        <v>1059</v>
      </c>
      <c r="C19" s="51"/>
      <c r="D19" s="8">
        <v>2.5499999999999998</v>
      </c>
      <c r="E19" s="8">
        <v>42.4</v>
      </c>
      <c r="F19" s="8"/>
      <c r="G19" s="5">
        <v>2.6</v>
      </c>
      <c r="H19" s="5">
        <v>2.6</v>
      </c>
      <c r="I19" s="4">
        <v>325</v>
      </c>
      <c r="J19" s="4">
        <v>64600</v>
      </c>
      <c r="K19" s="4">
        <v>3050</v>
      </c>
      <c r="L19" s="4">
        <v>4120</v>
      </c>
      <c r="M19" s="4">
        <v>14.1</v>
      </c>
      <c r="N19" s="4">
        <f t="shared" si="0"/>
        <v>206.90142601946394</v>
      </c>
      <c r="O19" s="4">
        <v>64600</v>
      </c>
      <c r="P19" s="4">
        <v>3050</v>
      </c>
      <c r="Q19" s="4">
        <v>4120</v>
      </c>
      <c r="R19" s="5">
        <v>14.1</v>
      </c>
      <c r="S19" s="4"/>
      <c r="T19" s="4">
        <v>129000</v>
      </c>
      <c r="V19" s="4">
        <f t="shared" si="1"/>
        <v>206.90142601946394</v>
      </c>
      <c r="W19" s="4"/>
      <c r="X19" s="9" t="str">
        <f t="shared" si="2"/>
        <v>a</v>
      </c>
      <c r="Y19" s="9" t="str">
        <f t="shared" si="2"/>
        <v>a</v>
      </c>
      <c r="Z19" s="31">
        <f t="shared" si="3"/>
        <v>8.788000000000002</v>
      </c>
      <c r="AA19" s="31">
        <f t="shared" si="4"/>
        <v>8.788000000000002</v>
      </c>
    </row>
    <row r="20" spans="1:27" ht="13">
      <c r="A20" s="9">
        <v>18</v>
      </c>
      <c r="B20" s="4" t="s">
        <v>1060</v>
      </c>
      <c r="C20" s="51"/>
      <c r="D20" s="8">
        <v>2.82</v>
      </c>
      <c r="E20" s="8">
        <v>42.4</v>
      </c>
      <c r="F20" s="8"/>
      <c r="G20" s="5">
        <v>2.9</v>
      </c>
      <c r="H20" s="5">
        <v>2.9</v>
      </c>
      <c r="I20" s="4">
        <v>360</v>
      </c>
      <c r="J20" s="4">
        <v>70600</v>
      </c>
      <c r="K20" s="4">
        <v>3330</v>
      </c>
      <c r="L20" s="4">
        <v>4530</v>
      </c>
      <c r="M20" s="4">
        <v>14</v>
      </c>
      <c r="N20" s="4">
        <f t="shared" si="0"/>
        <v>229.18311805232929</v>
      </c>
      <c r="O20" s="4">
        <v>70600</v>
      </c>
      <c r="P20" s="4">
        <v>3330</v>
      </c>
      <c r="Q20" s="4">
        <v>4530</v>
      </c>
      <c r="R20" s="5">
        <v>14</v>
      </c>
      <c r="S20" s="4"/>
      <c r="T20" s="4">
        <v>141000</v>
      </c>
      <c r="V20" s="4">
        <f t="shared" si="1"/>
        <v>229.18311805232929</v>
      </c>
      <c r="W20" s="4"/>
      <c r="X20" s="9" t="str">
        <f t="shared" si="2"/>
        <v>a</v>
      </c>
      <c r="Y20" s="9" t="str">
        <f t="shared" si="2"/>
        <v>a</v>
      </c>
      <c r="Z20" s="31">
        <f t="shared" si="3"/>
        <v>12.1945</v>
      </c>
      <c r="AA20" s="31">
        <f t="shared" si="4"/>
        <v>12.1945</v>
      </c>
    </row>
    <row r="21" spans="1:27" ht="13">
      <c r="A21" s="9">
        <v>19</v>
      </c>
      <c r="B21" s="4" t="s">
        <v>1061</v>
      </c>
      <c r="C21" s="51"/>
      <c r="D21" s="8">
        <v>3.09</v>
      </c>
      <c r="E21" s="8">
        <v>42.4</v>
      </c>
      <c r="F21" s="8"/>
      <c r="G21" s="5">
        <v>3.2</v>
      </c>
      <c r="H21" s="5">
        <v>3.2</v>
      </c>
      <c r="I21" s="4">
        <v>394</v>
      </c>
      <c r="J21" s="4">
        <v>76200</v>
      </c>
      <c r="K21" s="4">
        <v>3590</v>
      </c>
      <c r="L21" s="4">
        <v>4930</v>
      </c>
      <c r="M21" s="4">
        <v>13.9</v>
      </c>
      <c r="N21" s="4">
        <f t="shared" si="0"/>
        <v>250.82819031282705</v>
      </c>
      <c r="O21" s="4">
        <v>76200</v>
      </c>
      <c r="P21" s="4">
        <v>3590</v>
      </c>
      <c r="Q21" s="4">
        <v>4930</v>
      </c>
      <c r="R21" s="5">
        <v>13.9</v>
      </c>
      <c r="S21" s="4"/>
      <c r="T21" s="4">
        <v>152000</v>
      </c>
      <c r="V21" s="4">
        <f t="shared" si="1"/>
        <v>250.82819031282705</v>
      </c>
      <c r="W21" s="4"/>
      <c r="X21" s="9" t="str">
        <f t="shared" si="2"/>
        <v>a</v>
      </c>
      <c r="Y21" s="9" t="str">
        <f t="shared" si="2"/>
        <v>a</v>
      </c>
      <c r="Z21" s="31">
        <f t="shared" si="3"/>
        <v>16.384000000000004</v>
      </c>
      <c r="AA21" s="31">
        <f t="shared" si="4"/>
        <v>16.384000000000004</v>
      </c>
    </row>
    <row r="22" spans="1:27" ht="13">
      <c r="A22" s="9">
        <v>20</v>
      </c>
      <c r="B22" s="4" t="s">
        <v>1062</v>
      </c>
      <c r="C22" s="51"/>
      <c r="D22" s="8">
        <v>3.44</v>
      </c>
      <c r="E22" s="8">
        <v>42.4</v>
      </c>
      <c r="F22" s="8"/>
      <c r="G22" s="5">
        <v>3.6</v>
      </c>
      <c r="H22" s="5">
        <v>3.6</v>
      </c>
      <c r="I22" s="4">
        <v>439</v>
      </c>
      <c r="J22" s="4">
        <v>83300</v>
      </c>
      <c r="K22" s="4">
        <v>3930</v>
      </c>
      <c r="L22" s="4">
        <v>5440</v>
      </c>
      <c r="M22" s="4">
        <v>13.8</v>
      </c>
      <c r="N22" s="4">
        <f t="shared" si="0"/>
        <v>279.47608006936821</v>
      </c>
      <c r="O22" s="4">
        <v>83300</v>
      </c>
      <c r="P22" s="4">
        <v>3930</v>
      </c>
      <c r="Q22" s="4">
        <v>5440</v>
      </c>
      <c r="R22" s="5">
        <v>13.8</v>
      </c>
      <c r="S22" s="4"/>
      <c r="T22" s="4">
        <v>167000</v>
      </c>
      <c r="V22" s="4">
        <f t="shared" si="1"/>
        <v>279.47608006936821</v>
      </c>
      <c r="W22" s="4"/>
      <c r="X22" s="9" t="str">
        <f t="shared" si="2"/>
        <v>a</v>
      </c>
      <c r="Y22" s="9" t="str">
        <f t="shared" si="2"/>
        <v>a</v>
      </c>
      <c r="Z22" s="31">
        <f t="shared" si="3"/>
        <v>23.328000000000003</v>
      </c>
      <c r="AA22" s="31">
        <f t="shared" si="4"/>
        <v>23.328000000000003</v>
      </c>
    </row>
    <row r="23" spans="1:27" ht="13">
      <c r="A23" s="9">
        <v>21</v>
      </c>
      <c r="B23" s="4" t="s">
        <v>1063</v>
      </c>
      <c r="C23" s="51"/>
      <c r="D23" s="8">
        <v>3.79</v>
      </c>
      <c r="E23" s="8">
        <v>42.4</v>
      </c>
      <c r="F23" s="8"/>
      <c r="G23" s="5">
        <v>4</v>
      </c>
      <c r="H23" s="5">
        <v>4</v>
      </c>
      <c r="I23" s="4">
        <v>483</v>
      </c>
      <c r="J23" s="4">
        <v>89900</v>
      </c>
      <c r="K23" s="4">
        <v>4240</v>
      </c>
      <c r="L23" s="4">
        <v>5920</v>
      </c>
      <c r="M23" s="4">
        <v>13.6</v>
      </c>
      <c r="N23" s="4">
        <f t="shared" si="0"/>
        <v>307.48735005354177</v>
      </c>
      <c r="O23" s="4">
        <v>89900</v>
      </c>
      <c r="P23" s="4">
        <v>4240</v>
      </c>
      <c r="Q23" s="4">
        <v>5920</v>
      </c>
      <c r="R23" s="5">
        <v>13.6</v>
      </c>
      <c r="S23" s="4"/>
      <c r="T23" s="4">
        <v>180000</v>
      </c>
      <c r="V23" s="4">
        <f t="shared" si="1"/>
        <v>307.48735005354177</v>
      </c>
      <c r="W23" s="4"/>
      <c r="X23" s="9" t="str">
        <f t="shared" ref="X23:Y42" si="5">IF(fy=460,"a0","a")</f>
        <v>a</v>
      </c>
      <c r="Y23" s="9" t="str">
        <f t="shared" si="5"/>
        <v>a</v>
      </c>
      <c r="Z23" s="31">
        <f t="shared" si="3"/>
        <v>32</v>
      </c>
      <c r="AA23" s="31">
        <f t="shared" si="4"/>
        <v>32</v>
      </c>
    </row>
    <row r="24" spans="1:27" ht="13">
      <c r="A24" s="9">
        <v>22</v>
      </c>
      <c r="B24" s="4" t="s">
        <v>1064</v>
      </c>
      <c r="C24" s="51"/>
      <c r="D24" s="8">
        <v>4.21</v>
      </c>
      <c r="E24" s="8">
        <v>42.4</v>
      </c>
      <c r="F24" s="8"/>
      <c r="G24" s="5">
        <v>4.5</v>
      </c>
      <c r="H24" s="5">
        <v>4.5</v>
      </c>
      <c r="I24" s="4">
        <v>536</v>
      </c>
      <c r="J24" s="4">
        <v>97600</v>
      </c>
      <c r="K24" s="4">
        <v>4600</v>
      </c>
      <c r="L24" s="4">
        <v>6490</v>
      </c>
      <c r="M24" s="4">
        <v>13.5</v>
      </c>
      <c r="N24" s="4">
        <f t="shared" si="0"/>
        <v>341.22819798902361</v>
      </c>
      <c r="O24" s="4">
        <v>97600</v>
      </c>
      <c r="P24" s="4">
        <v>4600</v>
      </c>
      <c r="Q24" s="4">
        <v>6490</v>
      </c>
      <c r="R24" s="5">
        <v>13.5</v>
      </c>
      <c r="S24" s="4"/>
      <c r="T24" s="4">
        <v>195000</v>
      </c>
      <c r="V24" s="4">
        <f t="shared" si="1"/>
        <v>341.22819798902361</v>
      </c>
      <c r="W24" s="4"/>
      <c r="X24" s="9" t="str">
        <f t="shared" si="5"/>
        <v>a</v>
      </c>
      <c r="Y24" s="9" t="str">
        <f t="shared" si="5"/>
        <v>a</v>
      </c>
      <c r="Z24" s="31">
        <f t="shared" si="3"/>
        <v>45.5625</v>
      </c>
      <c r="AA24" s="31">
        <f t="shared" si="4"/>
        <v>45.5625</v>
      </c>
    </row>
    <row r="25" spans="1:27" ht="13">
      <c r="A25" s="9">
        <v>23</v>
      </c>
      <c r="B25" s="4" t="s">
        <v>1065</v>
      </c>
      <c r="C25" s="51"/>
      <c r="D25" s="8">
        <v>4.6100000000000003</v>
      </c>
      <c r="E25" s="8">
        <v>42.4</v>
      </c>
      <c r="F25" s="8"/>
      <c r="G25" s="5">
        <v>5</v>
      </c>
      <c r="H25" s="5">
        <v>5</v>
      </c>
      <c r="I25" s="4">
        <v>587</v>
      </c>
      <c r="J25" s="4">
        <v>105000</v>
      </c>
      <c r="K25" s="4">
        <v>4930</v>
      </c>
      <c r="L25" s="4">
        <v>7040</v>
      </c>
      <c r="M25" s="4">
        <v>13.3</v>
      </c>
      <c r="N25" s="4">
        <f t="shared" si="0"/>
        <v>373.69580637977026</v>
      </c>
      <c r="O25" s="4">
        <v>105000</v>
      </c>
      <c r="P25" s="4">
        <v>4930</v>
      </c>
      <c r="Q25" s="4">
        <v>7040</v>
      </c>
      <c r="R25" s="5">
        <v>13.3</v>
      </c>
      <c r="S25" s="4"/>
      <c r="T25" s="4">
        <v>209000</v>
      </c>
      <c r="V25" s="4">
        <f t="shared" si="1"/>
        <v>373.69580637977026</v>
      </c>
      <c r="W25" s="4"/>
      <c r="X25" s="9" t="str">
        <f t="shared" si="5"/>
        <v>a</v>
      </c>
      <c r="Y25" s="9" t="str">
        <f t="shared" si="5"/>
        <v>a</v>
      </c>
      <c r="Z25" s="31">
        <f t="shared" si="3"/>
        <v>62.5</v>
      </c>
      <c r="AA25" s="31">
        <f t="shared" si="4"/>
        <v>62.5</v>
      </c>
    </row>
    <row r="26" spans="1:27" ht="13">
      <c r="A26" s="9">
        <v>24</v>
      </c>
      <c r="B26" s="4" t="s">
        <v>1066</v>
      </c>
      <c r="C26" s="51"/>
      <c r="D26" s="8">
        <v>2.93</v>
      </c>
      <c r="E26" s="8">
        <v>48.3</v>
      </c>
      <c r="F26" s="8"/>
      <c r="G26" s="5">
        <v>2.6</v>
      </c>
      <c r="H26" s="5">
        <v>2.6</v>
      </c>
      <c r="I26" s="4">
        <v>373</v>
      </c>
      <c r="J26" s="4">
        <v>98000</v>
      </c>
      <c r="K26" s="4">
        <v>4050</v>
      </c>
      <c r="L26" s="4">
        <v>5440</v>
      </c>
      <c r="M26" s="4">
        <v>16.2</v>
      </c>
      <c r="N26" s="4">
        <f t="shared" si="0"/>
        <v>237.45917509310786</v>
      </c>
      <c r="O26" s="4">
        <v>98000</v>
      </c>
      <c r="P26" s="4">
        <v>4050</v>
      </c>
      <c r="Q26" s="4">
        <v>5440</v>
      </c>
      <c r="R26" s="5">
        <v>16.2</v>
      </c>
      <c r="S26" s="4"/>
      <c r="T26" s="4">
        <v>196000</v>
      </c>
      <c r="V26" s="4">
        <f t="shared" si="1"/>
        <v>237.45917509310786</v>
      </c>
      <c r="W26" s="4"/>
      <c r="X26" s="9" t="str">
        <f t="shared" si="5"/>
        <v>a</v>
      </c>
      <c r="Y26" s="9" t="str">
        <f t="shared" si="5"/>
        <v>a</v>
      </c>
      <c r="Z26" s="31">
        <f t="shared" si="3"/>
        <v>8.788000000000002</v>
      </c>
      <c r="AA26" s="31">
        <f t="shared" si="4"/>
        <v>8.788000000000002</v>
      </c>
    </row>
    <row r="27" spans="1:27" ht="13">
      <c r="A27" s="9">
        <v>25</v>
      </c>
      <c r="B27" s="4" t="s">
        <v>1067</v>
      </c>
      <c r="C27" s="51"/>
      <c r="D27" s="8">
        <v>3.25</v>
      </c>
      <c r="E27" s="8">
        <v>48.3</v>
      </c>
      <c r="F27" s="8"/>
      <c r="G27" s="5">
        <v>2.9</v>
      </c>
      <c r="H27" s="5">
        <v>2.9</v>
      </c>
      <c r="I27" s="4">
        <v>414</v>
      </c>
      <c r="J27" s="4">
        <v>107000</v>
      </c>
      <c r="K27" s="4">
        <v>4430</v>
      </c>
      <c r="L27" s="4">
        <v>5990</v>
      </c>
      <c r="M27" s="4">
        <v>16.100000000000001</v>
      </c>
      <c r="N27" s="4">
        <f t="shared" si="0"/>
        <v>263.5605857601787</v>
      </c>
      <c r="O27" s="4">
        <v>107000</v>
      </c>
      <c r="P27" s="4">
        <v>4430</v>
      </c>
      <c r="Q27" s="4">
        <v>5990</v>
      </c>
      <c r="R27" s="5">
        <v>16.100000000000001</v>
      </c>
      <c r="S27" s="4"/>
      <c r="T27" s="4">
        <v>214000</v>
      </c>
      <c r="V27" s="4">
        <f t="shared" si="1"/>
        <v>263.5605857601787</v>
      </c>
      <c r="W27" s="4"/>
      <c r="X27" s="9" t="str">
        <f t="shared" si="5"/>
        <v>a</v>
      </c>
      <c r="Y27" s="9" t="str">
        <f t="shared" si="5"/>
        <v>a</v>
      </c>
      <c r="Z27" s="31">
        <f t="shared" si="3"/>
        <v>12.1945</v>
      </c>
      <c r="AA27" s="31">
        <f t="shared" si="4"/>
        <v>12.1945</v>
      </c>
    </row>
    <row r="28" spans="1:27" ht="13">
      <c r="A28" s="9">
        <v>26</v>
      </c>
      <c r="B28" s="4" t="s">
        <v>1068</v>
      </c>
      <c r="C28" s="51"/>
      <c r="D28" s="8">
        <v>3.56</v>
      </c>
      <c r="E28" s="8">
        <v>48.3</v>
      </c>
      <c r="F28" s="8"/>
      <c r="G28" s="5">
        <v>3.2</v>
      </c>
      <c r="H28" s="5">
        <v>3.2</v>
      </c>
      <c r="I28" s="4">
        <v>453</v>
      </c>
      <c r="J28" s="4">
        <v>116000</v>
      </c>
      <c r="K28" s="4">
        <v>4800</v>
      </c>
      <c r="L28" s="4">
        <v>6520</v>
      </c>
      <c r="M28" s="4">
        <v>16</v>
      </c>
      <c r="N28" s="4">
        <f t="shared" si="0"/>
        <v>288.38875688251437</v>
      </c>
      <c r="O28" s="4">
        <v>116000</v>
      </c>
      <c r="P28" s="4">
        <v>4800</v>
      </c>
      <c r="Q28" s="4">
        <v>6520</v>
      </c>
      <c r="R28" s="5">
        <v>16</v>
      </c>
      <c r="S28" s="4"/>
      <c r="T28" s="4">
        <v>232000</v>
      </c>
      <c r="V28" s="4">
        <f t="shared" si="1"/>
        <v>288.38875688251437</v>
      </c>
      <c r="W28" s="4"/>
      <c r="X28" s="9" t="str">
        <f t="shared" si="5"/>
        <v>a</v>
      </c>
      <c r="Y28" s="9" t="str">
        <f t="shared" si="5"/>
        <v>a</v>
      </c>
      <c r="Z28" s="31">
        <f t="shared" si="3"/>
        <v>16.384000000000004</v>
      </c>
      <c r="AA28" s="31">
        <f t="shared" si="4"/>
        <v>16.384000000000004</v>
      </c>
    </row>
    <row r="29" spans="1:27" ht="13">
      <c r="A29" s="9">
        <v>27</v>
      </c>
      <c r="B29" s="4" t="s">
        <v>1069</v>
      </c>
      <c r="C29" s="51"/>
      <c r="D29" s="8">
        <v>3.97</v>
      </c>
      <c r="E29" s="8">
        <v>48.3</v>
      </c>
      <c r="F29" s="8"/>
      <c r="G29" s="5">
        <v>3.6</v>
      </c>
      <c r="H29" s="5">
        <v>3.6</v>
      </c>
      <c r="I29" s="4">
        <v>506</v>
      </c>
      <c r="J29" s="4">
        <v>127000</v>
      </c>
      <c r="K29" s="4">
        <v>5260</v>
      </c>
      <c r="L29" s="4">
        <v>7210</v>
      </c>
      <c r="M29" s="4">
        <v>15.9</v>
      </c>
      <c r="N29" s="4">
        <f t="shared" si="0"/>
        <v>322.12960481799615</v>
      </c>
      <c r="O29" s="4">
        <v>127000</v>
      </c>
      <c r="P29" s="4">
        <v>5260</v>
      </c>
      <c r="Q29" s="4">
        <v>7210</v>
      </c>
      <c r="R29" s="5">
        <v>15.9</v>
      </c>
      <c r="S29" s="4"/>
      <c r="T29" s="4">
        <v>254000</v>
      </c>
      <c r="V29" s="4">
        <f t="shared" si="1"/>
        <v>322.12960481799615</v>
      </c>
      <c r="W29" s="4"/>
      <c r="X29" s="9" t="str">
        <f t="shared" si="5"/>
        <v>a</v>
      </c>
      <c r="Y29" s="9" t="str">
        <f t="shared" si="5"/>
        <v>a</v>
      </c>
      <c r="Z29" s="31">
        <f t="shared" si="3"/>
        <v>23.328000000000003</v>
      </c>
      <c r="AA29" s="31">
        <f t="shared" si="4"/>
        <v>23.328000000000003</v>
      </c>
    </row>
    <row r="30" spans="1:27" ht="13">
      <c r="A30" s="9">
        <v>28</v>
      </c>
      <c r="B30" s="4" t="s">
        <v>1070</v>
      </c>
      <c r="C30" s="51"/>
      <c r="D30" s="8">
        <v>4.37</v>
      </c>
      <c r="E30" s="8">
        <v>48.3</v>
      </c>
      <c r="F30" s="8"/>
      <c r="G30" s="5">
        <v>4</v>
      </c>
      <c r="H30" s="5">
        <v>4</v>
      </c>
      <c r="I30" s="4">
        <v>557</v>
      </c>
      <c r="J30" s="4">
        <v>138000</v>
      </c>
      <c r="K30" s="4">
        <v>5700</v>
      </c>
      <c r="L30" s="4">
        <v>7870</v>
      </c>
      <c r="M30" s="4">
        <v>15.7</v>
      </c>
      <c r="N30" s="4">
        <f t="shared" si="0"/>
        <v>354.5972132087428</v>
      </c>
      <c r="O30" s="4">
        <v>138000</v>
      </c>
      <c r="P30" s="4">
        <v>5700</v>
      </c>
      <c r="Q30" s="4">
        <v>7870</v>
      </c>
      <c r="R30" s="5">
        <v>15.7</v>
      </c>
      <c r="S30" s="4"/>
      <c r="T30" s="4">
        <v>275000</v>
      </c>
      <c r="V30" s="4">
        <f t="shared" si="1"/>
        <v>354.5972132087428</v>
      </c>
      <c r="W30" s="4"/>
      <c r="X30" s="9" t="str">
        <f t="shared" si="5"/>
        <v>a</v>
      </c>
      <c r="Y30" s="9" t="str">
        <f t="shared" si="5"/>
        <v>a</v>
      </c>
      <c r="Z30" s="31">
        <f t="shared" si="3"/>
        <v>32</v>
      </c>
      <c r="AA30" s="31">
        <f t="shared" si="4"/>
        <v>32</v>
      </c>
    </row>
    <row r="31" spans="1:27" ht="13">
      <c r="A31" s="9">
        <v>29</v>
      </c>
      <c r="B31" s="4" t="s">
        <v>1071</v>
      </c>
      <c r="C31" s="51"/>
      <c r="D31" s="8">
        <v>4.8600000000000003</v>
      </c>
      <c r="E31" s="8">
        <v>48.3</v>
      </c>
      <c r="F31" s="8"/>
      <c r="G31" s="5">
        <v>4.5</v>
      </c>
      <c r="H31" s="5">
        <v>4.5</v>
      </c>
      <c r="I31" s="4">
        <v>619</v>
      </c>
      <c r="J31" s="4">
        <v>150000</v>
      </c>
      <c r="K31" s="4">
        <v>6210</v>
      </c>
      <c r="L31" s="4">
        <v>8660</v>
      </c>
      <c r="M31" s="4">
        <v>15.6</v>
      </c>
      <c r="N31" s="4">
        <f t="shared" si="0"/>
        <v>394.06763909553285</v>
      </c>
      <c r="O31" s="4">
        <v>150000</v>
      </c>
      <c r="P31" s="4">
        <v>6210</v>
      </c>
      <c r="Q31" s="4">
        <v>8660</v>
      </c>
      <c r="R31" s="5">
        <v>15.6</v>
      </c>
      <c r="S31" s="4"/>
      <c r="T31" s="4">
        <v>300000</v>
      </c>
      <c r="V31" s="4">
        <f t="shared" si="1"/>
        <v>394.06763909553285</v>
      </c>
      <c r="W31" s="4"/>
      <c r="X31" s="9" t="str">
        <f t="shared" si="5"/>
        <v>a</v>
      </c>
      <c r="Y31" s="9" t="str">
        <f t="shared" si="5"/>
        <v>a</v>
      </c>
      <c r="Z31" s="31">
        <f t="shared" si="3"/>
        <v>45.5625</v>
      </c>
      <c r="AA31" s="31">
        <f t="shared" si="4"/>
        <v>45.5625</v>
      </c>
    </row>
    <row r="32" spans="1:27" ht="13">
      <c r="A32" s="9">
        <v>30</v>
      </c>
      <c r="B32" s="4" t="s">
        <v>1072</v>
      </c>
      <c r="C32" s="51"/>
      <c r="D32" s="8">
        <v>5.34</v>
      </c>
      <c r="E32" s="8">
        <v>48.3</v>
      </c>
      <c r="F32" s="8"/>
      <c r="G32" s="5">
        <v>5</v>
      </c>
      <c r="H32" s="5">
        <v>5</v>
      </c>
      <c r="I32" s="4">
        <v>680</v>
      </c>
      <c r="J32" s="4">
        <v>162000</v>
      </c>
      <c r="K32" s="4">
        <v>6690</v>
      </c>
      <c r="L32" s="4">
        <v>9420</v>
      </c>
      <c r="M32" s="4">
        <v>15.4</v>
      </c>
      <c r="N32" s="4">
        <f t="shared" si="0"/>
        <v>432.90144520995534</v>
      </c>
      <c r="O32" s="4">
        <v>162000</v>
      </c>
      <c r="P32" s="4">
        <v>6690</v>
      </c>
      <c r="Q32" s="4">
        <v>9420</v>
      </c>
      <c r="R32" s="5">
        <v>15.4</v>
      </c>
      <c r="S32" s="4"/>
      <c r="T32" s="4">
        <v>323000</v>
      </c>
      <c r="V32" s="4">
        <f t="shared" si="1"/>
        <v>432.90144520995534</v>
      </c>
      <c r="W32" s="4"/>
      <c r="X32" s="9" t="str">
        <f t="shared" si="5"/>
        <v>a</v>
      </c>
      <c r="Y32" s="9" t="str">
        <f t="shared" si="5"/>
        <v>a</v>
      </c>
      <c r="Z32" s="31">
        <f t="shared" si="3"/>
        <v>62.5</v>
      </c>
      <c r="AA32" s="31">
        <f t="shared" si="4"/>
        <v>62.5</v>
      </c>
    </row>
    <row r="33" spans="1:27" ht="13">
      <c r="A33" s="9">
        <v>31</v>
      </c>
      <c r="B33" s="4" t="s">
        <v>1073</v>
      </c>
      <c r="C33" s="51"/>
      <c r="D33" s="8">
        <v>5.9</v>
      </c>
      <c r="E33" s="8">
        <v>48.3</v>
      </c>
      <c r="F33" s="8"/>
      <c r="G33" s="5">
        <v>5.6</v>
      </c>
      <c r="H33" s="5">
        <v>5.6</v>
      </c>
      <c r="I33" s="4">
        <v>751</v>
      </c>
      <c r="J33" s="4">
        <v>174000</v>
      </c>
      <c r="K33" s="4">
        <v>7210</v>
      </c>
      <c r="L33" s="4">
        <v>10300</v>
      </c>
      <c r="M33" s="4">
        <v>15.2</v>
      </c>
      <c r="N33" s="4">
        <f t="shared" si="0"/>
        <v>478.10144904805361</v>
      </c>
      <c r="O33" s="4">
        <v>174000</v>
      </c>
      <c r="P33" s="4">
        <v>7210</v>
      </c>
      <c r="Q33" s="4">
        <v>10300</v>
      </c>
      <c r="R33" s="5">
        <v>15.2</v>
      </c>
      <c r="S33" s="4"/>
      <c r="T33" s="4">
        <v>348000</v>
      </c>
      <c r="V33" s="4">
        <f t="shared" si="1"/>
        <v>478.10144904805361</v>
      </c>
      <c r="W33" s="4"/>
      <c r="X33" s="9" t="str">
        <f t="shared" si="5"/>
        <v>a</v>
      </c>
      <c r="Y33" s="9" t="str">
        <f t="shared" si="5"/>
        <v>a</v>
      </c>
      <c r="Z33" s="31">
        <f t="shared" si="3"/>
        <v>87.807999999999979</v>
      </c>
      <c r="AA33" s="31">
        <f t="shared" si="4"/>
        <v>87.807999999999979</v>
      </c>
    </row>
    <row r="34" spans="1:27" ht="13">
      <c r="A34" s="9">
        <v>32</v>
      </c>
      <c r="B34" s="4" t="s">
        <v>1074</v>
      </c>
      <c r="C34" s="51"/>
      <c r="D34" s="8">
        <v>6.53</v>
      </c>
      <c r="E34" s="8">
        <v>48.3</v>
      </c>
      <c r="F34" s="8"/>
      <c r="G34" s="5">
        <v>6.3</v>
      </c>
      <c r="H34" s="5">
        <v>6.3</v>
      </c>
      <c r="I34" s="4">
        <v>831</v>
      </c>
      <c r="J34" s="4">
        <v>187000</v>
      </c>
      <c r="K34" s="4">
        <v>7760</v>
      </c>
      <c r="L34" s="4">
        <v>11200</v>
      </c>
      <c r="M34" s="4">
        <v>15</v>
      </c>
      <c r="N34" s="4">
        <f t="shared" si="0"/>
        <v>529.03103083746009</v>
      </c>
      <c r="O34" s="4">
        <v>187000</v>
      </c>
      <c r="P34" s="4">
        <v>7760</v>
      </c>
      <c r="Q34" s="4">
        <v>11200</v>
      </c>
      <c r="R34" s="5">
        <v>15</v>
      </c>
      <c r="S34" s="4"/>
      <c r="T34" s="4">
        <v>375000</v>
      </c>
      <c r="V34" s="4">
        <f t="shared" si="1"/>
        <v>529.03103083746009</v>
      </c>
      <c r="W34" s="4"/>
      <c r="X34" s="9" t="str">
        <f t="shared" si="5"/>
        <v>a</v>
      </c>
      <c r="Y34" s="9" t="str">
        <f t="shared" si="5"/>
        <v>a</v>
      </c>
      <c r="Z34" s="31">
        <f t="shared" si="3"/>
        <v>125.02349999999998</v>
      </c>
      <c r="AA34" s="31">
        <f t="shared" si="4"/>
        <v>125.02349999999998</v>
      </c>
    </row>
    <row r="35" spans="1:27" ht="13">
      <c r="A35" s="9">
        <v>33</v>
      </c>
      <c r="B35" s="4" t="s">
        <v>1075</v>
      </c>
      <c r="C35" s="51"/>
      <c r="D35" s="8">
        <v>3.7</v>
      </c>
      <c r="E35" s="8">
        <v>60.3</v>
      </c>
      <c r="F35" s="8"/>
      <c r="G35" s="5">
        <v>2.6</v>
      </c>
      <c r="H35" s="5">
        <v>2.6</v>
      </c>
      <c r="I35" s="4">
        <v>471</v>
      </c>
      <c r="J35" s="4">
        <v>197000</v>
      </c>
      <c r="K35" s="4">
        <v>6520</v>
      </c>
      <c r="L35" s="4">
        <v>8660</v>
      </c>
      <c r="M35" s="4">
        <v>20.399999999999999</v>
      </c>
      <c r="N35" s="4">
        <f t="shared" si="0"/>
        <v>299.8479127851308</v>
      </c>
      <c r="O35" s="4">
        <v>197000</v>
      </c>
      <c r="P35" s="4">
        <v>6520</v>
      </c>
      <c r="Q35" s="4">
        <v>8660</v>
      </c>
      <c r="R35" s="5">
        <v>20.399999999999999</v>
      </c>
      <c r="S35" s="4"/>
      <c r="T35" s="4">
        <v>393000</v>
      </c>
      <c r="V35" s="4">
        <f t="shared" si="1"/>
        <v>299.8479127851308</v>
      </c>
      <c r="W35" s="4"/>
      <c r="X35" s="9" t="str">
        <f t="shared" si="5"/>
        <v>a</v>
      </c>
      <c r="Y35" s="9" t="str">
        <f t="shared" si="5"/>
        <v>a</v>
      </c>
      <c r="Z35" s="31">
        <f t="shared" si="3"/>
        <v>8.788000000000002</v>
      </c>
      <c r="AA35" s="31">
        <f t="shared" si="4"/>
        <v>8.788000000000002</v>
      </c>
    </row>
    <row r="36" spans="1:27" ht="13">
      <c r="A36" s="9">
        <v>34</v>
      </c>
      <c r="B36" s="4" t="s">
        <v>1076</v>
      </c>
      <c r="C36" s="51"/>
      <c r="D36" s="8">
        <v>4.1100000000000003</v>
      </c>
      <c r="E36" s="8">
        <v>60.3</v>
      </c>
      <c r="F36" s="8"/>
      <c r="G36" s="5">
        <v>2.9</v>
      </c>
      <c r="H36" s="5">
        <v>2.9</v>
      </c>
      <c r="I36" s="4">
        <v>523</v>
      </c>
      <c r="J36" s="4">
        <v>216000</v>
      </c>
      <c r="K36" s="4">
        <v>7160</v>
      </c>
      <c r="L36" s="4">
        <v>9560</v>
      </c>
      <c r="M36" s="4">
        <v>20.3</v>
      </c>
      <c r="N36" s="4">
        <f t="shared" si="0"/>
        <v>332.95214094824507</v>
      </c>
      <c r="O36" s="4">
        <v>216000</v>
      </c>
      <c r="P36" s="4">
        <v>7160</v>
      </c>
      <c r="Q36" s="4">
        <v>9560</v>
      </c>
      <c r="R36" s="5">
        <v>20.3</v>
      </c>
      <c r="S36" s="4"/>
      <c r="T36" s="4">
        <v>432000</v>
      </c>
      <c r="V36" s="4">
        <f t="shared" si="1"/>
        <v>332.95214094824507</v>
      </c>
      <c r="W36" s="4"/>
      <c r="X36" s="9" t="str">
        <f t="shared" si="5"/>
        <v>a</v>
      </c>
      <c r="Y36" s="9" t="str">
        <f t="shared" si="5"/>
        <v>a</v>
      </c>
      <c r="Z36" s="31">
        <f t="shared" si="3"/>
        <v>12.1945</v>
      </c>
      <c r="AA36" s="31">
        <f t="shared" si="4"/>
        <v>12.1945</v>
      </c>
    </row>
    <row r="37" spans="1:27" ht="13">
      <c r="A37" s="9">
        <v>35</v>
      </c>
      <c r="B37" s="4" t="s">
        <v>1077</v>
      </c>
      <c r="C37" s="51"/>
      <c r="D37" s="8">
        <v>4.51</v>
      </c>
      <c r="E37" s="8">
        <v>60.3</v>
      </c>
      <c r="F37" s="8"/>
      <c r="G37" s="5">
        <v>3.2</v>
      </c>
      <c r="H37" s="5">
        <v>3.2</v>
      </c>
      <c r="I37" s="4">
        <v>574</v>
      </c>
      <c r="J37" s="4">
        <v>235000</v>
      </c>
      <c r="K37" s="4">
        <v>7780</v>
      </c>
      <c r="L37" s="4">
        <v>10400</v>
      </c>
      <c r="M37" s="4">
        <v>20.2</v>
      </c>
      <c r="N37" s="4">
        <f t="shared" si="0"/>
        <v>365.41974933899172</v>
      </c>
      <c r="O37" s="4">
        <v>235000</v>
      </c>
      <c r="P37" s="4">
        <v>7780</v>
      </c>
      <c r="Q37" s="4">
        <v>10400</v>
      </c>
      <c r="R37" s="5">
        <v>20.2</v>
      </c>
      <c r="S37" s="4"/>
      <c r="T37" s="4">
        <v>469000</v>
      </c>
      <c r="V37" s="4">
        <f t="shared" si="1"/>
        <v>365.41974933899172</v>
      </c>
      <c r="W37" s="4"/>
      <c r="X37" s="9" t="str">
        <f t="shared" si="5"/>
        <v>a</v>
      </c>
      <c r="Y37" s="9" t="str">
        <f t="shared" si="5"/>
        <v>a</v>
      </c>
      <c r="Z37" s="31">
        <f t="shared" si="3"/>
        <v>16.384000000000004</v>
      </c>
      <c r="AA37" s="31">
        <f t="shared" si="4"/>
        <v>16.384000000000004</v>
      </c>
    </row>
    <row r="38" spans="1:27" ht="13">
      <c r="A38" s="9">
        <v>36</v>
      </c>
      <c r="B38" s="4" t="s">
        <v>1078</v>
      </c>
      <c r="C38" s="51"/>
      <c r="D38" s="8">
        <v>5.03</v>
      </c>
      <c r="E38" s="8">
        <v>60.3</v>
      </c>
      <c r="F38" s="8"/>
      <c r="G38" s="5">
        <v>3.6</v>
      </c>
      <c r="H38" s="5">
        <v>3.6</v>
      </c>
      <c r="I38" s="4">
        <v>641</v>
      </c>
      <c r="J38" s="4">
        <v>259000</v>
      </c>
      <c r="K38" s="4">
        <v>8580</v>
      </c>
      <c r="L38" s="4">
        <v>11600</v>
      </c>
      <c r="M38" s="4">
        <v>20.100000000000001</v>
      </c>
      <c r="N38" s="4">
        <f t="shared" si="0"/>
        <v>408.07327408761967</v>
      </c>
      <c r="O38" s="4">
        <v>259000</v>
      </c>
      <c r="P38" s="4">
        <v>8580</v>
      </c>
      <c r="Q38" s="4">
        <v>11600</v>
      </c>
      <c r="R38" s="5">
        <v>20.100000000000001</v>
      </c>
      <c r="S38" s="4"/>
      <c r="T38" s="4">
        <v>517000</v>
      </c>
      <c r="V38" s="4">
        <f t="shared" si="1"/>
        <v>408.07327408761967</v>
      </c>
      <c r="W38" s="4"/>
      <c r="X38" s="9" t="str">
        <f t="shared" si="5"/>
        <v>a</v>
      </c>
      <c r="Y38" s="9" t="str">
        <f t="shared" si="5"/>
        <v>a</v>
      </c>
      <c r="Z38" s="31">
        <f t="shared" si="3"/>
        <v>23.328000000000003</v>
      </c>
      <c r="AA38" s="31">
        <f t="shared" si="4"/>
        <v>23.328000000000003</v>
      </c>
    </row>
    <row r="39" spans="1:27" ht="13">
      <c r="A39" s="9">
        <v>37</v>
      </c>
      <c r="B39" s="4" t="s">
        <v>1079</v>
      </c>
      <c r="C39" s="51"/>
      <c r="D39" s="8">
        <v>5.55</v>
      </c>
      <c r="E39" s="8">
        <v>60.3</v>
      </c>
      <c r="F39" s="8"/>
      <c r="G39" s="5">
        <v>4</v>
      </c>
      <c r="H39" s="5">
        <v>4</v>
      </c>
      <c r="I39" s="4">
        <v>707</v>
      </c>
      <c r="J39" s="4">
        <v>282000</v>
      </c>
      <c r="K39" s="4">
        <v>9340</v>
      </c>
      <c r="L39" s="4">
        <v>12700</v>
      </c>
      <c r="M39" s="4">
        <v>20</v>
      </c>
      <c r="N39" s="4">
        <f t="shared" si="0"/>
        <v>450.09017906388004</v>
      </c>
      <c r="O39" s="4">
        <v>282000</v>
      </c>
      <c r="P39" s="4">
        <v>9340</v>
      </c>
      <c r="Q39" s="4">
        <v>12700</v>
      </c>
      <c r="R39" s="5">
        <v>20</v>
      </c>
      <c r="S39" s="4"/>
      <c r="T39" s="4">
        <v>563000</v>
      </c>
      <c r="V39" s="4">
        <f t="shared" si="1"/>
        <v>450.09017906388004</v>
      </c>
      <c r="W39" s="4"/>
      <c r="X39" s="9" t="str">
        <f t="shared" si="5"/>
        <v>a</v>
      </c>
      <c r="Y39" s="9" t="str">
        <f t="shared" si="5"/>
        <v>a</v>
      </c>
      <c r="Z39" s="31">
        <f t="shared" si="3"/>
        <v>32</v>
      </c>
      <c r="AA39" s="31">
        <f t="shared" si="4"/>
        <v>32</v>
      </c>
    </row>
    <row r="40" spans="1:27" ht="13">
      <c r="A40" s="9">
        <v>38</v>
      </c>
      <c r="B40" s="4" t="s">
        <v>1080</v>
      </c>
      <c r="C40" s="51"/>
      <c r="D40" s="8">
        <v>6.19</v>
      </c>
      <c r="E40" s="8">
        <v>60.3</v>
      </c>
      <c r="F40" s="8"/>
      <c r="G40" s="5">
        <v>4.5</v>
      </c>
      <c r="H40" s="5">
        <v>4.5</v>
      </c>
      <c r="I40" s="4">
        <v>789</v>
      </c>
      <c r="J40" s="4">
        <v>309000</v>
      </c>
      <c r="K40" s="4">
        <v>10200</v>
      </c>
      <c r="L40" s="4">
        <v>14000</v>
      </c>
      <c r="M40" s="4">
        <v>19.8</v>
      </c>
      <c r="N40" s="4">
        <f t="shared" si="0"/>
        <v>502.29300039802172</v>
      </c>
      <c r="O40" s="4">
        <v>309000</v>
      </c>
      <c r="P40" s="4">
        <v>10200</v>
      </c>
      <c r="Q40" s="4">
        <v>14000</v>
      </c>
      <c r="R40" s="5">
        <v>19.8</v>
      </c>
      <c r="S40" s="4"/>
      <c r="T40" s="4">
        <v>618000</v>
      </c>
      <c r="V40" s="4">
        <f t="shared" si="1"/>
        <v>502.29300039802172</v>
      </c>
      <c r="W40" s="4"/>
      <c r="X40" s="9" t="str">
        <f t="shared" si="5"/>
        <v>a</v>
      </c>
      <c r="Y40" s="9" t="str">
        <f t="shared" si="5"/>
        <v>a</v>
      </c>
      <c r="Z40" s="31">
        <f t="shared" si="3"/>
        <v>45.5625</v>
      </c>
      <c r="AA40" s="31">
        <f t="shared" si="4"/>
        <v>45.5625</v>
      </c>
    </row>
    <row r="41" spans="1:27" ht="13">
      <c r="A41" s="9">
        <v>39</v>
      </c>
      <c r="B41" s="4" t="s">
        <v>1081</v>
      </c>
      <c r="C41" s="51"/>
      <c r="D41" s="8">
        <v>6.82</v>
      </c>
      <c r="E41" s="8">
        <v>60.3</v>
      </c>
      <c r="F41" s="8"/>
      <c r="G41" s="5">
        <v>5</v>
      </c>
      <c r="H41" s="5">
        <v>5</v>
      </c>
      <c r="I41" s="4">
        <v>869</v>
      </c>
      <c r="J41" s="4">
        <v>335000</v>
      </c>
      <c r="K41" s="4">
        <v>11100</v>
      </c>
      <c r="L41" s="4">
        <v>15300</v>
      </c>
      <c r="M41" s="4">
        <v>19.600000000000001</v>
      </c>
      <c r="N41" s="4">
        <f t="shared" si="0"/>
        <v>553.2225821874282</v>
      </c>
      <c r="O41" s="4">
        <v>335000</v>
      </c>
      <c r="P41" s="4">
        <v>11100</v>
      </c>
      <c r="Q41" s="4">
        <v>15300</v>
      </c>
      <c r="R41" s="5">
        <v>19.600000000000001</v>
      </c>
      <c r="S41" s="4"/>
      <c r="T41" s="4">
        <v>670000</v>
      </c>
      <c r="V41" s="4">
        <f t="shared" si="1"/>
        <v>553.2225821874282</v>
      </c>
      <c r="W41" s="4"/>
      <c r="X41" s="9" t="str">
        <f t="shared" si="5"/>
        <v>a</v>
      </c>
      <c r="Y41" s="9" t="str">
        <f t="shared" si="5"/>
        <v>a</v>
      </c>
      <c r="Z41" s="31">
        <f t="shared" si="3"/>
        <v>62.5</v>
      </c>
      <c r="AA41" s="31">
        <f t="shared" si="4"/>
        <v>62.5</v>
      </c>
    </row>
    <row r="42" spans="1:27" ht="13">
      <c r="A42" s="9">
        <v>40</v>
      </c>
      <c r="B42" s="4" t="s">
        <v>1082</v>
      </c>
      <c r="C42" s="51"/>
      <c r="D42" s="8">
        <v>7.55</v>
      </c>
      <c r="E42" s="8">
        <v>60.3</v>
      </c>
      <c r="F42" s="8"/>
      <c r="G42" s="5">
        <v>5.6</v>
      </c>
      <c r="H42" s="5">
        <v>5.6</v>
      </c>
      <c r="I42" s="4">
        <v>962</v>
      </c>
      <c r="J42" s="4">
        <v>364000</v>
      </c>
      <c r="K42" s="4">
        <v>12100</v>
      </c>
      <c r="L42" s="4">
        <v>16800</v>
      </c>
      <c r="M42" s="4">
        <v>19.399999999999999</v>
      </c>
      <c r="N42" s="4">
        <f t="shared" si="0"/>
        <v>612.42822101761328</v>
      </c>
      <c r="O42" s="4">
        <v>364000</v>
      </c>
      <c r="P42" s="4">
        <v>12100</v>
      </c>
      <c r="Q42" s="4">
        <v>16800</v>
      </c>
      <c r="R42" s="5">
        <v>19.399999999999999</v>
      </c>
      <c r="S42" s="4"/>
      <c r="T42" s="4">
        <v>727000</v>
      </c>
      <c r="V42" s="4">
        <f t="shared" si="1"/>
        <v>612.42822101761328</v>
      </c>
      <c r="W42" s="4"/>
      <c r="X42" s="9" t="str">
        <f t="shared" si="5"/>
        <v>a</v>
      </c>
      <c r="Y42" s="9" t="str">
        <f t="shared" si="5"/>
        <v>a</v>
      </c>
      <c r="Z42" s="31">
        <f t="shared" si="3"/>
        <v>87.807999999999979</v>
      </c>
      <c r="AA42" s="31">
        <f t="shared" si="4"/>
        <v>87.807999999999979</v>
      </c>
    </row>
    <row r="43" spans="1:27" ht="13">
      <c r="A43" s="9">
        <v>41</v>
      </c>
      <c r="B43" s="4" t="s">
        <v>1083</v>
      </c>
      <c r="C43" s="51"/>
      <c r="D43" s="8">
        <v>8.39</v>
      </c>
      <c r="E43" s="8">
        <v>60.3</v>
      </c>
      <c r="F43" s="8"/>
      <c r="G43" s="5">
        <v>6.3</v>
      </c>
      <c r="H43" s="5">
        <v>6.3</v>
      </c>
      <c r="I43" s="4">
        <v>1070</v>
      </c>
      <c r="J43" s="4">
        <v>395000</v>
      </c>
      <c r="K43" s="4">
        <v>13100</v>
      </c>
      <c r="L43" s="4">
        <v>18500</v>
      </c>
      <c r="M43" s="4">
        <v>19.2</v>
      </c>
      <c r="N43" s="4">
        <f t="shared" si="0"/>
        <v>681.18315643331209</v>
      </c>
      <c r="O43" s="4">
        <v>395000</v>
      </c>
      <c r="P43" s="4">
        <v>13100</v>
      </c>
      <c r="Q43" s="4">
        <v>18500</v>
      </c>
      <c r="R43" s="5">
        <v>19.2</v>
      </c>
      <c r="S43" s="4"/>
      <c r="T43" s="4">
        <v>790000</v>
      </c>
      <c r="V43" s="4">
        <f t="shared" si="1"/>
        <v>681.18315643331209</v>
      </c>
      <c r="W43" s="4"/>
      <c r="X43" s="9" t="str">
        <f t="shared" ref="X43:Y62" si="6">IF(fy=460,"a0","a")</f>
        <v>a</v>
      </c>
      <c r="Y43" s="9" t="str">
        <f t="shared" si="6"/>
        <v>a</v>
      </c>
      <c r="Z43" s="31">
        <f t="shared" si="3"/>
        <v>125.02349999999998</v>
      </c>
      <c r="AA43" s="31">
        <f t="shared" si="4"/>
        <v>125.02349999999998</v>
      </c>
    </row>
    <row r="44" spans="1:27" ht="13">
      <c r="A44" s="9">
        <v>42</v>
      </c>
      <c r="B44" s="4" t="s">
        <v>1084</v>
      </c>
      <c r="C44" s="51"/>
      <c r="D44" s="8">
        <v>10.3</v>
      </c>
      <c r="E44" s="8">
        <v>60.3</v>
      </c>
      <c r="F44" s="8"/>
      <c r="G44" s="5">
        <v>8</v>
      </c>
      <c r="H44" s="5">
        <v>8</v>
      </c>
      <c r="I44" s="4">
        <v>1310</v>
      </c>
      <c r="J44" s="4">
        <v>460000</v>
      </c>
      <c r="K44" s="4">
        <v>15300</v>
      </c>
      <c r="L44" s="4">
        <v>22100</v>
      </c>
      <c r="M44" s="4">
        <v>18.7</v>
      </c>
      <c r="N44" s="4">
        <f t="shared" si="0"/>
        <v>833.97190180153154</v>
      </c>
      <c r="O44" s="4">
        <v>460000</v>
      </c>
      <c r="P44" s="4">
        <v>15300</v>
      </c>
      <c r="Q44" s="4">
        <v>22100</v>
      </c>
      <c r="R44" s="5">
        <v>18.7</v>
      </c>
      <c r="S44" s="4"/>
      <c r="T44" s="4">
        <v>920000</v>
      </c>
      <c r="V44" s="4">
        <f t="shared" si="1"/>
        <v>833.97190180153154</v>
      </c>
      <c r="W44" s="4"/>
      <c r="X44" s="9" t="str">
        <f t="shared" si="6"/>
        <v>a</v>
      </c>
      <c r="Y44" s="9" t="str">
        <f t="shared" si="6"/>
        <v>a</v>
      </c>
      <c r="Z44" s="31">
        <f t="shared" si="3"/>
        <v>256</v>
      </c>
      <c r="AA44" s="31">
        <f t="shared" si="4"/>
        <v>256</v>
      </c>
    </row>
    <row r="45" spans="1:27" ht="13">
      <c r="A45" s="9">
        <v>43</v>
      </c>
      <c r="B45" s="4" t="s">
        <v>1085</v>
      </c>
      <c r="C45" s="51"/>
      <c r="D45" s="8">
        <v>4.71</v>
      </c>
      <c r="E45" s="8">
        <v>76.099999999999994</v>
      </c>
      <c r="F45" s="8"/>
      <c r="G45" s="5">
        <v>2.6</v>
      </c>
      <c r="H45" s="5">
        <v>2.6</v>
      </c>
      <c r="I45" s="4">
        <v>600</v>
      </c>
      <c r="J45" s="4">
        <v>406000</v>
      </c>
      <c r="K45" s="4">
        <v>10700</v>
      </c>
      <c r="L45" s="4">
        <v>14100</v>
      </c>
      <c r="M45" s="4">
        <v>26</v>
      </c>
      <c r="N45" s="4">
        <f t="shared" si="0"/>
        <v>381.9718634205488</v>
      </c>
      <c r="O45" s="4">
        <v>406000</v>
      </c>
      <c r="P45" s="4">
        <v>10700</v>
      </c>
      <c r="Q45" s="4">
        <v>14100</v>
      </c>
      <c r="R45" s="5">
        <v>26</v>
      </c>
      <c r="S45" s="4"/>
      <c r="T45" s="4">
        <v>812000</v>
      </c>
      <c r="V45" s="4">
        <f t="shared" si="1"/>
        <v>381.9718634205488</v>
      </c>
      <c r="W45" s="4"/>
      <c r="X45" s="9" t="str">
        <f t="shared" si="6"/>
        <v>a</v>
      </c>
      <c r="Y45" s="9" t="str">
        <f t="shared" si="6"/>
        <v>a</v>
      </c>
      <c r="Z45" s="31">
        <f t="shared" si="3"/>
        <v>8.788000000000002</v>
      </c>
      <c r="AA45" s="31">
        <f t="shared" si="4"/>
        <v>8.788000000000002</v>
      </c>
    </row>
    <row r="46" spans="1:27" ht="13">
      <c r="A46" s="9">
        <v>44</v>
      </c>
      <c r="B46" s="4" t="s">
        <v>1086</v>
      </c>
      <c r="C46" s="51"/>
      <c r="D46" s="8">
        <v>5.24</v>
      </c>
      <c r="E46" s="8">
        <v>76.099999999999994</v>
      </c>
      <c r="F46" s="8"/>
      <c r="G46" s="5">
        <v>2.9</v>
      </c>
      <c r="H46" s="5">
        <v>2.9</v>
      </c>
      <c r="I46" s="4">
        <v>667</v>
      </c>
      <c r="J46" s="4">
        <v>447000</v>
      </c>
      <c r="K46" s="4">
        <v>11800</v>
      </c>
      <c r="L46" s="4">
        <v>15500</v>
      </c>
      <c r="M46" s="4">
        <v>25.9</v>
      </c>
      <c r="N46" s="4">
        <f t="shared" si="0"/>
        <v>424.62538816917674</v>
      </c>
      <c r="O46" s="4">
        <v>447000</v>
      </c>
      <c r="P46" s="4">
        <v>11800</v>
      </c>
      <c r="Q46" s="4">
        <v>15500</v>
      </c>
      <c r="R46" s="5">
        <v>25.9</v>
      </c>
      <c r="S46" s="4"/>
      <c r="T46" s="4">
        <v>895000</v>
      </c>
      <c r="V46" s="4">
        <f t="shared" si="1"/>
        <v>424.62538816917674</v>
      </c>
      <c r="W46" s="4"/>
      <c r="X46" s="9" t="str">
        <f t="shared" si="6"/>
        <v>a</v>
      </c>
      <c r="Y46" s="9" t="str">
        <f t="shared" si="6"/>
        <v>a</v>
      </c>
      <c r="Z46" s="31">
        <f t="shared" si="3"/>
        <v>12.1945</v>
      </c>
      <c r="AA46" s="31">
        <f t="shared" si="4"/>
        <v>12.1945</v>
      </c>
    </row>
    <row r="47" spans="1:27" ht="13">
      <c r="A47" s="9">
        <v>45</v>
      </c>
      <c r="B47" s="4" t="s">
        <v>1087</v>
      </c>
      <c r="C47" s="51"/>
      <c r="D47" s="8">
        <v>5.75</v>
      </c>
      <c r="E47" s="8">
        <v>76.099999999999994</v>
      </c>
      <c r="F47" s="8"/>
      <c r="G47" s="5">
        <v>3.2</v>
      </c>
      <c r="H47" s="5">
        <v>3.2</v>
      </c>
      <c r="I47" s="4">
        <v>733</v>
      </c>
      <c r="J47" s="4">
        <v>488000</v>
      </c>
      <c r="K47" s="4">
        <v>12800</v>
      </c>
      <c r="L47" s="4">
        <v>17000</v>
      </c>
      <c r="M47" s="4">
        <v>25.8</v>
      </c>
      <c r="N47" s="4">
        <f t="shared" si="0"/>
        <v>466.64229314543712</v>
      </c>
      <c r="O47" s="4">
        <v>488000</v>
      </c>
      <c r="P47" s="4">
        <v>12800</v>
      </c>
      <c r="Q47" s="4">
        <v>17000</v>
      </c>
      <c r="R47" s="5">
        <v>25.8</v>
      </c>
      <c r="S47" s="4"/>
      <c r="T47" s="4">
        <v>976000</v>
      </c>
      <c r="V47" s="4">
        <f t="shared" si="1"/>
        <v>466.64229314543712</v>
      </c>
      <c r="W47" s="4"/>
      <c r="X47" s="9" t="str">
        <f t="shared" si="6"/>
        <v>a</v>
      </c>
      <c r="Y47" s="9" t="str">
        <f t="shared" si="6"/>
        <v>a</v>
      </c>
      <c r="Z47" s="31">
        <f t="shared" si="3"/>
        <v>16.384000000000004</v>
      </c>
      <c r="AA47" s="31">
        <f t="shared" si="4"/>
        <v>16.384000000000004</v>
      </c>
    </row>
    <row r="48" spans="1:27" ht="13">
      <c r="A48" s="9">
        <v>46</v>
      </c>
      <c r="B48" s="4" t="s">
        <v>1088</v>
      </c>
      <c r="C48" s="51"/>
      <c r="D48" s="8">
        <v>6.44</v>
      </c>
      <c r="E48" s="8">
        <v>76.099999999999994</v>
      </c>
      <c r="F48" s="8"/>
      <c r="G48" s="5">
        <v>3.6</v>
      </c>
      <c r="H48" s="5">
        <v>3.6</v>
      </c>
      <c r="I48" s="4">
        <v>820</v>
      </c>
      <c r="J48" s="4">
        <v>540000</v>
      </c>
      <c r="K48" s="4">
        <v>14200</v>
      </c>
      <c r="L48" s="4">
        <v>18900</v>
      </c>
      <c r="M48" s="4">
        <v>25.7</v>
      </c>
      <c r="N48" s="4">
        <f t="shared" si="0"/>
        <v>522.02821334141674</v>
      </c>
      <c r="O48" s="4">
        <v>540000</v>
      </c>
      <c r="P48" s="4">
        <v>14200</v>
      </c>
      <c r="Q48" s="4">
        <v>18900</v>
      </c>
      <c r="R48" s="5">
        <v>25.7</v>
      </c>
      <c r="S48" s="4"/>
      <c r="T48" s="4">
        <v>1080000</v>
      </c>
      <c r="V48" s="4">
        <f t="shared" si="1"/>
        <v>522.02821334141674</v>
      </c>
      <c r="W48" s="4"/>
      <c r="X48" s="9" t="str">
        <f t="shared" si="6"/>
        <v>a</v>
      </c>
      <c r="Y48" s="9" t="str">
        <f t="shared" si="6"/>
        <v>a</v>
      </c>
      <c r="Z48" s="31">
        <f t="shared" si="3"/>
        <v>23.328000000000003</v>
      </c>
      <c r="AA48" s="31">
        <f t="shared" si="4"/>
        <v>23.328000000000003</v>
      </c>
    </row>
    <row r="49" spans="1:27" ht="13">
      <c r="A49" s="9">
        <v>47</v>
      </c>
      <c r="B49" s="4" t="s">
        <v>1089</v>
      </c>
      <c r="C49" s="51"/>
      <c r="D49" s="8">
        <v>7.11</v>
      </c>
      <c r="E49" s="8">
        <v>76.099999999999994</v>
      </c>
      <c r="F49" s="8"/>
      <c r="G49" s="5">
        <v>4</v>
      </c>
      <c r="H49" s="5">
        <v>4</v>
      </c>
      <c r="I49" s="4">
        <v>906</v>
      </c>
      <c r="J49" s="4">
        <v>591000</v>
      </c>
      <c r="K49" s="4">
        <v>15500</v>
      </c>
      <c r="L49" s="4">
        <v>20800</v>
      </c>
      <c r="M49" s="4">
        <v>25.5</v>
      </c>
      <c r="N49" s="4">
        <f t="shared" si="0"/>
        <v>576.77751376502874</v>
      </c>
      <c r="O49" s="4">
        <v>591000</v>
      </c>
      <c r="P49" s="4">
        <v>15500</v>
      </c>
      <c r="Q49" s="4">
        <v>20800</v>
      </c>
      <c r="R49" s="5">
        <v>25.5</v>
      </c>
      <c r="S49" s="4"/>
      <c r="T49" s="4">
        <v>1180000</v>
      </c>
      <c r="V49" s="4">
        <f t="shared" si="1"/>
        <v>576.77751376502874</v>
      </c>
      <c r="W49" s="4"/>
      <c r="X49" s="9" t="str">
        <f t="shared" si="6"/>
        <v>a</v>
      </c>
      <c r="Y49" s="9" t="str">
        <f t="shared" si="6"/>
        <v>a</v>
      </c>
      <c r="Z49" s="31">
        <f t="shared" si="3"/>
        <v>32</v>
      </c>
      <c r="AA49" s="31">
        <f t="shared" si="4"/>
        <v>32</v>
      </c>
    </row>
    <row r="50" spans="1:27" ht="13">
      <c r="A50" s="9">
        <v>48</v>
      </c>
      <c r="B50" s="4" t="s">
        <v>1090</v>
      </c>
      <c r="C50" s="51"/>
      <c r="D50" s="8">
        <v>7.95</v>
      </c>
      <c r="E50" s="8">
        <v>76.099999999999994</v>
      </c>
      <c r="F50" s="8"/>
      <c r="G50" s="5">
        <v>4.5</v>
      </c>
      <c r="H50" s="5">
        <v>4.5</v>
      </c>
      <c r="I50" s="4">
        <v>1010</v>
      </c>
      <c r="J50" s="4">
        <v>651000</v>
      </c>
      <c r="K50" s="4">
        <v>17100</v>
      </c>
      <c r="L50" s="4">
        <v>23100</v>
      </c>
      <c r="M50" s="4">
        <v>25.4</v>
      </c>
      <c r="N50" s="4">
        <f t="shared" si="0"/>
        <v>642.98597009125717</v>
      </c>
      <c r="O50" s="4">
        <v>651000</v>
      </c>
      <c r="P50" s="4">
        <v>17100</v>
      </c>
      <c r="Q50" s="4">
        <v>23100</v>
      </c>
      <c r="R50" s="5">
        <v>25.4</v>
      </c>
      <c r="S50" s="4"/>
      <c r="T50" s="4">
        <v>1300000</v>
      </c>
      <c r="V50" s="4">
        <f t="shared" si="1"/>
        <v>642.98597009125717</v>
      </c>
      <c r="W50" s="4"/>
      <c r="X50" s="9" t="str">
        <f t="shared" si="6"/>
        <v>a</v>
      </c>
      <c r="Y50" s="9" t="str">
        <f t="shared" si="6"/>
        <v>a</v>
      </c>
      <c r="Z50" s="31">
        <f t="shared" si="3"/>
        <v>45.5625</v>
      </c>
      <c r="AA50" s="31">
        <f t="shared" si="4"/>
        <v>45.5625</v>
      </c>
    </row>
    <row r="51" spans="1:27" ht="13">
      <c r="A51" s="9">
        <v>49</v>
      </c>
      <c r="B51" s="4" t="s">
        <v>1091</v>
      </c>
      <c r="C51" s="51"/>
      <c r="D51" s="8">
        <v>8.77</v>
      </c>
      <c r="E51" s="8">
        <v>76.099999999999994</v>
      </c>
      <c r="F51" s="8"/>
      <c r="G51" s="5">
        <v>5</v>
      </c>
      <c r="H51" s="5">
        <v>5</v>
      </c>
      <c r="I51" s="4">
        <v>1120</v>
      </c>
      <c r="J51" s="4">
        <v>709000</v>
      </c>
      <c r="K51" s="4">
        <v>18600</v>
      </c>
      <c r="L51" s="4">
        <v>25300</v>
      </c>
      <c r="M51" s="4">
        <v>25.2</v>
      </c>
      <c r="N51" s="4">
        <f t="shared" si="0"/>
        <v>713.01414505169112</v>
      </c>
      <c r="O51" s="4">
        <v>709000</v>
      </c>
      <c r="P51" s="4">
        <v>18600</v>
      </c>
      <c r="Q51" s="4">
        <v>25300</v>
      </c>
      <c r="R51" s="5">
        <v>25.2</v>
      </c>
      <c r="S51" s="4"/>
      <c r="T51" s="4">
        <v>1420000</v>
      </c>
      <c r="V51" s="4">
        <f t="shared" si="1"/>
        <v>713.01414505169112</v>
      </c>
      <c r="W51" s="4"/>
      <c r="X51" s="9" t="str">
        <f t="shared" si="6"/>
        <v>a</v>
      </c>
      <c r="Y51" s="9" t="str">
        <f t="shared" si="6"/>
        <v>a</v>
      </c>
      <c r="Z51" s="31">
        <f t="shared" si="3"/>
        <v>62.5</v>
      </c>
      <c r="AA51" s="31">
        <f t="shared" si="4"/>
        <v>62.5</v>
      </c>
    </row>
    <row r="52" spans="1:27" ht="13">
      <c r="A52" s="9">
        <v>50</v>
      </c>
      <c r="B52" s="4" t="s">
        <v>1092</v>
      </c>
      <c r="C52" s="51"/>
      <c r="D52" s="8">
        <v>9.74</v>
      </c>
      <c r="E52" s="8">
        <v>76.099999999999994</v>
      </c>
      <c r="F52" s="8"/>
      <c r="G52" s="5">
        <v>5.6</v>
      </c>
      <c r="H52" s="5">
        <v>5.6</v>
      </c>
      <c r="I52" s="4">
        <v>1240</v>
      </c>
      <c r="J52" s="4">
        <v>775000</v>
      </c>
      <c r="K52" s="4">
        <v>20400</v>
      </c>
      <c r="L52" s="4">
        <v>27900</v>
      </c>
      <c r="M52" s="4">
        <v>25</v>
      </c>
      <c r="N52" s="4">
        <f t="shared" si="0"/>
        <v>789.40851773580084</v>
      </c>
      <c r="O52" s="4">
        <v>775000</v>
      </c>
      <c r="P52" s="4">
        <v>20400</v>
      </c>
      <c r="Q52" s="4">
        <v>27900</v>
      </c>
      <c r="R52" s="5">
        <v>25</v>
      </c>
      <c r="S52" s="4"/>
      <c r="T52" s="4">
        <v>1550000</v>
      </c>
      <c r="V52" s="4">
        <f t="shared" si="1"/>
        <v>789.40851773580084</v>
      </c>
      <c r="W52" s="4"/>
      <c r="X52" s="9" t="str">
        <f t="shared" si="6"/>
        <v>a</v>
      </c>
      <c r="Y52" s="9" t="str">
        <f t="shared" si="6"/>
        <v>a</v>
      </c>
      <c r="Z52" s="31">
        <f t="shared" si="3"/>
        <v>87.807999999999979</v>
      </c>
      <c r="AA52" s="31">
        <f t="shared" si="4"/>
        <v>87.807999999999979</v>
      </c>
    </row>
    <row r="53" spans="1:27" ht="13">
      <c r="A53" s="9">
        <v>51</v>
      </c>
      <c r="B53" s="4" t="s">
        <v>1093</v>
      </c>
      <c r="C53" s="51"/>
      <c r="D53" s="8">
        <v>10.8</v>
      </c>
      <c r="E53" s="8">
        <v>76.099999999999994</v>
      </c>
      <c r="F53" s="8"/>
      <c r="G53" s="5">
        <v>6.3</v>
      </c>
      <c r="H53" s="5">
        <v>6.3</v>
      </c>
      <c r="I53" s="4">
        <v>1380</v>
      </c>
      <c r="J53" s="4">
        <v>848000</v>
      </c>
      <c r="K53" s="4">
        <v>22300</v>
      </c>
      <c r="L53" s="4">
        <v>30800</v>
      </c>
      <c r="M53" s="4">
        <v>24.8</v>
      </c>
      <c r="N53" s="4">
        <f t="shared" si="0"/>
        <v>878.53528586726225</v>
      </c>
      <c r="O53" s="4">
        <v>848000</v>
      </c>
      <c r="P53" s="4">
        <v>22300</v>
      </c>
      <c r="Q53" s="4">
        <v>30800</v>
      </c>
      <c r="R53" s="5">
        <v>24.8</v>
      </c>
      <c r="S53" s="4"/>
      <c r="T53" s="4">
        <v>1700000</v>
      </c>
      <c r="V53" s="4">
        <f t="shared" si="1"/>
        <v>878.53528586726225</v>
      </c>
      <c r="W53" s="4"/>
      <c r="X53" s="9" t="str">
        <f t="shared" si="6"/>
        <v>a</v>
      </c>
      <c r="Y53" s="9" t="str">
        <f t="shared" si="6"/>
        <v>a</v>
      </c>
      <c r="Z53" s="31">
        <f t="shared" si="3"/>
        <v>125.02349999999998</v>
      </c>
      <c r="AA53" s="31">
        <f t="shared" si="4"/>
        <v>125.02349999999998</v>
      </c>
    </row>
    <row r="54" spans="1:27" ht="13">
      <c r="A54" s="9">
        <v>52</v>
      </c>
      <c r="B54" s="4" t="s">
        <v>1094</v>
      </c>
      <c r="C54" s="51"/>
      <c r="D54" s="8">
        <v>13.4</v>
      </c>
      <c r="E54" s="8">
        <v>76.099999999999994</v>
      </c>
      <c r="F54" s="8"/>
      <c r="G54" s="5">
        <v>8</v>
      </c>
      <c r="H54" s="5">
        <v>8</v>
      </c>
      <c r="I54" s="4">
        <v>1710</v>
      </c>
      <c r="J54" s="4">
        <v>1010000</v>
      </c>
      <c r="K54" s="4">
        <v>26400</v>
      </c>
      <c r="L54" s="4">
        <v>37300</v>
      </c>
      <c r="M54" s="4">
        <v>24.2</v>
      </c>
      <c r="N54" s="4">
        <f t="shared" si="0"/>
        <v>1088.6198107485641</v>
      </c>
      <c r="O54" s="4">
        <v>1010000</v>
      </c>
      <c r="P54" s="4">
        <v>26400</v>
      </c>
      <c r="Q54" s="4">
        <v>37300</v>
      </c>
      <c r="R54" s="5">
        <v>24.2</v>
      </c>
      <c r="S54" s="4"/>
      <c r="T54" s="4">
        <v>2010000</v>
      </c>
      <c r="V54" s="4">
        <f t="shared" si="1"/>
        <v>1088.6198107485641</v>
      </c>
      <c r="W54" s="4"/>
      <c r="X54" s="9" t="str">
        <f t="shared" si="6"/>
        <v>a</v>
      </c>
      <c r="Y54" s="9" t="str">
        <f t="shared" si="6"/>
        <v>a</v>
      </c>
      <c r="Z54" s="31">
        <f t="shared" si="3"/>
        <v>256</v>
      </c>
      <c r="AA54" s="31">
        <f t="shared" si="4"/>
        <v>256</v>
      </c>
    </row>
    <row r="55" spans="1:27" ht="13">
      <c r="A55" s="9">
        <v>53</v>
      </c>
      <c r="B55" s="4" t="s">
        <v>1095</v>
      </c>
      <c r="C55" s="51"/>
      <c r="D55" s="8">
        <v>6.15</v>
      </c>
      <c r="E55" s="8">
        <v>88.9</v>
      </c>
      <c r="F55" s="8"/>
      <c r="G55" s="5">
        <v>2.9</v>
      </c>
      <c r="H55" s="5">
        <v>2.9</v>
      </c>
      <c r="I55" s="4">
        <v>784</v>
      </c>
      <c r="J55" s="4">
        <v>725000</v>
      </c>
      <c r="K55" s="4">
        <v>16300</v>
      </c>
      <c r="L55" s="4">
        <v>21500</v>
      </c>
      <c r="M55" s="4">
        <v>30.4</v>
      </c>
      <c r="N55" s="4">
        <f t="shared" si="0"/>
        <v>499.10990153618377</v>
      </c>
      <c r="O55" s="4">
        <v>725000</v>
      </c>
      <c r="P55" s="4">
        <v>16300</v>
      </c>
      <c r="Q55" s="4">
        <v>21500</v>
      </c>
      <c r="R55" s="5">
        <v>30.4</v>
      </c>
      <c r="S55" s="4"/>
      <c r="T55" s="4">
        <v>1450000</v>
      </c>
      <c r="V55" s="4">
        <f t="shared" si="1"/>
        <v>499.10990153618377</v>
      </c>
      <c r="W55" s="4"/>
      <c r="X55" s="9" t="str">
        <f t="shared" si="6"/>
        <v>a</v>
      </c>
      <c r="Y55" s="9" t="str">
        <f t="shared" si="6"/>
        <v>a</v>
      </c>
      <c r="Z55" s="31">
        <f t="shared" si="3"/>
        <v>12.1945</v>
      </c>
      <c r="AA55" s="31">
        <f t="shared" si="4"/>
        <v>12.1945</v>
      </c>
    </row>
    <row r="56" spans="1:27" ht="13">
      <c r="A56" s="9">
        <v>54</v>
      </c>
      <c r="B56" s="4" t="s">
        <v>1096</v>
      </c>
      <c r="C56" s="51"/>
      <c r="D56" s="8">
        <v>6.76</v>
      </c>
      <c r="E56" s="8">
        <v>88.9</v>
      </c>
      <c r="F56" s="8"/>
      <c r="G56" s="5">
        <v>3.2</v>
      </c>
      <c r="H56" s="5">
        <v>3.2</v>
      </c>
      <c r="I56" s="4">
        <v>862</v>
      </c>
      <c r="J56" s="4">
        <v>792000</v>
      </c>
      <c r="K56" s="4">
        <v>17800</v>
      </c>
      <c r="L56" s="4">
        <v>23500</v>
      </c>
      <c r="M56" s="4">
        <v>30.3</v>
      </c>
      <c r="N56" s="4">
        <f t="shared" si="0"/>
        <v>548.76624378085512</v>
      </c>
      <c r="O56" s="4">
        <v>792000</v>
      </c>
      <c r="P56" s="4">
        <v>17800</v>
      </c>
      <c r="Q56" s="4">
        <v>23500</v>
      </c>
      <c r="R56" s="5">
        <v>30.3</v>
      </c>
      <c r="S56" s="4"/>
      <c r="T56" s="4">
        <v>1580000</v>
      </c>
      <c r="V56" s="4">
        <f t="shared" si="1"/>
        <v>548.76624378085512</v>
      </c>
      <c r="W56" s="4"/>
      <c r="X56" s="9" t="str">
        <f t="shared" si="6"/>
        <v>a</v>
      </c>
      <c r="Y56" s="9" t="str">
        <f t="shared" si="6"/>
        <v>a</v>
      </c>
      <c r="Z56" s="31">
        <f t="shared" si="3"/>
        <v>16.384000000000004</v>
      </c>
      <c r="AA56" s="31">
        <f t="shared" si="4"/>
        <v>16.384000000000004</v>
      </c>
    </row>
    <row r="57" spans="1:27" ht="13">
      <c r="A57" s="9">
        <v>55</v>
      </c>
      <c r="B57" s="4" t="s">
        <v>1097</v>
      </c>
      <c r="C57" s="51"/>
      <c r="D57" s="8">
        <v>7.57</v>
      </c>
      <c r="E57" s="8">
        <v>88.9</v>
      </c>
      <c r="F57" s="8"/>
      <c r="G57" s="5">
        <v>3.6</v>
      </c>
      <c r="H57" s="5">
        <v>3.6</v>
      </c>
      <c r="I57" s="4">
        <v>965</v>
      </c>
      <c r="J57" s="4">
        <v>879000</v>
      </c>
      <c r="K57" s="4">
        <v>19800</v>
      </c>
      <c r="L57" s="4">
        <v>26200</v>
      </c>
      <c r="M57" s="4">
        <v>30.2</v>
      </c>
      <c r="N57" s="4">
        <f t="shared" si="0"/>
        <v>614.33808033471598</v>
      </c>
      <c r="O57" s="4">
        <v>879000</v>
      </c>
      <c r="P57" s="4">
        <v>19800</v>
      </c>
      <c r="Q57" s="4">
        <v>26200</v>
      </c>
      <c r="R57" s="5">
        <v>30.2</v>
      </c>
      <c r="S57" s="4"/>
      <c r="T57" s="4">
        <v>1760000</v>
      </c>
      <c r="V57" s="4">
        <f t="shared" si="1"/>
        <v>614.33808033471598</v>
      </c>
      <c r="W57" s="4"/>
      <c r="X57" s="9" t="str">
        <f t="shared" si="6"/>
        <v>a</v>
      </c>
      <c r="Y57" s="9" t="str">
        <f t="shared" si="6"/>
        <v>a</v>
      </c>
      <c r="Z57" s="31">
        <f t="shared" si="3"/>
        <v>23.328000000000003</v>
      </c>
      <c r="AA57" s="31">
        <f t="shared" si="4"/>
        <v>23.328000000000003</v>
      </c>
    </row>
    <row r="58" spans="1:27" ht="13">
      <c r="A58" s="9">
        <v>56</v>
      </c>
      <c r="B58" s="4" t="s">
        <v>1098</v>
      </c>
      <c r="C58" s="51"/>
      <c r="D58" s="8">
        <v>8.3800000000000008</v>
      </c>
      <c r="E58" s="8">
        <v>88.9</v>
      </c>
      <c r="F58" s="8"/>
      <c r="G58" s="5">
        <v>4</v>
      </c>
      <c r="H58" s="5">
        <v>4</v>
      </c>
      <c r="I58" s="4">
        <v>1070</v>
      </c>
      <c r="J58" s="4">
        <v>963000</v>
      </c>
      <c r="K58" s="4">
        <v>21700</v>
      </c>
      <c r="L58" s="4">
        <v>28900</v>
      </c>
      <c r="M58" s="4">
        <v>30</v>
      </c>
      <c r="N58" s="4">
        <f t="shared" si="0"/>
        <v>681.18315643331209</v>
      </c>
      <c r="O58" s="4">
        <v>963000</v>
      </c>
      <c r="P58" s="4">
        <v>21700</v>
      </c>
      <c r="Q58" s="4">
        <v>28900</v>
      </c>
      <c r="R58" s="5">
        <v>30</v>
      </c>
      <c r="S58" s="4"/>
      <c r="T58" s="4">
        <v>1930000</v>
      </c>
      <c r="V58" s="4">
        <f t="shared" si="1"/>
        <v>681.18315643331209</v>
      </c>
      <c r="W58" s="4"/>
      <c r="X58" s="9" t="str">
        <f t="shared" si="6"/>
        <v>a</v>
      </c>
      <c r="Y58" s="9" t="str">
        <f t="shared" si="6"/>
        <v>a</v>
      </c>
      <c r="Z58" s="31">
        <f t="shared" si="3"/>
        <v>32</v>
      </c>
      <c r="AA58" s="31">
        <f t="shared" si="4"/>
        <v>32</v>
      </c>
    </row>
    <row r="59" spans="1:27" ht="13">
      <c r="A59" s="9">
        <v>57</v>
      </c>
      <c r="B59" s="4" t="s">
        <v>1099</v>
      </c>
      <c r="C59" s="51"/>
      <c r="D59" s="8">
        <v>9.3699999999999992</v>
      </c>
      <c r="E59" s="8">
        <v>88.9</v>
      </c>
      <c r="F59" s="8"/>
      <c r="G59" s="5">
        <v>4.5</v>
      </c>
      <c r="H59" s="5">
        <v>4.5</v>
      </c>
      <c r="I59" s="4">
        <v>1190</v>
      </c>
      <c r="J59" s="4">
        <v>1070000</v>
      </c>
      <c r="K59" s="4">
        <v>24000</v>
      </c>
      <c r="L59" s="4">
        <v>32100</v>
      </c>
      <c r="M59" s="4">
        <v>29.9</v>
      </c>
      <c r="N59" s="4">
        <f t="shared" si="0"/>
        <v>757.57752911742182</v>
      </c>
      <c r="O59" s="4">
        <v>1070000</v>
      </c>
      <c r="P59" s="4">
        <v>24000</v>
      </c>
      <c r="Q59" s="4">
        <v>32100</v>
      </c>
      <c r="R59" s="5">
        <v>29.9</v>
      </c>
      <c r="S59" s="4"/>
      <c r="T59" s="4">
        <v>2130000</v>
      </c>
      <c r="V59" s="4">
        <f t="shared" si="1"/>
        <v>757.57752911742182</v>
      </c>
      <c r="W59" s="4"/>
      <c r="X59" s="9" t="str">
        <f t="shared" si="6"/>
        <v>a</v>
      </c>
      <c r="Y59" s="9" t="str">
        <f t="shared" si="6"/>
        <v>a</v>
      </c>
      <c r="Z59" s="31">
        <f t="shared" si="3"/>
        <v>45.5625</v>
      </c>
      <c r="AA59" s="31">
        <f t="shared" si="4"/>
        <v>45.5625</v>
      </c>
    </row>
    <row r="60" spans="1:27" ht="13">
      <c r="A60" s="9">
        <v>58</v>
      </c>
      <c r="B60" s="4" t="s">
        <v>1100</v>
      </c>
      <c r="C60" s="51"/>
      <c r="D60" s="8">
        <v>10.3</v>
      </c>
      <c r="E60" s="8">
        <v>88.9</v>
      </c>
      <c r="F60" s="8"/>
      <c r="G60" s="5">
        <v>5</v>
      </c>
      <c r="H60" s="5">
        <v>5</v>
      </c>
      <c r="I60" s="4">
        <v>1320</v>
      </c>
      <c r="J60" s="4">
        <v>1160000</v>
      </c>
      <c r="K60" s="4">
        <v>26200</v>
      </c>
      <c r="L60" s="4">
        <v>35200</v>
      </c>
      <c r="M60" s="4">
        <v>29.7</v>
      </c>
      <c r="N60" s="4">
        <f t="shared" si="0"/>
        <v>840.33809952520744</v>
      </c>
      <c r="O60" s="4">
        <v>1160000</v>
      </c>
      <c r="P60" s="4">
        <v>26200</v>
      </c>
      <c r="Q60" s="4">
        <v>35200</v>
      </c>
      <c r="R60" s="5">
        <v>29.7</v>
      </c>
      <c r="S60" s="4"/>
      <c r="T60" s="4">
        <v>2330000</v>
      </c>
      <c r="V60" s="4">
        <f t="shared" si="1"/>
        <v>840.33809952520744</v>
      </c>
      <c r="W60" s="4"/>
      <c r="X60" s="9" t="str">
        <f t="shared" si="6"/>
        <v>a</v>
      </c>
      <c r="Y60" s="9" t="str">
        <f t="shared" si="6"/>
        <v>a</v>
      </c>
      <c r="Z60" s="31">
        <f t="shared" si="3"/>
        <v>62.5</v>
      </c>
      <c r="AA60" s="31">
        <f t="shared" si="4"/>
        <v>62.5</v>
      </c>
    </row>
    <row r="61" spans="1:27" ht="13">
      <c r="A61" s="9">
        <v>59</v>
      </c>
      <c r="B61" s="4" t="s">
        <v>1101</v>
      </c>
      <c r="C61" s="51"/>
      <c r="D61" s="8">
        <v>11.5</v>
      </c>
      <c r="E61" s="8">
        <v>88.9</v>
      </c>
      <c r="F61" s="8"/>
      <c r="G61" s="5">
        <v>5.6</v>
      </c>
      <c r="H61" s="5">
        <v>5.6</v>
      </c>
      <c r="I61" s="4">
        <v>1470</v>
      </c>
      <c r="J61" s="4">
        <v>1280000</v>
      </c>
      <c r="K61" s="4">
        <v>28700</v>
      </c>
      <c r="L61" s="4">
        <v>38900</v>
      </c>
      <c r="M61" s="4">
        <v>29.5</v>
      </c>
      <c r="N61" s="4">
        <f t="shared" si="0"/>
        <v>935.83106538034463</v>
      </c>
      <c r="O61" s="4">
        <v>1280000</v>
      </c>
      <c r="P61" s="4">
        <v>28700</v>
      </c>
      <c r="Q61" s="4">
        <v>38900</v>
      </c>
      <c r="R61" s="5">
        <v>29.5</v>
      </c>
      <c r="S61" s="4"/>
      <c r="T61" s="4">
        <v>2550000</v>
      </c>
      <c r="V61" s="4">
        <f t="shared" si="1"/>
        <v>935.83106538034463</v>
      </c>
      <c r="W61" s="4"/>
      <c r="X61" s="9" t="str">
        <f t="shared" si="6"/>
        <v>a</v>
      </c>
      <c r="Y61" s="9" t="str">
        <f t="shared" si="6"/>
        <v>a</v>
      </c>
      <c r="Z61" s="31">
        <f t="shared" si="3"/>
        <v>87.807999999999979</v>
      </c>
      <c r="AA61" s="31">
        <f t="shared" si="4"/>
        <v>87.807999999999979</v>
      </c>
    </row>
    <row r="62" spans="1:27" ht="13">
      <c r="A62" s="9">
        <v>60</v>
      </c>
      <c r="B62" s="4" t="s">
        <v>1102</v>
      </c>
      <c r="C62" s="51"/>
      <c r="D62" s="8">
        <v>12.8</v>
      </c>
      <c r="E62" s="8">
        <v>88.9</v>
      </c>
      <c r="F62" s="8"/>
      <c r="G62" s="5">
        <v>6.3</v>
      </c>
      <c r="H62" s="5">
        <v>6.3</v>
      </c>
      <c r="I62" s="4">
        <v>1630</v>
      </c>
      <c r="J62" s="4">
        <v>1400000</v>
      </c>
      <c r="K62" s="4">
        <v>31500</v>
      </c>
      <c r="L62" s="4">
        <v>43100</v>
      </c>
      <c r="M62" s="4">
        <v>29.3</v>
      </c>
      <c r="N62" s="4">
        <f t="shared" si="0"/>
        <v>1037.6902289591576</v>
      </c>
      <c r="O62" s="4">
        <v>1400000</v>
      </c>
      <c r="P62" s="4">
        <v>31500</v>
      </c>
      <c r="Q62" s="4">
        <v>43100</v>
      </c>
      <c r="R62" s="5">
        <v>29.3</v>
      </c>
      <c r="S62" s="4"/>
      <c r="T62" s="4">
        <v>2800000</v>
      </c>
      <c r="V62" s="4">
        <f t="shared" si="1"/>
        <v>1037.6902289591576</v>
      </c>
      <c r="W62" s="4"/>
      <c r="X62" s="9" t="str">
        <f t="shared" si="6"/>
        <v>a</v>
      </c>
      <c r="Y62" s="9" t="str">
        <f t="shared" si="6"/>
        <v>a</v>
      </c>
      <c r="Z62" s="31">
        <f t="shared" si="3"/>
        <v>125.02349999999998</v>
      </c>
      <c r="AA62" s="31">
        <f t="shared" si="4"/>
        <v>125.02349999999998</v>
      </c>
    </row>
    <row r="63" spans="1:27" ht="13">
      <c r="A63" s="9">
        <v>61</v>
      </c>
      <c r="B63" s="4" t="s">
        <v>1103</v>
      </c>
      <c r="C63" s="51"/>
      <c r="D63" s="8">
        <v>16</v>
      </c>
      <c r="E63" s="8">
        <v>88.9</v>
      </c>
      <c r="F63" s="8"/>
      <c r="G63" s="5">
        <v>8</v>
      </c>
      <c r="H63" s="5">
        <v>8</v>
      </c>
      <c r="I63" s="4">
        <v>2030</v>
      </c>
      <c r="J63" s="4">
        <v>1680000</v>
      </c>
      <c r="K63" s="4">
        <v>37800</v>
      </c>
      <c r="L63" s="4">
        <v>52500</v>
      </c>
      <c r="M63" s="4">
        <v>28.7</v>
      </c>
      <c r="N63" s="4">
        <f t="shared" si="0"/>
        <v>1292.3381379061902</v>
      </c>
      <c r="O63" s="4">
        <v>1680000</v>
      </c>
      <c r="P63" s="4">
        <v>37800</v>
      </c>
      <c r="Q63" s="4">
        <v>52500</v>
      </c>
      <c r="R63" s="5">
        <v>28.7</v>
      </c>
      <c r="S63" s="4"/>
      <c r="T63" s="4">
        <v>3360000</v>
      </c>
      <c r="V63" s="4">
        <f t="shared" si="1"/>
        <v>1292.3381379061902</v>
      </c>
      <c r="W63" s="4"/>
      <c r="X63" s="9" t="str">
        <f t="shared" ref="X63:Y82" si="7">IF(fy=460,"a0","a")</f>
        <v>a</v>
      </c>
      <c r="Y63" s="9" t="str">
        <f t="shared" si="7"/>
        <v>a</v>
      </c>
      <c r="Z63" s="31">
        <f t="shared" si="3"/>
        <v>256</v>
      </c>
      <c r="AA63" s="31">
        <f t="shared" si="4"/>
        <v>256</v>
      </c>
    </row>
    <row r="64" spans="1:27" ht="13">
      <c r="A64" s="9">
        <v>62</v>
      </c>
      <c r="B64" s="4" t="s">
        <v>1104</v>
      </c>
      <c r="C64" s="51"/>
      <c r="D64" s="8">
        <v>19.5</v>
      </c>
      <c r="E64" s="8">
        <v>88.9</v>
      </c>
      <c r="F64" s="8"/>
      <c r="G64" s="5">
        <v>10</v>
      </c>
      <c r="H64" s="5">
        <v>10</v>
      </c>
      <c r="I64" s="4">
        <v>2480</v>
      </c>
      <c r="J64" s="4">
        <v>1960000</v>
      </c>
      <c r="K64" s="4">
        <v>44100</v>
      </c>
      <c r="L64" s="4">
        <v>62600</v>
      </c>
      <c r="M64" s="4">
        <v>28.1</v>
      </c>
      <c r="N64" s="4">
        <f t="shared" si="0"/>
        <v>1578.8170354716017</v>
      </c>
      <c r="O64" s="4">
        <v>1960000</v>
      </c>
      <c r="P64" s="4">
        <v>44100</v>
      </c>
      <c r="Q64" s="4">
        <v>62600</v>
      </c>
      <c r="R64" s="5">
        <v>28.1</v>
      </c>
      <c r="S64" s="4"/>
      <c r="T64" s="4">
        <v>3920000</v>
      </c>
      <c r="V64" s="4">
        <f t="shared" si="1"/>
        <v>1578.8170354716017</v>
      </c>
      <c r="W64" s="4"/>
      <c r="X64" s="9" t="str">
        <f t="shared" si="7"/>
        <v>a</v>
      </c>
      <c r="Y64" s="9" t="str">
        <f t="shared" si="7"/>
        <v>a</v>
      </c>
      <c r="Z64" s="31">
        <f t="shared" si="3"/>
        <v>500</v>
      </c>
      <c r="AA64" s="31">
        <f t="shared" si="4"/>
        <v>500</v>
      </c>
    </row>
    <row r="65" spans="1:27" ht="13">
      <c r="A65" s="9">
        <v>63</v>
      </c>
      <c r="B65" s="4" t="s">
        <v>1105</v>
      </c>
      <c r="C65" s="51"/>
      <c r="D65" s="8">
        <v>7.77</v>
      </c>
      <c r="E65" s="8">
        <v>101.6</v>
      </c>
      <c r="F65" s="8"/>
      <c r="G65" s="5">
        <v>3.2</v>
      </c>
      <c r="H65" s="5">
        <v>3.2</v>
      </c>
      <c r="I65" s="4">
        <v>989</v>
      </c>
      <c r="J65" s="4">
        <v>1200000</v>
      </c>
      <c r="K65" s="4">
        <v>23600</v>
      </c>
      <c r="L65" s="4">
        <v>31000</v>
      </c>
      <c r="M65" s="4">
        <v>34.799999999999997</v>
      </c>
      <c r="N65" s="4">
        <f t="shared" si="0"/>
        <v>629.61695487153793</v>
      </c>
      <c r="O65" s="4">
        <v>1200000</v>
      </c>
      <c r="P65" s="4">
        <v>23600</v>
      </c>
      <c r="Q65" s="4">
        <v>31000</v>
      </c>
      <c r="R65" s="5">
        <v>34.799999999999997</v>
      </c>
      <c r="S65" s="4"/>
      <c r="T65" s="4">
        <v>2400000</v>
      </c>
      <c r="V65" s="4">
        <f t="shared" si="1"/>
        <v>629.61695487153793</v>
      </c>
      <c r="W65" s="4"/>
      <c r="X65" s="9" t="str">
        <f t="shared" si="7"/>
        <v>a</v>
      </c>
      <c r="Y65" s="9" t="str">
        <f t="shared" si="7"/>
        <v>a</v>
      </c>
      <c r="Z65" s="31">
        <f t="shared" si="3"/>
        <v>16.384000000000004</v>
      </c>
      <c r="AA65" s="31">
        <f t="shared" si="4"/>
        <v>16.384000000000004</v>
      </c>
    </row>
    <row r="66" spans="1:27" ht="13">
      <c r="A66" s="9">
        <v>64</v>
      </c>
      <c r="B66" s="4" t="s">
        <v>1106</v>
      </c>
      <c r="C66" s="51"/>
      <c r="D66" s="8">
        <v>8.6999999999999993</v>
      </c>
      <c r="E66" s="8">
        <v>101.6</v>
      </c>
      <c r="F66" s="8"/>
      <c r="G66" s="5">
        <v>3.6</v>
      </c>
      <c r="H66" s="5">
        <v>3.6</v>
      </c>
      <c r="I66" s="4">
        <v>1110</v>
      </c>
      <c r="J66" s="4">
        <v>1330000</v>
      </c>
      <c r="K66" s="4">
        <v>26200</v>
      </c>
      <c r="L66" s="4">
        <v>34600</v>
      </c>
      <c r="M66" s="4">
        <v>34.700000000000003</v>
      </c>
      <c r="N66" s="4">
        <f t="shared" si="0"/>
        <v>706.64794732801533</v>
      </c>
      <c r="O66" s="4">
        <v>1330000</v>
      </c>
      <c r="P66" s="4">
        <v>26200</v>
      </c>
      <c r="Q66" s="4">
        <v>34600</v>
      </c>
      <c r="R66" s="5">
        <v>34.700000000000003</v>
      </c>
      <c r="S66" s="4"/>
      <c r="T66" s="4">
        <v>2660000</v>
      </c>
      <c r="V66" s="4">
        <f t="shared" si="1"/>
        <v>706.64794732801533</v>
      </c>
      <c r="W66" s="4"/>
      <c r="X66" s="9" t="str">
        <f t="shared" si="7"/>
        <v>a</v>
      </c>
      <c r="Y66" s="9" t="str">
        <f t="shared" si="7"/>
        <v>a</v>
      </c>
      <c r="Z66" s="31">
        <f t="shared" si="3"/>
        <v>23.328000000000003</v>
      </c>
      <c r="AA66" s="31">
        <f t="shared" si="4"/>
        <v>23.328000000000003</v>
      </c>
    </row>
    <row r="67" spans="1:27" ht="13">
      <c r="A67" s="9">
        <v>65</v>
      </c>
      <c r="B67" s="4" t="s">
        <v>1107</v>
      </c>
      <c r="C67" s="51"/>
      <c r="D67" s="8">
        <v>9.6300000000000008</v>
      </c>
      <c r="E67" s="8">
        <v>101.6</v>
      </c>
      <c r="F67" s="8"/>
      <c r="G67" s="5">
        <v>4</v>
      </c>
      <c r="H67" s="5">
        <v>4</v>
      </c>
      <c r="I67" s="4">
        <v>1230</v>
      </c>
      <c r="J67" s="4">
        <v>1460000</v>
      </c>
      <c r="K67" s="4">
        <v>28800</v>
      </c>
      <c r="L67" s="4">
        <v>38100</v>
      </c>
      <c r="M67" s="4">
        <v>34.5</v>
      </c>
      <c r="N67" s="4">
        <f t="shared" ref="N67:N130" si="8">2*I67/PI()</f>
        <v>783.04232001212506</v>
      </c>
      <c r="O67" s="4">
        <v>1460000</v>
      </c>
      <c r="P67" s="4">
        <v>28800</v>
      </c>
      <c r="Q67" s="4">
        <v>38100</v>
      </c>
      <c r="R67" s="5">
        <v>34.5</v>
      </c>
      <c r="S67" s="4"/>
      <c r="T67" s="4">
        <v>2930000</v>
      </c>
      <c r="V67" s="4">
        <f t="shared" ref="V67:V130" si="9">N67</f>
        <v>783.04232001212506</v>
      </c>
      <c r="W67" s="4"/>
      <c r="X67" s="9" t="str">
        <f t="shared" si="7"/>
        <v>a</v>
      </c>
      <c r="Y67" s="9" t="str">
        <f t="shared" si="7"/>
        <v>a</v>
      </c>
      <c r="Z67" s="31">
        <f t="shared" ref="Z67:Z130" si="10">2*(F67/2-G67/2)^2*G67</f>
        <v>32</v>
      </c>
      <c r="AA67" s="31">
        <f t="shared" ref="AA67:AA130" si="11">Z67</f>
        <v>32</v>
      </c>
    </row>
    <row r="68" spans="1:27" ht="13">
      <c r="A68" s="9">
        <v>66</v>
      </c>
      <c r="B68" s="4" t="s">
        <v>1108</v>
      </c>
      <c r="C68" s="51"/>
      <c r="D68" s="8">
        <v>10.8</v>
      </c>
      <c r="E68" s="8">
        <v>101.6</v>
      </c>
      <c r="F68" s="8"/>
      <c r="G68" s="5">
        <v>4.5</v>
      </c>
      <c r="H68" s="5">
        <v>4.5</v>
      </c>
      <c r="I68" s="4">
        <v>1370</v>
      </c>
      <c r="J68" s="4">
        <v>1620000</v>
      </c>
      <c r="K68" s="4">
        <v>31900</v>
      </c>
      <c r="L68" s="4">
        <v>42500</v>
      </c>
      <c r="M68" s="4">
        <v>34.4</v>
      </c>
      <c r="N68" s="4">
        <f t="shared" si="8"/>
        <v>872.16908814358646</v>
      </c>
      <c r="O68" s="4">
        <v>1620000</v>
      </c>
      <c r="P68" s="4">
        <v>31900</v>
      </c>
      <c r="Q68" s="4">
        <v>42500</v>
      </c>
      <c r="R68" s="5">
        <v>34.4</v>
      </c>
      <c r="S68" s="4"/>
      <c r="T68" s="4">
        <v>3240000</v>
      </c>
      <c r="V68" s="4">
        <f t="shared" si="9"/>
        <v>872.16908814358646</v>
      </c>
      <c r="W68" s="4"/>
      <c r="X68" s="9" t="str">
        <f t="shared" si="7"/>
        <v>a</v>
      </c>
      <c r="Y68" s="9" t="str">
        <f t="shared" si="7"/>
        <v>a</v>
      </c>
      <c r="Z68" s="31">
        <f t="shared" si="10"/>
        <v>45.5625</v>
      </c>
      <c r="AA68" s="31">
        <f t="shared" si="11"/>
        <v>45.5625</v>
      </c>
    </row>
    <row r="69" spans="1:27" ht="13">
      <c r="A69" s="9">
        <v>67</v>
      </c>
      <c r="B69" s="4" t="s">
        <v>1109</v>
      </c>
      <c r="C69" s="51"/>
      <c r="D69" s="8">
        <v>11.9</v>
      </c>
      <c r="E69" s="8">
        <v>101.6</v>
      </c>
      <c r="F69" s="8"/>
      <c r="G69" s="5">
        <v>5</v>
      </c>
      <c r="H69" s="5">
        <v>5</v>
      </c>
      <c r="I69" s="4">
        <v>1520</v>
      </c>
      <c r="J69" s="4">
        <v>1770000</v>
      </c>
      <c r="K69" s="4">
        <v>34900</v>
      </c>
      <c r="L69" s="4">
        <v>46700</v>
      </c>
      <c r="M69" s="4">
        <v>34.200000000000003</v>
      </c>
      <c r="N69" s="4">
        <f t="shared" si="8"/>
        <v>967.66205399872365</v>
      </c>
      <c r="O69" s="4">
        <v>1770000</v>
      </c>
      <c r="P69" s="4">
        <v>34900</v>
      </c>
      <c r="Q69" s="4">
        <v>46700</v>
      </c>
      <c r="R69" s="5">
        <v>34.200000000000003</v>
      </c>
      <c r="S69" s="4"/>
      <c r="T69" s="4">
        <v>3550000</v>
      </c>
      <c r="V69" s="4">
        <f t="shared" si="9"/>
        <v>967.66205399872365</v>
      </c>
      <c r="W69" s="4"/>
      <c r="X69" s="9" t="str">
        <f t="shared" si="7"/>
        <v>a</v>
      </c>
      <c r="Y69" s="9" t="str">
        <f t="shared" si="7"/>
        <v>a</v>
      </c>
      <c r="Z69" s="31">
        <f t="shared" si="10"/>
        <v>62.5</v>
      </c>
      <c r="AA69" s="31">
        <f t="shared" si="11"/>
        <v>62.5</v>
      </c>
    </row>
    <row r="70" spans="1:27" ht="13">
      <c r="A70" s="9">
        <v>68</v>
      </c>
      <c r="B70" s="4" t="s">
        <v>1110</v>
      </c>
      <c r="C70" s="51"/>
      <c r="D70" s="8">
        <v>13.3</v>
      </c>
      <c r="E70" s="8">
        <v>101.6</v>
      </c>
      <c r="F70" s="8"/>
      <c r="G70" s="5">
        <v>5.6</v>
      </c>
      <c r="H70" s="5">
        <v>5.6</v>
      </c>
      <c r="I70" s="4">
        <v>1690</v>
      </c>
      <c r="J70" s="4">
        <v>1950000</v>
      </c>
      <c r="K70" s="4">
        <v>38400</v>
      </c>
      <c r="L70" s="4">
        <v>51700</v>
      </c>
      <c r="M70" s="4">
        <v>34</v>
      </c>
      <c r="N70" s="4">
        <f t="shared" si="8"/>
        <v>1075.8874153012125</v>
      </c>
      <c r="O70" s="4">
        <v>1950000</v>
      </c>
      <c r="P70" s="4">
        <v>38400</v>
      </c>
      <c r="Q70" s="4">
        <v>51700</v>
      </c>
      <c r="R70" s="5">
        <v>34</v>
      </c>
      <c r="S70" s="4"/>
      <c r="T70" s="4">
        <v>3900000</v>
      </c>
      <c r="V70" s="4">
        <f t="shared" si="9"/>
        <v>1075.8874153012125</v>
      </c>
      <c r="W70" s="4"/>
      <c r="X70" s="9" t="str">
        <f t="shared" si="7"/>
        <v>a</v>
      </c>
      <c r="Y70" s="9" t="str">
        <f t="shared" si="7"/>
        <v>a</v>
      </c>
      <c r="Z70" s="31">
        <f t="shared" si="10"/>
        <v>87.807999999999979</v>
      </c>
      <c r="AA70" s="31">
        <f t="shared" si="11"/>
        <v>87.807999999999979</v>
      </c>
    </row>
    <row r="71" spans="1:27" ht="13">
      <c r="A71" s="9">
        <v>69</v>
      </c>
      <c r="B71" s="4" t="s">
        <v>1111</v>
      </c>
      <c r="C71" s="51"/>
      <c r="D71" s="8">
        <v>14.8</v>
      </c>
      <c r="E71" s="8">
        <v>101.6</v>
      </c>
      <c r="F71" s="8"/>
      <c r="G71" s="5">
        <v>6.3</v>
      </c>
      <c r="H71" s="5">
        <v>6.3</v>
      </c>
      <c r="I71" s="4">
        <v>1890</v>
      </c>
      <c r="J71" s="4">
        <v>2150000</v>
      </c>
      <c r="K71" s="4">
        <v>42300</v>
      </c>
      <c r="L71" s="4">
        <v>57300</v>
      </c>
      <c r="M71" s="4">
        <v>33.799999999999997</v>
      </c>
      <c r="N71" s="4">
        <f t="shared" si="8"/>
        <v>1203.2113697747288</v>
      </c>
      <c r="O71" s="4">
        <v>2150000</v>
      </c>
      <c r="P71" s="4">
        <v>42300</v>
      </c>
      <c r="Q71" s="4">
        <v>57300</v>
      </c>
      <c r="R71" s="5">
        <v>33.799999999999997</v>
      </c>
      <c r="S71" s="4"/>
      <c r="T71" s="4">
        <v>4300000</v>
      </c>
      <c r="V71" s="4">
        <f t="shared" si="9"/>
        <v>1203.2113697747288</v>
      </c>
      <c r="W71" s="4"/>
      <c r="X71" s="9" t="str">
        <f t="shared" si="7"/>
        <v>a</v>
      </c>
      <c r="Y71" s="9" t="str">
        <f t="shared" si="7"/>
        <v>a</v>
      </c>
      <c r="Z71" s="31">
        <f t="shared" si="10"/>
        <v>125.02349999999998</v>
      </c>
      <c r="AA71" s="31">
        <f t="shared" si="11"/>
        <v>125.02349999999998</v>
      </c>
    </row>
    <row r="72" spans="1:27" ht="13">
      <c r="A72" s="9">
        <v>70</v>
      </c>
      <c r="B72" s="4" t="s">
        <v>1112</v>
      </c>
      <c r="C72" s="51"/>
      <c r="D72" s="8">
        <v>18.5</v>
      </c>
      <c r="E72" s="8">
        <v>101.6</v>
      </c>
      <c r="F72" s="8"/>
      <c r="G72" s="5">
        <v>8</v>
      </c>
      <c r="H72" s="5">
        <v>8</v>
      </c>
      <c r="I72" s="4">
        <v>2350</v>
      </c>
      <c r="J72" s="4">
        <v>2600000</v>
      </c>
      <c r="K72" s="4">
        <v>51100</v>
      </c>
      <c r="L72" s="4">
        <v>70300</v>
      </c>
      <c r="M72" s="4">
        <v>33.200000000000003</v>
      </c>
      <c r="N72" s="4">
        <f t="shared" si="8"/>
        <v>1496.0564650638162</v>
      </c>
      <c r="O72" s="4">
        <v>2600000</v>
      </c>
      <c r="P72" s="4">
        <v>51100</v>
      </c>
      <c r="Q72" s="4">
        <v>70300</v>
      </c>
      <c r="R72" s="5">
        <v>33.200000000000003</v>
      </c>
      <c r="S72" s="4"/>
      <c r="T72" s="4">
        <v>5190000</v>
      </c>
      <c r="V72" s="4">
        <f t="shared" si="9"/>
        <v>1496.0564650638162</v>
      </c>
      <c r="W72" s="4"/>
      <c r="X72" s="9" t="str">
        <f t="shared" si="7"/>
        <v>a</v>
      </c>
      <c r="Y72" s="9" t="str">
        <f t="shared" si="7"/>
        <v>a</v>
      </c>
      <c r="Z72" s="31">
        <f t="shared" si="10"/>
        <v>256</v>
      </c>
      <c r="AA72" s="31">
        <f t="shared" si="11"/>
        <v>256</v>
      </c>
    </row>
    <row r="73" spans="1:27" ht="13">
      <c r="A73" s="9">
        <v>71</v>
      </c>
      <c r="B73" s="4" t="s">
        <v>1113</v>
      </c>
      <c r="C73" s="51"/>
      <c r="D73" s="8">
        <v>22.6</v>
      </c>
      <c r="E73" s="8">
        <v>101.6</v>
      </c>
      <c r="F73" s="8"/>
      <c r="G73" s="5">
        <v>10</v>
      </c>
      <c r="H73" s="5">
        <v>10</v>
      </c>
      <c r="I73" s="4">
        <v>2880</v>
      </c>
      <c r="J73" s="4">
        <v>3050000</v>
      </c>
      <c r="K73" s="4">
        <v>60100</v>
      </c>
      <c r="L73" s="4">
        <v>84200</v>
      </c>
      <c r="M73" s="4">
        <v>32.6</v>
      </c>
      <c r="N73" s="4">
        <f t="shared" si="8"/>
        <v>1833.4649444186343</v>
      </c>
      <c r="O73" s="4">
        <v>3050000</v>
      </c>
      <c r="P73" s="4">
        <v>60100</v>
      </c>
      <c r="Q73" s="4">
        <v>84200</v>
      </c>
      <c r="R73" s="5">
        <v>32.6</v>
      </c>
      <c r="S73" s="4"/>
      <c r="T73" s="4">
        <v>6110000</v>
      </c>
      <c r="V73" s="4">
        <f t="shared" si="9"/>
        <v>1833.4649444186343</v>
      </c>
      <c r="W73" s="4"/>
      <c r="X73" s="9" t="str">
        <f t="shared" si="7"/>
        <v>a</v>
      </c>
      <c r="Y73" s="9" t="str">
        <f t="shared" si="7"/>
        <v>a</v>
      </c>
      <c r="Z73" s="31">
        <f t="shared" si="10"/>
        <v>500</v>
      </c>
      <c r="AA73" s="31">
        <f t="shared" si="11"/>
        <v>500</v>
      </c>
    </row>
    <row r="74" spans="1:27" ht="13">
      <c r="A74" s="9">
        <v>72</v>
      </c>
      <c r="B74" s="4" t="s">
        <v>1114</v>
      </c>
      <c r="C74" s="51"/>
      <c r="D74" s="8">
        <v>8.77</v>
      </c>
      <c r="E74" s="8">
        <v>114.3</v>
      </c>
      <c r="F74" s="8"/>
      <c r="G74" s="5">
        <v>3.2</v>
      </c>
      <c r="H74" s="5">
        <v>3.2</v>
      </c>
      <c r="I74" s="4">
        <v>1120</v>
      </c>
      <c r="J74" s="4">
        <v>1720000</v>
      </c>
      <c r="K74" s="4">
        <v>30200</v>
      </c>
      <c r="L74" s="4">
        <v>39500</v>
      </c>
      <c r="M74" s="4">
        <v>39.299999999999997</v>
      </c>
      <c r="N74" s="4">
        <f t="shared" si="8"/>
        <v>713.01414505169112</v>
      </c>
      <c r="O74" s="4">
        <v>1720000</v>
      </c>
      <c r="P74" s="4">
        <v>30200</v>
      </c>
      <c r="Q74" s="4">
        <v>39500</v>
      </c>
      <c r="R74" s="5">
        <v>39.299999999999997</v>
      </c>
      <c r="S74" s="4"/>
      <c r="T74" s="4">
        <v>3450000</v>
      </c>
      <c r="V74" s="4">
        <f t="shared" si="9"/>
        <v>713.01414505169112</v>
      </c>
      <c r="W74" s="4"/>
      <c r="X74" s="9" t="str">
        <f t="shared" si="7"/>
        <v>a</v>
      </c>
      <c r="Y74" s="9" t="str">
        <f t="shared" si="7"/>
        <v>a</v>
      </c>
      <c r="Z74" s="31">
        <f t="shared" si="10"/>
        <v>16.384000000000004</v>
      </c>
      <c r="AA74" s="31">
        <f t="shared" si="11"/>
        <v>16.384000000000004</v>
      </c>
    </row>
    <row r="75" spans="1:27" ht="13">
      <c r="A75" s="9">
        <v>73</v>
      </c>
      <c r="B75" s="4" t="s">
        <v>1115</v>
      </c>
      <c r="C75" s="51"/>
      <c r="D75" s="8">
        <v>9.83</v>
      </c>
      <c r="E75" s="8">
        <v>114.3</v>
      </c>
      <c r="F75" s="8"/>
      <c r="G75" s="5">
        <v>3.6</v>
      </c>
      <c r="H75" s="5">
        <v>3.6</v>
      </c>
      <c r="I75" s="4">
        <v>1250</v>
      </c>
      <c r="J75" s="4">
        <v>1920000</v>
      </c>
      <c r="K75" s="4">
        <v>33600</v>
      </c>
      <c r="L75" s="4">
        <v>44100</v>
      </c>
      <c r="M75" s="4">
        <v>39.200000000000003</v>
      </c>
      <c r="N75" s="4">
        <f t="shared" si="8"/>
        <v>795.77471545947674</v>
      </c>
      <c r="O75" s="4">
        <v>1920000</v>
      </c>
      <c r="P75" s="4">
        <v>33600</v>
      </c>
      <c r="Q75" s="4">
        <v>44100</v>
      </c>
      <c r="R75" s="5">
        <v>39.200000000000003</v>
      </c>
      <c r="S75" s="4"/>
      <c r="T75" s="4">
        <v>3840000</v>
      </c>
      <c r="V75" s="4">
        <f t="shared" si="9"/>
        <v>795.77471545947674</v>
      </c>
      <c r="W75" s="4"/>
      <c r="X75" s="9" t="str">
        <f t="shared" si="7"/>
        <v>a</v>
      </c>
      <c r="Y75" s="9" t="str">
        <f t="shared" si="7"/>
        <v>a</v>
      </c>
      <c r="Z75" s="31">
        <f t="shared" si="10"/>
        <v>23.328000000000003</v>
      </c>
      <c r="AA75" s="31">
        <f t="shared" si="11"/>
        <v>23.328000000000003</v>
      </c>
    </row>
    <row r="76" spans="1:27" ht="13">
      <c r="A76" s="9">
        <v>74</v>
      </c>
      <c r="B76" s="4" t="s">
        <v>1116</v>
      </c>
      <c r="C76" s="51"/>
      <c r="D76" s="8">
        <v>10.9</v>
      </c>
      <c r="E76" s="8">
        <v>114.3</v>
      </c>
      <c r="F76" s="8"/>
      <c r="G76" s="5">
        <v>4</v>
      </c>
      <c r="H76" s="5">
        <v>4</v>
      </c>
      <c r="I76" s="4">
        <v>1390</v>
      </c>
      <c r="J76" s="4">
        <v>2110000</v>
      </c>
      <c r="K76" s="4">
        <v>36900</v>
      </c>
      <c r="L76" s="4">
        <v>48700</v>
      </c>
      <c r="M76" s="4">
        <v>39</v>
      </c>
      <c r="N76" s="4">
        <f t="shared" si="8"/>
        <v>884.90148359093814</v>
      </c>
      <c r="O76" s="4">
        <v>2110000</v>
      </c>
      <c r="P76" s="4">
        <v>36900</v>
      </c>
      <c r="Q76" s="4">
        <v>48700</v>
      </c>
      <c r="R76" s="5">
        <v>39</v>
      </c>
      <c r="S76" s="4"/>
      <c r="T76" s="4">
        <v>4220000</v>
      </c>
      <c r="V76" s="4">
        <f t="shared" si="9"/>
        <v>884.90148359093814</v>
      </c>
      <c r="W76" s="4"/>
      <c r="X76" s="9" t="str">
        <f t="shared" si="7"/>
        <v>a</v>
      </c>
      <c r="Y76" s="9" t="str">
        <f t="shared" si="7"/>
        <v>a</v>
      </c>
      <c r="Z76" s="31">
        <f t="shared" si="10"/>
        <v>32</v>
      </c>
      <c r="AA76" s="31">
        <f t="shared" si="11"/>
        <v>32</v>
      </c>
    </row>
    <row r="77" spans="1:27" ht="13">
      <c r="A77" s="9">
        <v>75</v>
      </c>
      <c r="B77" s="4" t="s">
        <v>1117</v>
      </c>
      <c r="C77" s="51"/>
      <c r="D77" s="8">
        <v>12.2</v>
      </c>
      <c r="E77" s="8">
        <v>114.3</v>
      </c>
      <c r="F77" s="8"/>
      <c r="G77" s="5">
        <v>4.5</v>
      </c>
      <c r="H77" s="5">
        <v>4.5</v>
      </c>
      <c r="I77" s="4">
        <v>1550</v>
      </c>
      <c r="J77" s="4">
        <v>2340000</v>
      </c>
      <c r="K77" s="4">
        <v>41000</v>
      </c>
      <c r="L77" s="4">
        <v>54300</v>
      </c>
      <c r="M77" s="4">
        <v>38.9</v>
      </c>
      <c r="N77" s="4">
        <f t="shared" si="8"/>
        <v>986.76064716975111</v>
      </c>
      <c r="O77" s="4">
        <v>2340000</v>
      </c>
      <c r="P77" s="4">
        <v>41000</v>
      </c>
      <c r="Q77" s="4">
        <v>54300</v>
      </c>
      <c r="R77" s="5">
        <v>38.9</v>
      </c>
      <c r="S77" s="4"/>
      <c r="T77" s="4">
        <v>4690000</v>
      </c>
      <c r="V77" s="4">
        <f t="shared" si="9"/>
        <v>986.76064716975111</v>
      </c>
      <c r="W77" s="4"/>
      <c r="X77" s="9" t="str">
        <f t="shared" si="7"/>
        <v>a</v>
      </c>
      <c r="Y77" s="9" t="str">
        <f t="shared" si="7"/>
        <v>a</v>
      </c>
      <c r="Z77" s="31">
        <f t="shared" si="10"/>
        <v>45.5625</v>
      </c>
      <c r="AA77" s="31">
        <f t="shared" si="11"/>
        <v>45.5625</v>
      </c>
    </row>
    <row r="78" spans="1:27" ht="13">
      <c r="A78" s="9">
        <v>76</v>
      </c>
      <c r="B78" s="4" t="s">
        <v>1118</v>
      </c>
      <c r="C78" s="51"/>
      <c r="D78" s="8">
        <v>13.5</v>
      </c>
      <c r="E78" s="8">
        <v>114.3</v>
      </c>
      <c r="F78" s="8"/>
      <c r="G78" s="5">
        <v>5</v>
      </c>
      <c r="H78" s="5">
        <v>5</v>
      </c>
      <c r="I78" s="4">
        <v>1720</v>
      </c>
      <c r="J78" s="4">
        <v>2570000</v>
      </c>
      <c r="K78" s="4">
        <v>45000</v>
      </c>
      <c r="L78" s="4">
        <v>59800</v>
      </c>
      <c r="M78" s="4">
        <v>38.700000000000003</v>
      </c>
      <c r="N78" s="4">
        <f t="shared" si="8"/>
        <v>1094.98600847224</v>
      </c>
      <c r="O78" s="4">
        <v>2570000</v>
      </c>
      <c r="P78" s="4">
        <v>45000</v>
      </c>
      <c r="Q78" s="4">
        <v>59800</v>
      </c>
      <c r="R78" s="5">
        <v>38.700000000000003</v>
      </c>
      <c r="S78" s="4"/>
      <c r="T78" s="4">
        <v>5140000</v>
      </c>
      <c r="V78" s="4">
        <f t="shared" si="9"/>
        <v>1094.98600847224</v>
      </c>
      <c r="W78" s="4"/>
      <c r="X78" s="9" t="str">
        <f t="shared" si="7"/>
        <v>a</v>
      </c>
      <c r="Y78" s="9" t="str">
        <f t="shared" si="7"/>
        <v>a</v>
      </c>
      <c r="Z78" s="31">
        <f t="shared" si="10"/>
        <v>62.5</v>
      </c>
      <c r="AA78" s="31">
        <f t="shared" si="11"/>
        <v>62.5</v>
      </c>
    </row>
    <row r="79" spans="1:27" ht="13">
      <c r="A79" s="9">
        <v>77</v>
      </c>
      <c r="B79" s="4" t="s">
        <v>1119</v>
      </c>
      <c r="C79" s="51"/>
      <c r="D79" s="8">
        <v>15</v>
      </c>
      <c r="E79" s="8">
        <v>114.3</v>
      </c>
      <c r="F79" s="8"/>
      <c r="G79" s="5">
        <v>5.6</v>
      </c>
      <c r="H79" s="5">
        <v>5.6</v>
      </c>
      <c r="I79" s="4">
        <v>1910</v>
      </c>
      <c r="J79" s="4">
        <v>2830000</v>
      </c>
      <c r="K79" s="4">
        <v>49600</v>
      </c>
      <c r="L79" s="4">
        <v>66200</v>
      </c>
      <c r="M79" s="4">
        <v>38.5</v>
      </c>
      <c r="N79" s="4">
        <f t="shared" si="8"/>
        <v>1215.9437652220804</v>
      </c>
      <c r="O79" s="4">
        <v>2830000</v>
      </c>
      <c r="P79" s="4">
        <v>49600</v>
      </c>
      <c r="Q79" s="4">
        <v>66200</v>
      </c>
      <c r="R79" s="5">
        <v>38.5</v>
      </c>
      <c r="S79" s="4"/>
      <c r="T79" s="4">
        <v>5660000</v>
      </c>
      <c r="V79" s="4">
        <f t="shared" si="9"/>
        <v>1215.9437652220804</v>
      </c>
      <c r="W79" s="4"/>
      <c r="X79" s="9" t="str">
        <f t="shared" si="7"/>
        <v>a</v>
      </c>
      <c r="Y79" s="9" t="str">
        <f t="shared" si="7"/>
        <v>a</v>
      </c>
      <c r="Z79" s="31">
        <f t="shared" si="10"/>
        <v>87.807999999999979</v>
      </c>
      <c r="AA79" s="31">
        <f t="shared" si="11"/>
        <v>87.807999999999979</v>
      </c>
    </row>
    <row r="80" spans="1:27" ht="13">
      <c r="A80" s="9">
        <v>78</v>
      </c>
      <c r="B80" s="4" t="s">
        <v>1120</v>
      </c>
      <c r="C80" s="51"/>
      <c r="D80" s="8">
        <v>16.8</v>
      </c>
      <c r="E80" s="8">
        <v>114.3</v>
      </c>
      <c r="F80" s="8"/>
      <c r="G80" s="5">
        <v>6.3</v>
      </c>
      <c r="H80" s="5">
        <v>6.3</v>
      </c>
      <c r="I80" s="4">
        <v>2140</v>
      </c>
      <c r="J80" s="4">
        <v>3130000</v>
      </c>
      <c r="K80" s="4">
        <v>54700</v>
      </c>
      <c r="L80" s="4">
        <v>73600</v>
      </c>
      <c r="M80" s="4">
        <v>38.200000000000003</v>
      </c>
      <c r="N80" s="4">
        <f t="shared" si="8"/>
        <v>1362.3663128666242</v>
      </c>
      <c r="O80" s="4">
        <v>3130000</v>
      </c>
      <c r="P80" s="4">
        <v>54700</v>
      </c>
      <c r="Q80" s="4">
        <v>73600</v>
      </c>
      <c r="R80" s="5">
        <v>38.200000000000003</v>
      </c>
      <c r="S80" s="4"/>
      <c r="T80" s="4">
        <v>6250000</v>
      </c>
      <c r="V80" s="4">
        <f t="shared" si="9"/>
        <v>1362.3663128666242</v>
      </c>
      <c r="W80" s="4"/>
      <c r="X80" s="9" t="str">
        <f t="shared" si="7"/>
        <v>a</v>
      </c>
      <c r="Y80" s="9" t="str">
        <f t="shared" si="7"/>
        <v>a</v>
      </c>
      <c r="Z80" s="31">
        <f t="shared" si="10"/>
        <v>125.02349999999998</v>
      </c>
      <c r="AA80" s="31">
        <f t="shared" si="11"/>
        <v>125.02349999999998</v>
      </c>
    </row>
    <row r="81" spans="1:27" ht="13">
      <c r="A81" s="9">
        <v>79</v>
      </c>
      <c r="B81" s="4" t="s">
        <v>1121</v>
      </c>
      <c r="C81" s="51"/>
      <c r="D81" s="8">
        <v>21</v>
      </c>
      <c r="E81" s="8">
        <v>114.3</v>
      </c>
      <c r="F81" s="8"/>
      <c r="G81" s="5">
        <v>8</v>
      </c>
      <c r="H81" s="5">
        <v>8</v>
      </c>
      <c r="I81" s="4">
        <v>2670</v>
      </c>
      <c r="J81" s="4">
        <v>3790000</v>
      </c>
      <c r="K81" s="4">
        <v>66400</v>
      </c>
      <c r="L81" s="4">
        <v>90600</v>
      </c>
      <c r="M81" s="4">
        <v>37.700000000000003</v>
      </c>
      <c r="N81" s="4">
        <f t="shared" si="8"/>
        <v>1699.7747922214423</v>
      </c>
      <c r="O81" s="4">
        <v>3790000</v>
      </c>
      <c r="P81" s="4">
        <v>66400</v>
      </c>
      <c r="Q81" s="4">
        <v>90600</v>
      </c>
      <c r="R81" s="5">
        <v>37.700000000000003</v>
      </c>
      <c r="S81" s="4"/>
      <c r="T81" s="4">
        <v>7590000</v>
      </c>
      <c r="V81" s="4">
        <f t="shared" si="9"/>
        <v>1699.7747922214423</v>
      </c>
      <c r="W81" s="4"/>
      <c r="X81" s="9" t="str">
        <f t="shared" si="7"/>
        <v>a</v>
      </c>
      <c r="Y81" s="9" t="str">
        <f t="shared" si="7"/>
        <v>a</v>
      </c>
      <c r="Z81" s="31">
        <f t="shared" si="10"/>
        <v>256</v>
      </c>
      <c r="AA81" s="31">
        <f t="shared" si="11"/>
        <v>256</v>
      </c>
    </row>
    <row r="82" spans="1:27" ht="13">
      <c r="A82" s="9">
        <v>80</v>
      </c>
      <c r="B82" s="4" t="s">
        <v>1122</v>
      </c>
      <c r="C82" s="51"/>
      <c r="D82" s="8">
        <v>25.7</v>
      </c>
      <c r="E82" s="8">
        <v>114.3</v>
      </c>
      <c r="F82" s="8"/>
      <c r="G82" s="5">
        <v>10</v>
      </c>
      <c r="H82" s="5">
        <v>10</v>
      </c>
      <c r="I82" s="4">
        <v>3280</v>
      </c>
      <c r="J82" s="4">
        <v>4500000</v>
      </c>
      <c r="K82" s="4">
        <v>78700</v>
      </c>
      <c r="L82" s="4">
        <v>109000</v>
      </c>
      <c r="M82" s="4">
        <v>37</v>
      </c>
      <c r="N82" s="4">
        <f t="shared" si="8"/>
        <v>2088.112853365667</v>
      </c>
      <c r="O82" s="4">
        <v>4500000</v>
      </c>
      <c r="P82" s="4">
        <v>78700</v>
      </c>
      <c r="Q82" s="4">
        <v>109000</v>
      </c>
      <c r="R82" s="5">
        <v>37</v>
      </c>
      <c r="S82" s="4"/>
      <c r="T82" s="4">
        <v>8990000</v>
      </c>
      <c r="V82" s="4">
        <f t="shared" si="9"/>
        <v>2088.112853365667</v>
      </c>
      <c r="W82" s="4"/>
      <c r="X82" s="9" t="str">
        <f t="shared" si="7"/>
        <v>a</v>
      </c>
      <c r="Y82" s="9" t="str">
        <f t="shared" si="7"/>
        <v>a</v>
      </c>
      <c r="Z82" s="31">
        <f t="shared" si="10"/>
        <v>500</v>
      </c>
      <c r="AA82" s="31">
        <f t="shared" si="11"/>
        <v>500</v>
      </c>
    </row>
    <row r="83" spans="1:27" ht="13">
      <c r="A83" s="9">
        <v>81</v>
      </c>
      <c r="B83" s="4" t="s">
        <v>1123</v>
      </c>
      <c r="C83" s="51"/>
      <c r="D83" s="8">
        <v>10.8</v>
      </c>
      <c r="E83" s="8">
        <v>139.69999999999999</v>
      </c>
      <c r="F83" s="8"/>
      <c r="G83" s="5">
        <v>3.2</v>
      </c>
      <c r="H83" s="5">
        <v>3.2</v>
      </c>
      <c r="I83" s="4">
        <v>1370</v>
      </c>
      <c r="J83" s="4">
        <v>3200000</v>
      </c>
      <c r="K83" s="4">
        <v>45800</v>
      </c>
      <c r="L83" s="4">
        <v>59600</v>
      </c>
      <c r="M83" s="4">
        <v>48.3</v>
      </c>
      <c r="N83" s="4">
        <f t="shared" si="8"/>
        <v>872.16908814358646</v>
      </c>
      <c r="O83" s="4">
        <v>3200000</v>
      </c>
      <c r="P83" s="4">
        <v>45800</v>
      </c>
      <c r="Q83" s="4">
        <v>59600</v>
      </c>
      <c r="R83" s="5">
        <v>48.3</v>
      </c>
      <c r="S83" s="4"/>
      <c r="T83" s="4">
        <v>6400000</v>
      </c>
      <c r="V83" s="4">
        <f t="shared" si="9"/>
        <v>872.16908814358646</v>
      </c>
      <c r="W83" s="4"/>
      <c r="X83" s="9" t="str">
        <f t="shared" ref="X83:Y102" si="12">IF(fy=460,"a0","a")</f>
        <v>a</v>
      </c>
      <c r="Y83" s="9" t="str">
        <f t="shared" si="12"/>
        <v>a</v>
      </c>
      <c r="Z83" s="31">
        <f t="shared" si="10"/>
        <v>16.384000000000004</v>
      </c>
      <c r="AA83" s="31">
        <f t="shared" si="11"/>
        <v>16.384000000000004</v>
      </c>
    </row>
    <row r="84" spans="1:27" ht="13">
      <c r="A84" s="9">
        <v>82</v>
      </c>
      <c r="B84" s="4" t="s">
        <v>1124</v>
      </c>
      <c r="C84" s="51"/>
      <c r="D84" s="8">
        <v>12.1</v>
      </c>
      <c r="E84" s="8">
        <v>139.69999999999999</v>
      </c>
      <c r="F84" s="8"/>
      <c r="G84" s="5">
        <v>3.6</v>
      </c>
      <c r="H84" s="5">
        <v>3.6</v>
      </c>
      <c r="I84" s="4">
        <v>1540</v>
      </c>
      <c r="J84" s="4">
        <v>3570000</v>
      </c>
      <c r="K84" s="4">
        <v>51100</v>
      </c>
      <c r="L84" s="4">
        <v>66700</v>
      </c>
      <c r="M84" s="4">
        <v>48.1</v>
      </c>
      <c r="N84" s="4">
        <f t="shared" si="8"/>
        <v>980.39444944607533</v>
      </c>
      <c r="O84" s="4">
        <v>3570000</v>
      </c>
      <c r="P84" s="4">
        <v>51100</v>
      </c>
      <c r="Q84" s="4">
        <v>66700</v>
      </c>
      <c r="R84" s="5">
        <v>48.1</v>
      </c>
      <c r="S84" s="4"/>
      <c r="T84" s="4">
        <v>7130000</v>
      </c>
      <c r="V84" s="4">
        <f t="shared" si="9"/>
        <v>980.39444944607533</v>
      </c>
      <c r="W84" s="4"/>
      <c r="X84" s="9" t="str">
        <f t="shared" si="12"/>
        <v>a</v>
      </c>
      <c r="Y84" s="9" t="str">
        <f t="shared" si="12"/>
        <v>a</v>
      </c>
      <c r="Z84" s="31">
        <f t="shared" si="10"/>
        <v>23.328000000000003</v>
      </c>
      <c r="AA84" s="31">
        <f t="shared" si="11"/>
        <v>23.328000000000003</v>
      </c>
    </row>
    <row r="85" spans="1:27" ht="13">
      <c r="A85" s="9">
        <v>83</v>
      </c>
      <c r="B85" s="4" t="s">
        <v>1125</v>
      </c>
      <c r="C85" s="51"/>
      <c r="D85" s="8">
        <v>13.4</v>
      </c>
      <c r="E85" s="8">
        <v>139.69999999999999</v>
      </c>
      <c r="F85" s="8"/>
      <c r="G85" s="5">
        <v>4</v>
      </c>
      <c r="H85" s="5">
        <v>4</v>
      </c>
      <c r="I85" s="4">
        <v>1710</v>
      </c>
      <c r="J85" s="4">
        <v>3930000</v>
      </c>
      <c r="K85" s="4">
        <v>56200</v>
      </c>
      <c r="L85" s="4">
        <v>73700</v>
      </c>
      <c r="M85" s="4">
        <v>48</v>
      </c>
      <c r="N85" s="4">
        <f t="shared" si="8"/>
        <v>1088.6198107485641</v>
      </c>
      <c r="O85" s="4">
        <v>3930000</v>
      </c>
      <c r="P85" s="4">
        <v>56200</v>
      </c>
      <c r="Q85" s="4">
        <v>73700</v>
      </c>
      <c r="R85" s="5">
        <v>48</v>
      </c>
      <c r="S85" s="4"/>
      <c r="T85" s="4">
        <v>7860000</v>
      </c>
      <c r="V85" s="4">
        <f t="shared" si="9"/>
        <v>1088.6198107485641</v>
      </c>
      <c r="W85" s="4"/>
      <c r="X85" s="9" t="str">
        <f t="shared" si="12"/>
        <v>a</v>
      </c>
      <c r="Y85" s="9" t="str">
        <f t="shared" si="12"/>
        <v>a</v>
      </c>
      <c r="Z85" s="31">
        <f t="shared" si="10"/>
        <v>32</v>
      </c>
      <c r="AA85" s="31">
        <f t="shared" si="11"/>
        <v>32</v>
      </c>
    </row>
    <row r="86" spans="1:27" ht="13">
      <c r="A86" s="9">
        <v>84</v>
      </c>
      <c r="B86" s="4" t="s">
        <v>1126</v>
      </c>
      <c r="C86" s="51"/>
      <c r="D86" s="8">
        <v>15</v>
      </c>
      <c r="E86" s="8">
        <v>139.69999999999999</v>
      </c>
      <c r="F86" s="8"/>
      <c r="G86" s="5">
        <v>4.5</v>
      </c>
      <c r="H86" s="5">
        <v>4.5</v>
      </c>
      <c r="I86" s="4">
        <v>1910</v>
      </c>
      <c r="J86" s="4">
        <v>4370000</v>
      </c>
      <c r="K86" s="4">
        <v>62600</v>
      </c>
      <c r="L86" s="4">
        <v>82300</v>
      </c>
      <c r="M86" s="4">
        <v>47.8</v>
      </c>
      <c r="N86" s="4">
        <f t="shared" si="8"/>
        <v>1215.9437652220804</v>
      </c>
      <c r="O86" s="4">
        <v>4370000</v>
      </c>
      <c r="P86" s="4">
        <v>62600</v>
      </c>
      <c r="Q86" s="4">
        <v>82300</v>
      </c>
      <c r="R86" s="5">
        <v>47.8</v>
      </c>
      <c r="S86" s="4"/>
      <c r="T86" s="4">
        <v>8740000</v>
      </c>
      <c r="V86" s="4">
        <f t="shared" si="9"/>
        <v>1215.9437652220804</v>
      </c>
      <c r="W86" s="4"/>
      <c r="X86" s="9" t="str">
        <f t="shared" si="12"/>
        <v>a</v>
      </c>
      <c r="Y86" s="9" t="str">
        <f t="shared" si="12"/>
        <v>a</v>
      </c>
      <c r="Z86" s="31">
        <f t="shared" si="10"/>
        <v>45.5625</v>
      </c>
      <c r="AA86" s="31">
        <f t="shared" si="11"/>
        <v>45.5625</v>
      </c>
    </row>
    <row r="87" spans="1:27" ht="13">
      <c r="A87" s="9">
        <v>85</v>
      </c>
      <c r="B87" s="4" t="s">
        <v>1127</v>
      </c>
      <c r="C87" s="51"/>
      <c r="D87" s="8">
        <v>16.600000000000001</v>
      </c>
      <c r="E87" s="8">
        <v>139.69999999999999</v>
      </c>
      <c r="F87" s="8"/>
      <c r="G87" s="5">
        <v>5</v>
      </c>
      <c r="H87" s="5">
        <v>5</v>
      </c>
      <c r="I87" s="4">
        <v>2120</v>
      </c>
      <c r="J87" s="4">
        <v>4810000</v>
      </c>
      <c r="K87" s="4">
        <v>68800</v>
      </c>
      <c r="L87" s="4">
        <v>90800</v>
      </c>
      <c r="M87" s="4">
        <v>47.7</v>
      </c>
      <c r="N87" s="4">
        <f t="shared" si="8"/>
        <v>1349.6339174192724</v>
      </c>
      <c r="O87" s="4">
        <v>4810000</v>
      </c>
      <c r="P87" s="4">
        <v>68800</v>
      </c>
      <c r="Q87" s="4">
        <v>90800</v>
      </c>
      <c r="R87" s="5">
        <v>47.7</v>
      </c>
      <c r="S87" s="4"/>
      <c r="T87" s="4">
        <v>9610000</v>
      </c>
      <c r="V87" s="4">
        <f t="shared" si="9"/>
        <v>1349.6339174192724</v>
      </c>
      <c r="W87" s="4"/>
      <c r="X87" s="9" t="str">
        <f t="shared" si="12"/>
        <v>a</v>
      </c>
      <c r="Y87" s="9" t="str">
        <f t="shared" si="12"/>
        <v>a</v>
      </c>
      <c r="Z87" s="31">
        <f t="shared" si="10"/>
        <v>62.5</v>
      </c>
      <c r="AA87" s="31">
        <f t="shared" si="11"/>
        <v>62.5</v>
      </c>
    </row>
    <row r="88" spans="1:27" ht="13">
      <c r="A88" s="9">
        <v>86</v>
      </c>
      <c r="B88" s="4" t="s">
        <v>1128</v>
      </c>
      <c r="C88" s="51"/>
      <c r="D88" s="8">
        <v>18.5</v>
      </c>
      <c r="E88" s="8">
        <v>139.69999999999999</v>
      </c>
      <c r="F88" s="8"/>
      <c r="G88" s="5">
        <v>5.6</v>
      </c>
      <c r="H88" s="5">
        <v>5.6</v>
      </c>
      <c r="I88" s="4">
        <v>2360</v>
      </c>
      <c r="J88" s="4">
        <v>5310000</v>
      </c>
      <c r="K88" s="4">
        <v>76100</v>
      </c>
      <c r="L88" s="4">
        <v>101000</v>
      </c>
      <c r="M88" s="4">
        <v>47.5</v>
      </c>
      <c r="N88" s="4">
        <f t="shared" si="8"/>
        <v>1502.4226627874921</v>
      </c>
      <c r="O88" s="4">
        <v>5310000</v>
      </c>
      <c r="P88" s="4">
        <v>76100</v>
      </c>
      <c r="Q88" s="4">
        <v>101000</v>
      </c>
      <c r="R88" s="5">
        <v>47.5</v>
      </c>
      <c r="S88" s="4"/>
      <c r="T88" s="4">
        <v>10620000</v>
      </c>
      <c r="V88" s="4">
        <f t="shared" si="9"/>
        <v>1502.4226627874921</v>
      </c>
      <c r="W88" s="4"/>
      <c r="X88" s="9" t="str">
        <f t="shared" si="12"/>
        <v>a</v>
      </c>
      <c r="Y88" s="9" t="str">
        <f t="shared" si="12"/>
        <v>a</v>
      </c>
      <c r="Z88" s="31">
        <f t="shared" si="10"/>
        <v>87.807999999999979</v>
      </c>
      <c r="AA88" s="31">
        <f t="shared" si="11"/>
        <v>87.807999999999979</v>
      </c>
    </row>
    <row r="89" spans="1:27" ht="13">
      <c r="A89" s="9">
        <v>87</v>
      </c>
      <c r="B89" s="4" t="s">
        <v>1129</v>
      </c>
      <c r="C89" s="51"/>
      <c r="D89" s="8">
        <v>20.7</v>
      </c>
      <c r="E89" s="8">
        <v>139.69999999999999</v>
      </c>
      <c r="F89" s="8"/>
      <c r="G89" s="5">
        <v>6.3</v>
      </c>
      <c r="H89" s="5">
        <v>6.3</v>
      </c>
      <c r="I89" s="4">
        <v>2640</v>
      </c>
      <c r="J89" s="4">
        <v>5890000</v>
      </c>
      <c r="K89" s="4">
        <v>84300</v>
      </c>
      <c r="L89" s="4">
        <v>112000</v>
      </c>
      <c r="M89" s="4">
        <v>47.2</v>
      </c>
      <c r="N89" s="4">
        <f t="shared" si="8"/>
        <v>1680.6761990504149</v>
      </c>
      <c r="O89" s="4">
        <v>5890000</v>
      </c>
      <c r="P89" s="4">
        <v>84300</v>
      </c>
      <c r="Q89" s="4">
        <v>112000</v>
      </c>
      <c r="R89" s="5">
        <v>47.2</v>
      </c>
      <c r="S89" s="4"/>
      <c r="T89" s="4">
        <v>11770000</v>
      </c>
      <c r="V89" s="4">
        <f t="shared" si="9"/>
        <v>1680.6761990504149</v>
      </c>
      <c r="W89" s="4"/>
      <c r="X89" s="9" t="str">
        <f t="shared" si="12"/>
        <v>a</v>
      </c>
      <c r="Y89" s="9" t="str">
        <f t="shared" si="12"/>
        <v>a</v>
      </c>
      <c r="Z89" s="31">
        <f t="shared" si="10"/>
        <v>125.02349999999998</v>
      </c>
      <c r="AA89" s="31">
        <f t="shared" si="11"/>
        <v>125.02349999999998</v>
      </c>
    </row>
    <row r="90" spans="1:27" ht="13">
      <c r="A90" s="9">
        <v>88</v>
      </c>
      <c r="B90" s="4" t="s">
        <v>1130</v>
      </c>
      <c r="C90" s="51"/>
      <c r="D90" s="8">
        <v>26</v>
      </c>
      <c r="E90" s="8">
        <v>139.69999999999999</v>
      </c>
      <c r="F90" s="8"/>
      <c r="G90" s="5">
        <v>8</v>
      </c>
      <c r="H90" s="5">
        <v>8</v>
      </c>
      <c r="I90" s="4">
        <v>3310</v>
      </c>
      <c r="J90" s="4">
        <v>7200000</v>
      </c>
      <c r="K90" s="4">
        <v>103000</v>
      </c>
      <c r="L90" s="4">
        <v>139000</v>
      </c>
      <c r="M90" s="4">
        <v>46.6</v>
      </c>
      <c r="N90" s="4">
        <f t="shared" si="8"/>
        <v>2107.2114465366944</v>
      </c>
      <c r="O90" s="4">
        <v>7200000</v>
      </c>
      <c r="P90" s="4">
        <v>103000</v>
      </c>
      <c r="Q90" s="4">
        <v>139000</v>
      </c>
      <c r="R90" s="5">
        <v>46.6</v>
      </c>
      <c r="S90" s="4"/>
      <c r="T90" s="4">
        <v>14410000</v>
      </c>
      <c r="V90" s="4">
        <f t="shared" si="9"/>
        <v>2107.2114465366944</v>
      </c>
      <c r="W90" s="4"/>
      <c r="X90" s="9" t="str">
        <f t="shared" si="12"/>
        <v>a</v>
      </c>
      <c r="Y90" s="9" t="str">
        <f t="shared" si="12"/>
        <v>a</v>
      </c>
      <c r="Z90" s="31">
        <f t="shared" si="10"/>
        <v>256</v>
      </c>
      <c r="AA90" s="31">
        <f t="shared" si="11"/>
        <v>256</v>
      </c>
    </row>
    <row r="91" spans="1:27" ht="13">
      <c r="A91" s="9">
        <v>89</v>
      </c>
      <c r="B91" s="4" t="s">
        <v>1131</v>
      </c>
      <c r="C91" s="51"/>
      <c r="D91" s="8">
        <v>32</v>
      </c>
      <c r="E91" s="8">
        <v>139.69999999999999</v>
      </c>
      <c r="F91" s="8"/>
      <c r="G91" s="5">
        <v>10</v>
      </c>
      <c r="H91" s="5">
        <v>10</v>
      </c>
      <c r="I91" s="4">
        <v>4070</v>
      </c>
      <c r="J91" s="4">
        <v>8620000</v>
      </c>
      <c r="K91" s="4">
        <v>123000</v>
      </c>
      <c r="L91" s="4">
        <v>169000</v>
      </c>
      <c r="M91" s="4">
        <v>46</v>
      </c>
      <c r="N91" s="4">
        <f t="shared" si="8"/>
        <v>2591.0424735360561</v>
      </c>
      <c r="O91" s="4">
        <v>8620000</v>
      </c>
      <c r="P91" s="4">
        <v>123000</v>
      </c>
      <c r="Q91" s="4">
        <v>169000</v>
      </c>
      <c r="R91" s="5">
        <v>46</v>
      </c>
      <c r="S91" s="4"/>
      <c r="T91" s="4">
        <v>17240000</v>
      </c>
      <c r="V91" s="4">
        <f t="shared" si="9"/>
        <v>2591.0424735360561</v>
      </c>
      <c r="W91" s="4"/>
      <c r="X91" s="9" t="str">
        <f t="shared" si="12"/>
        <v>a</v>
      </c>
      <c r="Y91" s="9" t="str">
        <f t="shared" si="12"/>
        <v>a</v>
      </c>
      <c r="Z91" s="31">
        <f t="shared" si="10"/>
        <v>500</v>
      </c>
      <c r="AA91" s="31">
        <f t="shared" si="11"/>
        <v>500</v>
      </c>
    </row>
    <row r="92" spans="1:27" ht="13">
      <c r="A92" s="9">
        <v>90</v>
      </c>
      <c r="B92" s="4" t="s">
        <v>1132</v>
      </c>
      <c r="C92" s="51"/>
      <c r="D92" s="8">
        <v>39.200000000000003</v>
      </c>
      <c r="E92" s="8">
        <v>139.69999999999999</v>
      </c>
      <c r="F92" s="8"/>
      <c r="G92" s="5">
        <v>12.5</v>
      </c>
      <c r="H92" s="5">
        <v>12.5</v>
      </c>
      <c r="I92" s="4">
        <v>5000</v>
      </c>
      <c r="J92" s="4">
        <v>10200000</v>
      </c>
      <c r="K92" s="4">
        <v>146000</v>
      </c>
      <c r="L92" s="4">
        <v>203000</v>
      </c>
      <c r="M92" s="4">
        <v>45.2</v>
      </c>
      <c r="N92" s="4">
        <f t="shared" si="8"/>
        <v>3183.098861837907</v>
      </c>
      <c r="O92" s="4">
        <v>10200000</v>
      </c>
      <c r="P92" s="4">
        <v>146000</v>
      </c>
      <c r="Q92" s="4">
        <v>203000</v>
      </c>
      <c r="R92" s="5">
        <v>45.2</v>
      </c>
      <c r="S92" s="4"/>
      <c r="T92" s="4">
        <v>20400000</v>
      </c>
      <c r="V92" s="4">
        <f t="shared" si="9"/>
        <v>3183.098861837907</v>
      </c>
      <c r="W92" s="4"/>
      <c r="X92" s="9" t="str">
        <f t="shared" si="12"/>
        <v>a</v>
      </c>
      <c r="Y92" s="9" t="str">
        <f t="shared" si="12"/>
        <v>a</v>
      </c>
      <c r="Z92" s="31">
        <f t="shared" si="10"/>
        <v>976.5625</v>
      </c>
      <c r="AA92" s="31">
        <f t="shared" si="11"/>
        <v>976.5625</v>
      </c>
    </row>
    <row r="93" spans="1:27" ht="13">
      <c r="A93" s="9">
        <v>91</v>
      </c>
      <c r="B93" s="4" t="s">
        <v>1133</v>
      </c>
      <c r="C93" s="51"/>
      <c r="D93" s="8">
        <v>16.2</v>
      </c>
      <c r="E93" s="8">
        <v>168.3</v>
      </c>
      <c r="F93" s="8"/>
      <c r="G93" s="5">
        <v>4</v>
      </c>
      <c r="H93" s="5">
        <v>4</v>
      </c>
      <c r="I93" s="4">
        <v>2060</v>
      </c>
      <c r="J93" s="4">
        <v>6970000</v>
      </c>
      <c r="K93" s="4">
        <v>83000</v>
      </c>
      <c r="L93" s="4">
        <v>108000</v>
      </c>
      <c r="M93" s="4">
        <v>58.1</v>
      </c>
      <c r="N93" s="4">
        <f t="shared" si="8"/>
        <v>1311.4367310772177</v>
      </c>
      <c r="O93" s="4">
        <v>6970000</v>
      </c>
      <c r="P93" s="4">
        <v>83000</v>
      </c>
      <c r="Q93" s="4">
        <v>108000</v>
      </c>
      <c r="R93" s="5">
        <v>58.1</v>
      </c>
      <c r="S93" s="4"/>
      <c r="T93" s="4">
        <v>13940000</v>
      </c>
      <c r="V93" s="4">
        <f t="shared" si="9"/>
        <v>1311.4367310772177</v>
      </c>
      <c r="W93" s="4"/>
      <c r="X93" s="9" t="str">
        <f t="shared" si="12"/>
        <v>a</v>
      </c>
      <c r="Y93" s="9" t="str">
        <f t="shared" si="12"/>
        <v>a</v>
      </c>
      <c r="Z93" s="31">
        <f t="shared" si="10"/>
        <v>32</v>
      </c>
      <c r="AA93" s="31">
        <f t="shared" si="11"/>
        <v>32</v>
      </c>
    </row>
    <row r="94" spans="1:27" ht="13">
      <c r="A94" s="9">
        <v>92</v>
      </c>
      <c r="B94" s="4" t="s">
        <v>1134</v>
      </c>
      <c r="C94" s="51"/>
      <c r="D94" s="8">
        <v>20.100000000000001</v>
      </c>
      <c r="E94" s="8">
        <v>168.3</v>
      </c>
      <c r="F94" s="8"/>
      <c r="G94" s="5">
        <v>5</v>
      </c>
      <c r="H94" s="5">
        <v>5</v>
      </c>
      <c r="I94" s="4">
        <v>2570</v>
      </c>
      <c r="J94" s="4">
        <v>8560000</v>
      </c>
      <c r="K94" s="4">
        <v>102000</v>
      </c>
      <c r="L94" s="4">
        <v>133000</v>
      </c>
      <c r="M94" s="4">
        <v>57.8</v>
      </c>
      <c r="N94" s="4">
        <f t="shared" si="8"/>
        <v>1636.1128149846841</v>
      </c>
      <c r="O94" s="4">
        <v>8560000</v>
      </c>
      <c r="P94" s="4">
        <v>102000</v>
      </c>
      <c r="Q94" s="4">
        <v>133000</v>
      </c>
      <c r="R94" s="5">
        <v>57.8</v>
      </c>
      <c r="S94" s="4"/>
      <c r="T94" s="4">
        <v>17120000</v>
      </c>
      <c r="V94" s="4">
        <f t="shared" si="9"/>
        <v>1636.1128149846841</v>
      </c>
      <c r="W94" s="4"/>
      <c r="X94" s="9" t="str">
        <f t="shared" si="12"/>
        <v>a</v>
      </c>
      <c r="Y94" s="9" t="str">
        <f t="shared" si="12"/>
        <v>a</v>
      </c>
      <c r="Z94" s="31">
        <f t="shared" si="10"/>
        <v>62.5</v>
      </c>
      <c r="AA94" s="31">
        <f t="shared" si="11"/>
        <v>62.5</v>
      </c>
    </row>
    <row r="95" spans="1:27" ht="13">
      <c r="A95" s="9">
        <v>93</v>
      </c>
      <c r="B95" s="4" t="s">
        <v>1135</v>
      </c>
      <c r="C95" s="51"/>
      <c r="D95" s="8">
        <v>22.5</v>
      </c>
      <c r="E95" s="8">
        <v>168.3</v>
      </c>
      <c r="F95" s="8"/>
      <c r="G95" s="5">
        <v>5.6</v>
      </c>
      <c r="H95" s="5">
        <v>5.6</v>
      </c>
      <c r="I95" s="4">
        <v>2860</v>
      </c>
      <c r="J95" s="4">
        <v>9480000</v>
      </c>
      <c r="K95" s="4">
        <v>113000</v>
      </c>
      <c r="L95" s="4">
        <v>148000</v>
      </c>
      <c r="M95" s="4">
        <v>57.6</v>
      </c>
      <c r="N95" s="4">
        <f t="shared" si="8"/>
        <v>1820.7325489712828</v>
      </c>
      <c r="O95" s="4">
        <v>9480000</v>
      </c>
      <c r="P95" s="4">
        <v>113000</v>
      </c>
      <c r="Q95" s="4">
        <v>148000</v>
      </c>
      <c r="R95" s="5">
        <v>57.6</v>
      </c>
      <c r="S95" s="4"/>
      <c r="T95" s="4">
        <v>18970000</v>
      </c>
      <c r="V95" s="4">
        <f t="shared" si="9"/>
        <v>1820.7325489712828</v>
      </c>
      <c r="W95" s="4"/>
      <c r="X95" s="9" t="str">
        <f t="shared" si="12"/>
        <v>a</v>
      </c>
      <c r="Y95" s="9" t="str">
        <f t="shared" si="12"/>
        <v>a</v>
      </c>
      <c r="Z95" s="31">
        <f t="shared" si="10"/>
        <v>87.807999999999979</v>
      </c>
      <c r="AA95" s="31">
        <f t="shared" si="11"/>
        <v>87.807999999999979</v>
      </c>
    </row>
    <row r="96" spans="1:27" ht="13">
      <c r="A96" s="9">
        <v>94</v>
      </c>
      <c r="B96" s="4" t="s">
        <v>1136</v>
      </c>
      <c r="C96" s="51"/>
      <c r="D96" s="8">
        <v>25.2</v>
      </c>
      <c r="E96" s="8">
        <v>168.3</v>
      </c>
      <c r="F96" s="8"/>
      <c r="G96" s="5">
        <v>6.3</v>
      </c>
      <c r="H96" s="5">
        <v>6.3</v>
      </c>
      <c r="I96" s="4">
        <v>3210</v>
      </c>
      <c r="J96" s="4">
        <v>10530000</v>
      </c>
      <c r="K96" s="4">
        <v>125000</v>
      </c>
      <c r="L96" s="4">
        <v>165000</v>
      </c>
      <c r="M96" s="4">
        <v>57.3</v>
      </c>
      <c r="N96" s="4">
        <f t="shared" si="8"/>
        <v>2043.5494692999362</v>
      </c>
      <c r="O96" s="4">
        <v>10530000</v>
      </c>
      <c r="P96" s="4">
        <v>125000</v>
      </c>
      <c r="Q96" s="4">
        <v>165000</v>
      </c>
      <c r="R96" s="5">
        <v>57.3</v>
      </c>
      <c r="S96" s="4"/>
      <c r="T96" s="4">
        <v>21070000</v>
      </c>
      <c r="V96" s="4">
        <f t="shared" si="9"/>
        <v>2043.5494692999362</v>
      </c>
      <c r="W96" s="4"/>
      <c r="X96" s="9" t="str">
        <f t="shared" si="12"/>
        <v>a</v>
      </c>
      <c r="Y96" s="9" t="str">
        <f t="shared" si="12"/>
        <v>a</v>
      </c>
      <c r="Z96" s="31">
        <f t="shared" si="10"/>
        <v>125.02349999999998</v>
      </c>
      <c r="AA96" s="31">
        <f t="shared" si="11"/>
        <v>125.02349999999998</v>
      </c>
    </row>
    <row r="97" spans="1:27" ht="13">
      <c r="A97" s="9">
        <v>95</v>
      </c>
      <c r="B97" s="4" t="s">
        <v>1137</v>
      </c>
      <c r="C97" s="51"/>
      <c r="D97" s="8">
        <v>31.6</v>
      </c>
      <c r="E97" s="8">
        <v>168.3</v>
      </c>
      <c r="F97" s="8"/>
      <c r="G97" s="5">
        <v>8</v>
      </c>
      <c r="H97" s="5">
        <v>8</v>
      </c>
      <c r="I97" s="4">
        <v>4030</v>
      </c>
      <c r="J97" s="4">
        <v>12970000</v>
      </c>
      <c r="K97" s="4">
        <v>154000</v>
      </c>
      <c r="L97" s="4">
        <v>206000</v>
      </c>
      <c r="M97" s="4">
        <v>56.7</v>
      </c>
      <c r="N97" s="4">
        <f t="shared" si="8"/>
        <v>2565.577682641353</v>
      </c>
      <c r="O97" s="4">
        <v>12970000</v>
      </c>
      <c r="P97" s="4">
        <v>154000</v>
      </c>
      <c r="Q97" s="4">
        <v>206000</v>
      </c>
      <c r="R97" s="5">
        <v>56.7</v>
      </c>
      <c r="S97" s="4"/>
      <c r="T97" s="4">
        <v>25950000</v>
      </c>
      <c r="V97" s="4">
        <f t="shared" si="9"/>
        <v>2565.577682641353</v>
      </c>
      <c r="W97" s="4"/>
      <c r="X97" s="9" t="str">
        <f t="shared" si="12"/>
        <v>a</v>
      </c>
      <c r="Y97" s="9" t="str">
        <f t="shared" si="12"/>
        <v>a</v>
      </c>
      <c r="Z97" s="31">
        <f t="shared" si="10"/>
        <v>256</v>
      </c>
      <c r="AA97" s="31">
        <f t="shared" si="11"/>
        <v>256</v>
      </c>
    </row>
    <row r="98" spans="1:27" ht="13">
      <c r="A98" s="9">
        <v>96</v>
      </c>
      <c r="B98" s="4" t="s">
        <v>1138</v>
      </c>
      <c r="C98" s="51"/>
      <c r="D98" s="8">
        <v>39</v>
      </c>
      <c r="E98" s="8">
        <v>168.3</v>
      </c>
      <c r="F98" s="8"/>
      <c r="G98" s="5">
        <v>10</v>
      </c>
      <c r="H98" s="5">
        <v>10</v>
      </c>
      <c r="I98" s="4">
        <v>4970</v>
      </c>
      <c r="J98" s="4">
        <v>15640000</v>
      </c>
      <c r="K98" s="4">
        <v>186000</v>
      </c>
      <c r="L98" s="4">
        <v>251000</v>
      </c>
      <c r="M98" s="4">
        <v>56.1</v>
      </c>
      <c r="N98" s="4">
        <f t="shared" si="8"/>
        <v>3164.0002686668795</v>
      </c>
      <c r="O98" s="4">
        <v>15640000</v>
      </c>
      <c r="P98" s="4">
        <v>186000</v>
      </c>
      <c r="Q98" s="4">
        <v>251000</v>
      </c>
      <c r="R98" s="5">
        <v>56.1</v>
      </c>
      <c r="S98" s="4"/>
      <c r="T98" s="4">
        <v>31280000</v>
      </c>
      <c r="V98" s="4">
        <f t="shared" si="9"/>
        <v>3164.0002686668795</v>
      </c>
      <c r="W98" s="4"/>
      <c r="X98" s="9" t="str">
        <f t="shared" si="12"/>
        <v>a</v>
      </c>
      <c r="Y98" s="9" t="str">
        <f t="shared" si="12"/>
        <v>a</v>
      </c>
      <c r="Z98" s="31">
        <f t="shared" si="10"/>
        <v>500</v>
      </c>
      <c r="AA98" s="31">
        <f t="shared" si="11"/>
        <v>500</v>
      </c>
    </row>
    <row r="99" spans="1:27" ht="13">
      <c r="A99" s="9">
        <v>97</v>
      </c>
      <c r="B99" s="4" t="s">
        <v>1139</v>
      </c>
      <c r="C99" s="51"/>
      <c r="D99" s="8">
        <v>48</v>
      </c>
      <c r="E99" s="8">
        <v>168.3</v>
      </c>
      <c r="F99" s="8"/>
      <c r="G99" s="5">
        <v>12.5</v>
      </c>
      <c r="H99" s="5">
        <v>12.5</v>
      </c>
      <c r="I99" s="4">
        <v>6120</v>
      </c>
      <c r="J99" s="4">
        <v>18680000</v>
      </c>
      <c r="K99" s="4">
        <v>222000</v>
      </c>
      <c r="L99" s="4">
        <v>304000</v>
      </c>
      <c r="M99" s="4">
        <v>55.3</v>
      </c>
      <c r="N99" s="4">
        <f t="shared" si="8"/>
        <v>3896.1130068895982</v>
      </c>
      <c r="O99" s="4">
        <v>18680000</v>
      </c>
      <c r="P99" s="4">
        <v>222000</v>
      </c>
      <c r="Q99" s="4">
        <v>304000</v>
      </c>
      <c r="R99" s="5">
        <v>55.3</v>
      </c>
      <c r="S99" s="4"/>
      <c r="T99" s="4">
        <v>37370000</v>
      </c>
      <c r="V99" s="4">
        <f t="shared" si="9"/>
        <v>3896.1130068895982</v>
      </c>
      <c r="W99" s="4"/>
      <c r="X99" s="9" t="str">
        <f t="shared" si="12"/>
        <v>a</v>
      </c>
      <c r="Y99" s="9" t="str">
        <f t="shared" si="12"/>
        <v>a</v>
      </c>
      <c r="Z99" s="31">
        <f t="shared" si="10"/>
        <v>976.5625</v>
      </c>
      <c r="AA99" s="31">
        <f t="shared" si="11"/>
        <v>976.5625</v>
      </c>
    </row>
    <row r="100" spans="1:27" ht="13">
      <c r="A100" s="9">
        <v>98</v>
      </c>
      <c r="B100" s="4" t="s">
        <v>1140</v>
      </c>
      <c r="C100" s="51"/>
      <c r="D100" s="8">
        <v>21.3</v>
      </c>
      <c r="E100" s="8">
        <v>177.8</v>
      </c>
      <c r="F100" s="8"/>
      <c r="G100" s="5">
        <v>5</v>
      </c>
      <c r="H100" s="5">
        <v>5</v>
      </c>
      <c r="I100" s="4">
        <v>2710</v>
      </c>
      <c r="J100" s="4">
        <v>10140000</v>
      </c>
      <c r="K100" s="4">
        <v>114000</v>
      </c>
      <c r="L100" s="4">
        <v>149000</v>
      </c>
      <c r="M100" s="4">
        <v>61.1</v>
      </c>
      <c r="N100" s="4">
        <f t="shared" si="8"/>
        <v>1725.2395831161455</v>
      </c>
      <c r="O100" s="4">
        <v>10140000</v>
      </c>
      <c r="P100" s="4">
        <v>114000</v>
      </c>
      <c r="Q100" s="4">
        <v>149000</v>
      </c>
      <c r="R100" s="5">
        <v>61.1</v>
      </c>
      <c r="S100" s="4"/>
      <c r="T100" s="4">
        <v>20280000</v>
      </c>
      <c r="V100" s="4">
        <f t="shared" si="9"/>
        <v>1725.2395831161455</v>
      </c>
      <c r="W100" s="4"/>
      <c r="X100" s="9" t="str">
        <f t="shared" si="12"/>
        <v>a</v>
      </c>
      <c r="Y100" s="9" t="str">
        <f t="shared" si="12"/>
        <v>a</v>
      </c>
      <c r="Z100" s="31">
        <f t="shared" si="10"/>
        <v>62.5</v>
      </c>
      <c r="AA100" s="31">
        <f t="shared" si="11"/>
        <v>62.5</v>
      </c>
    </row>
    <row r="101" spans="1:27" ht="13">
      <c r="A101" s="9">
        <v>99</v>
      </c>
      <c r="B101" s="4" t="s">
        <v>1141</v>
      </c>
      <c r="C101" s="51"/>
      <c r="D101" s="8">
        <v>26.6</v>
      </c>
      <c r="E101" s="8">
        <v>177.8</v>
      </c>
      <c r="F101" s="8"/>
      <c r="G101" s="5">
        <v>6.3</v>
      </c>
      <c r="H101" s="5">
        <v>6.3</v>
      </c>
      <c r="I101" s="4">
        <v>3390</v>
      </c>
      <c r="J101" s="4">
        <v>12500000</v>
      </c>
      <c r="K101" s="4">
        <v>141000</v>
      </c>
      <c r="L101" s="4">
        <v>185000</v>
      </c>
      <c r="M101" s="4">
        <v>60.7</v>
      </c>
      <c r="N101" s="4">
        <f t="shared" si="8"/>
        <v>2158.1410283261007</v>
      </c>
      <c r="O101" s="4">
        <v>12500000</v>
      </c>
      <c r="P101" s="4">
        <v>141000</v>
      </c>
      <c r="Q101" s="4">
        <v>185000</v>
      </c>
      <c r="R101" s="5">
        <v>60.7</v>
      </c>
      <c r="S101" s="4"/>
      <c r="T101" s="4">
        <v>24990000</v>
      </c>
      <c r="V101" s="4">
        <f t="shared" si="9"/>
        <v>2158.1410283261007</v>
      </c>
      <c r="W101" s="4"/>
      <c r="X101" s="9" t="str">
        <f t="shared" si="12"/>
        <v>a</v>
      </c>
      <c r="Y101" s="9" t="str">
        <f t="shared" si="12"/>
        <v>a</v>
      </c>
      <c r="Z101" s="31">
        <f t="shared" si="10"/>
        <v>125.02349999999998</v>
      </c>
      <c r="AA101" s="31">
        <f t="shared" si="11"/>
        <v>125.02349999999998</v>
      </c>
    </row>
    <row r="102" spans="1:27" ht="13">
      <c r="A102" s="9">
        <v>100</v>
      </c>
      <c r="B102" s="4" t="s">
        <v>1142</v>
      </c>
      <c r="C102" s="51"/>
      <c r="D102" s="8">
        <v>33.5</v>
      </c>
      <c r="E102" s="8">
        <v>177.8</v>
      </c>
      <c r="F102" s="8"/>
      <c r="G102" s="5">
        <v>8</v>
      </c>
      <c r="H102" s="5">
        <v>8</v>
      </c>
      <c r="I102" s="4">
        <v>4270</v>
      </c>
      <c r="J102" s="4">
        <v>15410000</v>
      </c>
      <c r="K102" s="4">
        <v>173000</v>
      </c>
      <c r="L102" s="4">
        <v>231000</v>
      </c>
      <c r="M102" s="4">
        <v>60.1</v>
      </c>
      <c r="N102" s="4">
        <f t="shared" si="8"/>
        <v>2718.3664280095722</v>
      </c>
      <c r="O102" s="4">
        <v>15410000</v>
      </c>
      <c r="P102" s="4">
        <v>173000</v>
      </c>
      <c r="Q102" s="4">
        <v>231000</v>
      </c>
      <c r="R102" s="5">
        <v>60.1</v>
      </c>
      <c r="S102" s="4"/>
      <c r="T102" s="4">
        <v>30830000</v>
      </c>
      <c r="V102" s="4">
        <f t="shared" si="9"/>
        <v>2718.3664280095722</v>
      </c>
      <c r="W102" s="4"/>
      <c r="X102" s="9" t="str">
        <f t="shared" si="12"/>
        <v>a</v>
      </c>
      <c r="Y102" s="9" t="str">
        <f t="shared" si="12"/>
        <v>a</v>
      </c>
      <c r="Z102" s="31">
        <f t="shared" si="10"/>
        <v>256</v>
      </c>
      <c r="AA102" s="31">
        <f t="shared" si="11"/>
        <v>256</v>
      </c>
    </row>
    <row r="103" spans="1:27" ht="13">
      <c r="A103" s="9">
        <v>101</v>
      </c>
      <c r="B103" s="4" t="s">
        <v>1143</v>
      </c>
      <c r="C103" s="51"/>
      <c r="D103" s="8">
        <v>41.4</v>
      </c>
      <c r="E103" s="8">
        <v>177.8</v>
      </c>
      <c r="F103" s="8"/>
      <c r="G103" s="5">
        <v>10</v>
      </c>
      <c r="H103" s="5">
        <v>10</v>
      </c>
      <c r="I103" s="4">
        <v>5270</v>
      </c>
      <c r="J103" s="4">
        <v>18620000</v>
      </c>
      <c r="K103" s="4">
        <v>209000</v>
      </c>
      <c r="L103" s="4">
        <v>282000</v>
      </c>
      <c r="M103" s="4">
        <v>59.4</v>
      </c>
      <c r="N103" s="4">
        <f t="shared" si="8"/>
        <v>3354.9862003771536</v>
      </c>
      <c r="O103" s="4">
        <v>18620000</v>
      </c>
      <c r="P103" s="4">
        <v>209000</v>
      </c>
      <c r="Q103" s="4">
        <v>282000</v>
      </c>
      <c r="R103" s="5">
        <v>59.4</v>
      </c>
      <c r="S103" s="4"/>
      <c r="T103" s="4">
        <v>37240000</v>
      </c>
      <c r="V103" s="4">
        <f t="shared" si="9"/>
        <v>3354.9862003771536</v>
      </c>
      <c r="W103" s="4"/>
      <c r="X103" s="9" t="str">
        <f t="shared" ref="X103:Y122" si="13">IF(fy=460,"a0","a")</f>
        <v>a</v>
      </c>
      <c r="Y103" s="9" t="str">
        <f t="shared" si="13"/>
        <v>a</v>
      </c>
      <c r="Z103" s="31">
        <f t="shared" si="10"/>
        <v>500</v>
      </c>
      <c r="AA103" s="31">
        <f t="shared" si="11"/>
        <v>500</v>
      </c>
    </row>
    <row r="104" spans="1:27" ht="13">
      <c r="A104" s="9">
        <v>102</v>
      </c>
      <c r="B104" s="4" t="s">
        <v>1144</v>
      </c>
      <c r="C104" s="51"/>
      <c r="D104" s="8">
        <v>51</v>
      </c>
      <c r="E104" s="8">
        <v>177.8</v>
      </c>
      <c r="F104" s="8"/>
      <c r="G104" s="5">
        <v>12.5</v>
      </c>
      <c r="H104" s="5">
        <v>12.5</v>
      </c>
      <c r="I104" s="4">
        <v>6490</v>
      </c>
      <c r="J104" s="4">
        <v>22300000</v>
      </c>
      <c r="K104" s="4">
        <v>251000</v>
      </c>
      <c r="L104" s="4">
        <v>342000</v>
      </c>
      <c r="M104" s="4">
        <v>58.6</v>
      </c>
      <c r="N104" s="4">
        <f t="shared" si="8"/>
        <v>4131.6623226656029</v>
      </c>
      <c r="O104" s="4">
        <v>22300000</v>
      </c>
      <c r="P104" s="4">
        <v>251000</v>
      </c>
      <c r="Q104" s="4">
        <v>342000</v>
      </c>
      <c r="R104" s="5">
        <v>58.6</v>
      </c>
      <c r="S104" s="4"/>
      <c r="T104" s="4">
        <v>44600000</v>
      </c>
      <c r="V104" s="4">
        <f t="shared" si="9"/>
        <v>4131.6623226656029</v>
      </c>
      <c r="W104" s="4"/>
      <c r="X104" s="9" t="str">
        <f t="shared" si="13"/>
        <v>a</v>
      </c>
      <c r="Y104" s="9" t="str">
        <f t="shared" si="13"/>
        <v>a</v>
      </c>
      <c r="Z104" s="31">
        <f t="shared" si="10"/>
        <v>976.5625</v>
      </c>
      <c r="AA104" s="31">
        <f t="shared" si="11"/>
        <v>976.5625</v>
      </c>
    </row>
    <row r="105" spans="1:27" ht="13">
      <c r="A105" s="9">
        <v>103</v>
      </c>
      <c r="B105" s="4" t="s">
        <v>1145</v>
      </c>
      <c r="C105" s="51"/>
      <c r="D105" s="8">
        <v>23.3</v>
      </c>
      <c r="E105" s="8">
        <v>193.7</v>
      </c>
      <c r="F105" s="8"/>
      <c r="G105" s="5">
        <v>5</v>
      </c>
      <c r="H105" s="5">
        <v>5</v>
      </c>
      <c r="I105" s="4">
        <v>2960</v>
      </c>
      <c r="J105" s="4">
        <v>13200000</v>
      </c>
      <c r="K105" s="4">
        <v>136000</v>
      </c>
      <c r="L105" s="4">
        <v>178000</v>
      </c>
      <c r="M105" s="4">
        <v>66.7</v>
      </c>
      <c r="N105" s="4">
        <f t="shared" si="8"/>
        <v>1884.3945262080408</v>
      </c>
      <c r="O105" s="4">
        <v>13200000</v>
      </c>
      <c r="P105" s="4">
        <v>136000</v>
      </c>
      <c r="Q105" s="4">
        <v>178000</v>
      </c>
      <c r="R105" s="5">
        <v>66.7</v>
      </c>
      <c r="S105" s="4"/>
      <c r="T105" s="4">
        <v>26400000</v>
      </c>
      <c r="V105" s="4">
        <f t="shared" si="9"/>
        <v>1884.3945262080408</v>
      </c>
      <c r="W105" s="4"/>
      <c r="X105" s="9" t="str">
        <f t="shared" si="13"/>
        <v>a</v>
      </c>
      <c r="Y105" s="9" t="str">
        <f t="shared" si="13"/>
        <v>a</v>
      </c>
      <c r="Z105" s="31">
        <f t="shared" si="10"/>
        <v>62.5</v>
      </c>
      <c r="AA105" s="31">
        <f t="shared" si="11"/>
        <v>62.5</v>
      </c>
    </row>
    <row r="106" spans="1:27" ht="13">
      <c r="A106" s="9">
        <v>104</v>
      </c>
      <c r="B106" s="4" t="s">
        <v>1146</v>
      </c>
      <c r="C106" s="51"/>
      <c r="D106" s="8">
        <v>26</v>
      </c>
      <c r="E106" s="8">
        <v>193.7</v>
      </c>
      <c r="F106" s="8"/>
      <c r="G106" s="5">
        <v>5.6</v>
      </c>
      <c r="H106" s="5">
        <v>5.6</v>
      </c>
      <c r="I106" s="4">
        <v>3310</v>
      </c>
      <c r="J106" s="4">
        <v>14650000</v>
      </c>
      <c r="K106" s="4">
        <v>151000</v>
      </c>
      <c r="L106" s="4">
        <v>198000</v>
      </c>
      <c r="M106" s="4">
        <v>66.5</v>
      </c>
      <c r="N106" s="4">
        <f t="shared" si="8"/>
        <v>2107.2114465366944</v>
      </c>
      <c r="O106" s="4">
        <v>14650000</v>
      </c>
      <c r="P106" s="4">
        <v>151000</v>
      </c>
      <c r="Q106" s="4">
        <v>198000</v>
      </c>
      <c r="R106" s="5">
        <v>66.5</v>
      </c>
      <c r="S106" s="4"/>
      <c r="T106" s="4">
        <v>29300000</v>
      </c>
      <c r="V106" s="4">
        <f t="shared" si="9"/>
        <v>2107.2114465366944</v>
      </c>
      <c r="W106" s="4"/>
      <c r="X106" s="9" t="str">
        <f t="shared" si="13"/>
        <v>a</v>
      </c>
      <c r="Y106" s="9" t="str">
        <f t="shared" si="13"/>
        <v>a</v>
      </c>
      <c r="Z106" s="31">
        <f t="shared" si="10"/>
        <v>87.807999999999979</v>
      </c>
      <c r="AA106" s="31">
        <f t="shared" si="11"/>
        <v>87.807999999999979</v>
      </c>
    </row>
    <row r="107" spans="1:27" ht="13">
      <c r="A107" s="9">
        <v>105</v>
      </c>
      <c r="B107" s="4" t="s">
        <v>1147</v>
      </c>
      <c r="C107" s="51"/>
      <c r="D107" s="8">
        <v>29.1</v>
      </c>
      <c r="E107" s="8">
        <v>193.7</v>
      </c>
      <c r="F107" s="8"/>
      <c r="G107" s="5">
        <v>6.3</v>
      </c>
      <c r="H107" s="5">
        <v>6.3</v>
      </c>
      <c r="I107" s="4">
        <v>3710</v>
      </c>
      <c r="J107" s="4">
        <v>16300000</v>
      </c>
      <c r="K107" s="4">
        <v>168000</v>
      </c>
      <c r="L107" s="4">
        <v>221000</v>
      </c>
      <c r="M107" s="4">
        <v>66.3</v>
      </c>
      <c r="N107" s="4">
        <f t="shared" si="8"/>
        <v>2361.8593554837271</v>
      </c>
      <c r="O107" s="4">
        <v>16300000</v>
      </c>
      <c r="P107" s="4">
        <v>168000</v>
      </c>
      <c r="Q107" s="4">
        <v>221000</v>
      </c>
      <c r="R107" s="5">
        <v>66.3</v>
      </c>
      <c r="S107" s="4"/>
      <c r="T107" s="4">
        <v>32600000</v>
      </c>
      <c r="V107" s="4">
        <f t="shared" si="9"/>
        <v>2361.8593554837271</v>
      </c>
      <c r="W107" s="4"/>
      <c r="X107" s="9" t="str">
        <f t="shared" si="13"/>
        <v>a</v>
      </c>
      <c r="Y107" s="9" t="str">
        <f t="shared" si="13"/>
        <v>a</v>
      </c>
      <c r="Z107" s="31">
        <f t="shared" si="10"/>
        <v>125.02349999999998</v>
      </c>
      <c r="AA107" s="31">
        <f t="shared" si="11"/>
        <v>125.02349999999998</v>
      </c>
    </row>
    <row r="108" spans="1:27" ht="13">
      <c r="A108" s="9">
        <v>106</v>
      </c>
      <c r="B108" s="4" t="s">
        <v>1148</v>
      </c>
      <c r="C108" s="51"/>
      <c r="D108" s="8">
        <v>36.6</v>
      </c>
      <c r="E108" s="8">
        <v>193.7</v>
      </c>
      <c r="F108" s="8"/>
      <c r="G108" s="5">
        <v>8</v>
      </c>
      <c r="H108" s="5">
        <v>8</v>
      </c>
      <c r="I108" s="4">
        <v>4670</v>
      </c>
      <c r="J108" s="4">
        <v>20160000</v>
      </c>
      <c r="K108" s="4">
        <v>208000</v>
      </c>
      <c r="L108" s="4">
        <v>276000</v>
      </c>
      <c r="M108" s="4">
        <v>65.7</v>
      </c>
      <c r="N108" s="4">
        <f t="shared" si="8"/>
        <v>2973.0143369566049</v>
      </c>
      <c r="O108" s="4">
        <v>20160000</v>
      </c>
      <c r="P108" s="4">
        <v>208000</v>
      </c>
      <c r="Q108" s="4">
        <v>276000</v>
      </c>
      <c r="R108" s="5">
        <v>65.7</v>
      </c>
      <c r="S108" s="4"/>
      <c r="T108" s="4">
        <v>40310000</v>
      </c>
      <c r="V108" s="4">
        <f t="shared" si="9"/>
        <v>2973.0143369566049</v>
      </c>
      <c r="W108" s="4"/>
      <c r="X108" s="9" t="str">
        <f t="shared" si="13"/>
        <v>a</v>
      </c>
      <c r="Y108" s="9" t="str">
        <f t="shared" si="13"/>
        <v>a</v>
      </c>
      <c r="Z108" s="31">
        <f t="shared" si="10"/>
        <v>256</v>
      </c>
      <c r="AA108" s="31">
        <f t="shared" si="11"/>
        <v>256</v>
      </c>
    </row>
    <row r="109" spans="1:27" ht="13">
      <c r="A109" s="9">
        <v>107</v>
      </c>
      <c r="B109" s="4" t="s">
        <v>1149</v>
      </c>
      <c r="C109" s="51"/>
      <c r="D109" s="8">
        <v>45.3</v>
      </c>
      <c r="E109" s="8">
        <v>193.7</v>
      </c>
      <c r="F109" s="8"/>
      <c r="G109" s="5">
        <v>10</v>
      </c>
      <c r="H109" s="5">
        <v>10</v>
      </c>
      <c r="I109" s="4">
        <v>5770</v>
      </c>
      <c r="J109" s="4">
        <v>24420000</v>
      </c>
      <c r="K109" s="4">
        <v>252000</v>
      </c>
      <c r="L109" s="4">
        <v>338000</v>
      </c>
      <c r="M109" s="4">
        <v>65</v>
      </c>
      <c r="N109" s="4">
        <f t="shared" si="8"/>
        <v>3673.2960865609443</v>
      </c>
      <c r="O109" s="4">
        <v>24420000</v>
      </c>
      <c r="P109" s="4">
        <v>252000</v>
      </c>
      <c r="Q109" s="4">
        <v>338000</v>
      </c>
      <c r="R109" s="5">
        <v>65</v>
      </c>
      <c r="S109" s="4"/>
      <c r="T109" s="4">
        <v>48830000</v>
      </c>
      <c r="V109" s="4">
        <f t="shared" si="9"/>
        <v>3673.2960865609443</v>
      </c>
      <c r="W109" s="4"/>
      <c r="X109" s="9" t="str">
        <f t="shared" si="13"/>
        <v>a</v>
      </c>
      <c r="Y109" s="9" t="str">
        <f t="shared" si="13"/>
        <v>a</v>
      </c>
      <c r="Z109" s="31">
        <f t="shared" si="10"/>
        <v>500</v>
      </c>
      <c r="AA109" s="31">
        <f t="shared" si="11"/>
        <v>500</v>
      </c>
    </row>
    <row r="110" spans="1:27" ht="13">
      <c r="A110" s="9">
        <v>108</v>
      </c>
      <c r="B110" s="4" t="s">
        <v>1150</v>
      </c>
      <c r="C110" s="51"/>
      <c r="D110" s="8">
        <v>55.9</v>
      </c>
      <c r="E110" s="8">
        <v>193.7</v>
      </c>
      <c r="F110" s="8"/>
      <c r="G110" s="5">
        <v>12.5</v>
      </c>
      <c r="H110" s="5">
        <v>12.5</v>
      </c>
      <c r="I110" s="4">
        <v>7120</v>
      </c>
      <c r="J110" s="4">
        <v>29340000</v>
      </c>
      <c r="K110" s="4">
        <v>303000</v>
      </c>
      <c r="L110" s="4">
        <v>411000</v>
      </c>
      <c r="M110" s="4">
        <v>64.2</v>
      </c>
      <c r="N110" s="4">
        <f t="shared" si="8"/>
        <v>4532.7327792571796</v>
      </c>
      <c r="O110" s="4">
        <v>29340000</v>
      </c>
      <c r="P110" s="4">
        <v>303000</v>
      </c>
      <c r="Q110" s="4">
        <v>411000</v>
      </c>
      <c r="R110" s="5">
        <v>64.2</v>
      </c>
      <c r="S110" s="4"/>
      <c r="T110" s="4">
        <v>58690000</v>
      </c>
      <c r="V110" s="4">
        <f t="shared" si="9"/>
        <v>4532.7327792571796</v>
      </c>
      <c r="W110" s="4"/>
      <c r="X110" s="9" t="str">
        <f t="shared" si="13"/>
        <v>a</v>
      </c>
      <c r="Y110" s="9" t="str">
        <f t="shared" si="13"/>
        <v>a</v>
      </c>
      <c r="Z110" s="31">
        <f t="shared" si="10"/>
        <v>976.5625</v>
      </c>
      <c r="AA110" s="31">
        <f t="shared" si="11"/>
        <v>976.5625</v>
      </c>
    </row>
    <row r="111" spans="1:27" ht="13">
      <c r="A111" s="9">
        <v>109</v>
      </c>
      <c r="B111" s="4" t="s">
        <v>1151</v>
      </c>
      <c r="C111" s="51"/>
      <c r="D111" s="8">
        <v>62.9</v>
      </c>
      <c r="E111" s="8">
        <v>193.7</v>
      </c>
      <c r="F111" s="8"/>
      <c r="G111" s="5">
        <v>14.2</v>
      </c>
      <c r="H111" s="5">
        <v>14.2</v>
      </c>
      <c r="I111" s="4">
        <v>8010</v>
      </c>
      <c r="J111" s="4">
        <v>32450000</v>
      </c>
      <c r="K111" s="4">
        <v>335000</v>
      </c>
      <c r="L111" s="4">
        <v>458000</v>
      </c>
      <c r="M111" s="4">
        <v>63.7</v>
      </c>
      <c r="N111" s="4">
        <f t="shared" si="8"/>
        <v>5099.3243766643263</v>
      </c>
      <c r="O111" s="4">
        <v>32450000</v>
      </c>
      <c r="P111" s="4">
        <v>335000</v>
      </c>
      <c r="Q111" s="4">
        <v>458000</v>
      </c>
      <c r="R111" s="5">
        <v>63.7</v>
      </c>
      <c r="S111" s="4"/>
      <c r="T111" s="4">
        <v>64910000</v>
      </c>
      <c r="V111" s="4">
        <f t="shared" si="9"/>
        <v>5099.3243766643263</v>
      </c>
      <c r="W111" s="4"/>
      <c r="X111" s="9" t="str">
        <f t="shared" si="13"/>
        <v>a</v>
      </c>
      <c r="Y111" s="9" t="str">
        <f t="shared" si="13"/>
        <v>a</v>
      </c>
      <c r="Z111" s="31">
        <f t="shared" si="10"/>
        <v>1431.6439999999998</v>
      </c>
      <c r="AA111" s="31">
        <f t="shared" si="11"/>
        <v>1431.6439999999998</v>
      </c>
    </row>
    <row r="112" spans="1:27" ht="13">
      <c r="A112" s="9">
        <v>110</v>
      </c>
      <c r="B112" s="4" t="s">
        <v>1152</v>
      </c>
      <c r="C112" s="51"/>
      <c r="D112" s="8">
        <v>70.099999999999994</v>
      </c>
      <c r="E112" s="8">
        <v>193.7</v>
      </c>
      <c r="F112" s="8"/>
      <c r="G112" s="5">
        <v>16</v>
      </c>
      <c r="H112" s="5">
        <v>16</v>
      </c>
      <c r="I112" s="4">
        <v>8930</v>
      </c>
      <c r="J112" s="4">
        <v>35540000</v>
      </c>
      <c r="K112" s="4">
        <v>367000</v>
      </c>
      <c r="L112" s="4">
        <v>507000</v>
      </c>
      <c r="M112" s="4">
        <v>63.1</v>
      </c>
      <c r="N112" s="4">
        <f t="shared" si="8"/>
        <v>5685.0145672425015</v>
      </c>
      <c r="O112" s="4">
        <v>35540000</v>
      </c>
      <c r="P112" s="4">
        <v>367000</v>
      </c>
      <c r="Q112" s="4">
        <v>507000</v>
      </c>
      <c r="R112" s="5">
        <v>63.1</v>
      </c>
      <c r="S112" s="4"/>
      <c r="T112" s="4">
        <v>71090000</v>
      </c>
      <c r="V112" s="4">
        <f t="shared" si="9"/>
        <v>5685.0145672425015</v>
      </c>
      <c r="W112" s="4"/>
      <c r="X112" s="9" t="str">
        <f t="shared" si="13"/>
        <v>a</v>
      </c>
      <c r="Y112" s="9" t="str">
        <f t="shared" si="13"/>
        <v>a</v>
      </c>
      <c r="Z112" s="31">
        <f t="shared" si="10"/>
        <v>2048</v>
      </c>
      <c r="AA112" s="31">
        <f t="shared" si="11"/>
        <v>2048</v>
      </c>
    </row>
    <row r="113" spans="1:27" ht="13">
      <c r="A113" s="9">
        <v>111</v>
      </c>
      <c r="B113" s="4" t="s">
        <v>1153</v>
      </c>
      <c r="C113" s="51"/>
      <c r="D113" s="8">
        <v>23.8</v>
      </c>
      <c r="E113" s="8">
        <v>219.1</v>
      </c>
      <c r="F113" s="8"/>
      <c r="G113" s="5">
        <v>4.5</v>
      </c>
      <c r="H113" s="5">
        <v>4.5</v>
      </c>
      <c r="I113" s="4">
        <v>3030</v>
      </c>
      <c r="J113" s="4">
        <v>17470000</v>
      </c>
      <c r="K113" s="4">
        <v>159000</v>
      </c>
      <c r="L113" s="4">
        <v>207000</v>
      </c>
      <c r="M113" s="4">
        <v>75.900000000000006</v>
      </c>
      <c r="N113" s="4">
        <f t="shared" si="8"/>
        <v>1928.9579102737716</v>
      </c>
      <c r="O113" s="4">
        <v>17470000</v>
      </c>
      <c r="P113" s="4">
        <v>159000</v>
      </c>
      <c r="Q113" s="4">
        <v>207000</v>
      </c>
      <c r="R113" s="5">
        <v>75.900000000000006</v>
      </c>
      <c r="S113" s="4"/>
      <c r="T113" s="4">
        <v>34940000</v>
      </c>
      <c r="V113" s="4">
        <f t="shared" si="9"/>
        <v>1928.9579102737716</v>
      </c>
      <c r="W113" s="4"/>
      <c r="X113" s="9" t="str">
        <f t="shared" si="13"/>
        <v>a</v>
      </c>
      <c r="Y113" s="9" t="str">
        <f t="shared" si="13"/>
        <v>a</v>
      </c>
      <c r="Z113" s="31">
        <f t="shared" si="10"/>
        <v>45.5625</v>
      </c>
      <c r="AA113" s="31">
        <f t="shared" si="11"/>
        <v>45.5625</v>
      </c>
    </row>
    <row r="114" spans="1:27" ht="13">
      <c r="A114" s="9">
        <v>112</v>
      </c>
      <c r="B114" s="4" t="s">
        <v>1154</v>
      </c>
      <c r="C114" s="51"/>
      <c r="D114" s="8">
        <v>26.4</v>
      </c>
      <c r="E114" s="8">
        <v>219.1</v>
      </c>
      <c r="F114" s="8"/>
      <c r="G114" s="5">
        <v>5</v>
      </c>
      <c r="H114" s="5">
        <v>5</v>
      </c>
      <c r="I114" s="4">
        <v>3360</v>
      </c>
      <c r="J114" s="4">
        <v>19280000</v>
      </c>
      <c r="K114" s="4">
        <v>176000</v>
      </c>
      <c r="L114" s="4">
        <v>229000</v>
      </c>
      <c r="M114" s="4">
        <v>75.7</v>
      </c>
      <c r="N114" s="4">
        <f t="shared" si="8"/>
        <v>2139.0424351550732</v>
      </c>
      <c r="O114" s="4">
        <v>19280000</v>
      </c>
      <c r="P114" s="4">
        <v>176000</v>
      </c>
      <c r="Q114" s="4">
        <v>229000</v>
      </c>
      <c r="R114" s="5">
        <v>75.7</v>
      </c>
      <c r="S114" s="4"/>
      <c r="T114" s="4">
        <v>38560000</v>
      </c>
      <c r="V114" s="4">
        <f t="shared" si="9"/>
        <v>2139.0424351550732</v>
      </c>
      <c r="W114" s="4"/>
      <c r="X114" s="9" t="str">
        <f t="shared" si="13"/>
        <v>a</v>
      </c>
      <c r="Y114" s="9" t="str">
        <f t="shared" si="13"/>
        <v>a</v>
      </c>
      <c r="Z114" s="31">
        <f t="shared" si="10"/>
        <v>62.5</v>
      </c>
      <c r="AA114" s="31">
        <f t="shared" si="11"/>
        <v>62.5</v>
      </c>
    </row>
    <row r="115" spans="1:27" ht="13">
      <c r="A115" s="9">
        <v>113</v>
      </c>
      <c r="B115" s="4" t="s">
        <v>1155</v>
      </c>
      <c r="C115" s="51"/>
      <c r="D115" s="8">
        <v>29.5</v>
      </c>
      <c r="E115" s="8">
        <v>219.1</v>
      </c>
      <c r="F115" s="8"/>
      <c r="G115" s="5">
        <v>5.6</v>
      </c>
      <c r="H115" s="5">
        <v>5.6</v>
      </c>
      <c r="I115" s="4">
        <v>3760</v>
      </c>
      <c r="J115" s="4">
        <v>21420000</v>
      </c>
      <c r="K115" s="4">
        <v>195000</v>
      </c>
      <c r="L115" s="4">
        <v>255000</v>
      </c>
      <c r="M115" s="4">
        <v>75.5</v>
      </c>
      <c r="N115" s="4">
        <f t="shared" si="8"/>
        <v>2393.6903441021059</v>
      </c>
      <c r="O115" s="4">
        <v>21420000</v>
      </c>
      <c r="P115" s="4">
        <v>195000</v>
      </c>
      <c r="Q115" s="4">
        <v>255000</v>
      </c>
      <c r="R115" s="5">
        <v>75.5</v>
      </c>
      <c r="S115" s="4"/>
      <c r="T115" s="4">
        <v>42830000</v>
      </c>
      <c r="V115" s="4">
        <f t="shared" si="9"/>
        <v>2393.6903441021059</v>
      </c>
      <c r="W115" s="4"/>
      <c r="X115" s="9" t="str">
        <f t="shared" si="13"/>
        <v>a</v>
      </c>
      <c r="Y115" s="9" t="str">
        <f t="shared" si="13"/>
        <v>a</v>
      </c>
      <c r="Z115" s="31">
        <f t="shared" si="10"/>
        <v>87.807999999999979</v>
      </c>
      <c r="AA115" s="31">
        <f t="shared" si="11"/>
        <v>87.807999999999979</v>
      </c>
    </row>
    <row r="116" spans="1:27" ht="13">
      <c r="A116" s="9">
        <v>114</v>
      </c>
      <c r="B116" s="4" t="s">
        <v>1156</v>
      </c>
      <c r="C116" s="51"/>
      <c r="D116" s="8">
        <v>33.1</v>
      </c>
      <c r="E116" s="8">
        <v>219.1</v>
      </c>
      <c r="F116" s="8"/>
      <c r="G116" s="5">
        <v>6.3</v>
      </c>
      <c r="H116" s="5">
        <v>6.3</v>
      </c>
      <c r="I116" s="4">
        <v>4210</v>
      </c>
      <c r="J116" s="4">
        <v>23860000</v>
      </c>
      <c r="K116" s="4">
        <v>218000</v>
      </c>
      <c r="L116" s="4">
        <v>285000</v>
      </c>
      <c r="M116" s="4">
        <v>75.3</v>
      </c>
      <c r="N116" s="4">
        <f t="shared" si="8"/>
        <v>2680.1692416675178</v>
      </c>
      <c r="O116" s="4">
        <v>23860000</v>
      </c>
      <c r="P116" s="4">
        <v>218000</v>
      </c>
      <c r="Q116" s="4">
        <v>285000</v>
      </c>
      <c r="R116" s="5">
        <v>75.3</v>
      </c>
      <c r="S116" s="4"/>
      <c r="T116" s="4">
        <v>47720000</v>
      </c>
      <c r="V116" s="4">
        <f t="shared" si="9"/>
        <v>2680.1692416675178</v>
      </c>
      <c r="W116" s="4"/>
      <c r="X116" s="9" t="str">
        <f t="shared" si="13"/>
        <v>a</v>
      </c>
      <c r="Y116" s="9" t="str">
        <f t="shared" si="13"/>
        <v>a</v>
      </c>
      <c r="Z116" s="31">
        <f t="shared" si="10"/>
        <v>125.02349999999998</v>
      </c>
      <c r="AA116" s="31">
        <f t="shared" si="11"/>
        <v>125.02349999999998</v>
      </c>
    </row>
    <row r="117" spans="1:27" ht="13">
      <c r="A117" s="9">
        <v>115</v>
      </c>
      <c r="B117" s="4" t="s">
        <v>1157</v>
      </c>
      <c r="C117" s="51"/>
      <c r="D117" s="8">
        <v>41.6</v>
      </c>
      <c r="E117" s="8">
        <v>219.1</v>
      </c>
      <c r="F117" s="8"/>
      <c r="G117" s="5">
        <v>8</v>
      </c>
      <c r="H117" s="5">
        <v>8</v>
      </c>
      <c r="I117" s="4">
        <v>5310</v>
      </c>
      <c r="J117" s="4">
        <v>29600000</v>
      </c>
      <c r="K117" s="4">
        <v>270000</v>
      </c>
      <c r="L117" s="4">
        <v>357000</v>
      </c>
      <c r="M117" s="4">
        <v>74.7</v>
      </c>
      <c r="N117" s="4">
        <f t="shared" si="8"/>
        <v>3380.4509912718572</v>
      </c>
      <c r="O117" s="4">
        <v>29600000</v>
      </c>
      <c r="P117" s="4">
        <v>270000</v>
      </c>
      <c r="Q117" s="4">
        <v>357000</v>
      </c>
      <c r="R117" s="5">
        <v>74.7</v>
      </c>
      <c r="S117" s="4"/>
      <c r="T117" s="4">
        <v>59190000</v>
      </c>
      <c r="V117" s="4">
        <f t="shared" si="9"/>
        <v>3380.4509912718572</v>
      </c>
      <c r="W117" s="4"/>
      <c r="X117" s="9" t="str">
        <f t="shared" si="13"/>
        <v>a</v>
      </c>
      <c r="Y117" s="9" t="str">
        <f t="shared" si="13"/>
        <v>a</v>
      </c>
      <c r="Z117" s="31">
        <f t="shared" si="10"/>
        <v>256</v>
      </c>
      <c r="AA117" s="31">
        <f t="shared" si="11"/>
        <v>256</v>
      </c>
    </row>
    <row r="118" spans="1:27" ht="13">
      <c r="A118" s="9">
        <v>116</v>
      </c>
      <c r="B118" s="4" t="s">
        <v>1158</v>
      </c>
      <c r="C118" s="51"/>
      <c r="D118" s="8">
        <v>51.6</v>
      </c>
      <c r="E118" s="8">
        <v>219.1</v>
      </c>
      <c r="F118" s="8"/>
      <c r="G118" s="5">
        <v>10</v>
      </c>
      <c r="H118" s="5">
        <v>10</v>
      </c>
      <c r="I118" s="4">
        <v>6570</v>
      </c>
      <c r="J118" s="4">
        <v>35980000</v>
      </c>
      <c r="K118" s="4">
        <v>328000</v>
      </c>
      <c r="L118" s="4">
        <v>438000</v>
      </c>
      <c r="M118" s="4">
        <v>74</v>
      </c>
      <c r="N118" s="4">
        <f t="shared" si="8"/>
        <v>4182.5919044550092</v>
      </c>
      <c r="O118" s="4">
        <v>35980000</v>
      </c>
      <c r="P118" s="4">
        <v>328000</v>
      </c>
      <c r="Q118" s="4">
        <v>438000</v>
      </c>
      <c r="R118" s="5">
        <v>74</v>
      </c>
      <c r="S118" s="4"/>
      <c r="T118" s="4">
        <v>71970000</v>
      </c>
      <c r="V118" s="4">
        <f t="shared" si="9"/>
        <v>4182.5919044550092</v>
      </c>
      <c r="W118" s="4"/>
      <c r="X118" s="9" t="str">
        <f t="shared" si="13"/>
        <v>a</v>
      </c>
      <c r="Y118" s="9" t="str">
        <f t="shared" si="13"/>
        <v>a</v>
      </c>
      <c r="Z118" s="31">
        <f t="shared" si="10"/>
        <v>500</v>
      </c>
      <c r="AA118" s="31">
        <f t="shared" si="11"/>
        <v>500</v>
      </c>
    </row>
    <row r="119" spans="1:27" ht="13">
      <c r="A119" s="9">
        <v>117</v>
      </c>
      <c r="B119" s="4" t="s">
        <v>1159</v>
      </c>
      <c r="C119" s="51"/>
      <c r="D119" s="8">
        <v>63.7</v>
      </c>
      <c r="E119" s="8">
        <v>219.1</v>
      </c>
      <c r="F119" s="8"/>
      <c r="G119" s="5">
        <v>12.5</v>
      </c>
      <c r="H119" s="5">
        <v>12.5</v>
      </c>
      <c r="I119" s="4">
        <v>8110</v>
      </c>
      <c r="J119" s="4">
        <v>43450000</v>
      </c>
      <c r="K119" s="4">
        <v>397000</v>
      </c>
      <c r="L119" s="4">
        <v>534000</v>
      </c>
      <c r="M119" s="4">
        <v>73.2</v>
      </c>
      <c r="N119" s="4">
        <f t="shared" si="8"/>
        <v>5162.9863539010848</v>
      </c>
      <c r="O119" s="4">
        <v>43450000</v>
      </c>
      <c r="P119" s="4">
        <v>397000</v>
      </c>
      <c r="Q119" s="4">
        <v>534000</v>
      </c>
      <c r="R119" s="5">
        <v>73.2</v>
      </c>
      <c r="S119" s="4"/>
      <c r="T119" s="4">
        <v>86890000</v>
      </c>
      <c r="V119" s="4">
        <f t="shared" si="9"/>
        <v>5162.9863539010848</v>
      </c>
      <c r="W119" s="4"/>
      <c r="X119" s="9" t="str">
        <f t="shared" si="13"/>
        <v>a</v>
      </c>
      <c r="Y119" s="9" t="str">
        <f t="shared" si="13"/>
        <v>a</v>
      </c>
      <c r="Z119" s="31">
        <f t="shared" si="10"/>
        <v>976.5625</v>
      </c>
      <c r="AA119" s="31">
        <f t="shared" si="11"/>
        <v>976.5625</v>
      </c>
    </row>
    <row r="120" spans="1:27" ht="13">
      <c r="A120" s="9">
        <v>118</v>
      </c>
      <c r="B120" s="4" t="s">
        <v>1160</v>
      </c>
      <c r="C120" s="51"/>
      <c r="D120" s="8">
        <v>71.8</v>
      </c>
      <c r="E120" s="8">
        <v>219.1</v>
      </c>
      <c r="F120" s="8"/>
      <c r="G120" s="5">
        <v>14.2</v>
      </c>
      <c r="H120" s="5">
        <v>14.2</v>
      </c>
      <c r="I120" s="4">
        <v>9140</v>
      </c>
      <c r="J120" s="4">
        <v>48200000</v>
      </c>
      <c r="K120" s="4">
        <v>440000</v>
      </c>
      <c r="L120" s="4">
        <v>597000</v>
      </c>
      <c r="M120" s="4">
        <v>72.599999999999994</v>
      </c>
      <c r="N120" s="4">
        <f t="shared" si="8"/>
        <v>5818.7047194396937</v>
      </c>
      <c r="O120" s="4">
        <v>48200000</v>
      </c>
      <c r="P120" s="4">
        <v>440000</v>
      </c>
      <c r="Q120" s="4">
        <v>597000</v>
      </c>
      <c r="R120" s="5">
        <v>72.599999999999994</v>
      </c>
      <c r="S120" s="4"/>
      <c r="T120" s="4">
        <v>96400000</v>
      </c>
      <c r="V120" s="4">
        <f t="shared" si="9"/>
        <v>5818.7047194396937</v>
      </c>
      <c r="W120" s="4"/>
      <c r="X120" s="9" t="str">
        <f t="shared" si="13"/>
        <v>a</v>
      </c>
      <c r="Y120" s="9" t="str">
        <f t="shared" si="13"/>
        <v>a</v>
      </c>
      <c r="Z120" s="31">
        <f t="shared" si="10"/>
        <v>1431.6439999999998</v>
      </c>
      <c r="AA120" s="31">
        <f t="shared" si="11"/>
        <v>1431.6439999999998</v>
      </c>
    </row>
    <row r="121" spans="1:27" ht="13">
      <c r="A121" s="9">
        <v>119</v>
      </c>
      <c r="B121" s="4" t="s">
        <v>1161</v>
      </c>
      <c r="C121" s="51"/>
      <c r="D121" s="8">
        <v>80.099999999999994</v>
      </c>
      <c r="E121" s="8">
        <v>219.1</v>
      </c>
      <c r="F121" s="8"/>
      <c r="G121" s="5">
        <v>16</v>
      </c>
      <c r="H121" s="5">
        <v>16</v>
      </c>
      <c r="I121" s="4">
        <v>10200</v>
      </c>
      <c r="J121" s="4">
        <v>52970000</v>
      </c>
      <c r="K121" s="4">
        <v>483000</v>
      </c>
      <c r="L121" s="4">
        <v>661000</v>
      </c>
      <c r="M121" s="4">
        <v>72</v>
      </c>
      <c r="N121" s="4">
        <f t="shared" si="8"/>
        <v>6493.52167814933</v>
      </c>
      <c r="O121" s="4">
        <v>52970000</v>
      </c>
      <c r="P121" s="4">
        <v>483000</v>
      </c>
      <c r="Q121" s="4">
        <v>661000</v>
      </c>
      <c r="R121" s="5">
        <v>72</v>
      </c>
      <c r="S121" s="4"/>
      <c r="T121" s="4">
        <v>105900000</v>
      </c>
      <c r="V121" s="4">
        <f t="shared" si="9"/>
        <v>6493.52167814933</v>
      </c>
      <c r="W121" s="4"/>
      <c r="X121" s="9" t="str">
        <f t="shared" si="13"/>
        <v>a</v>
      </c>
      <c r="Y121" s="9" t="str">
        <f t="shared" si="13"/>
        <v>a</v>
      </c>
      <c r="Z121" s="31">
        <f t="shared" si="10"/>
        <v>2048</v>
      </c>
      <c r="AA121" s="31">
        <f t="shared" si="11"/>
        <v>2048</v>
      </c>
    </row>
    <row r="122" spans="1:27" ht="13">
      <c r="A122" s="9">
        <v>120</v>
      </c>
      <c r="B122" s="4" t="s">
        <v>1162</v>
      </c>
      <c r="C122" s="51"/>
      <c r="D122" s="8">
        <v>98.2</v>
      </c>
      <c r="E122" s="8">
        <v>219.1</v>
      </c>
      <c r="F122" s="8"/>
      <c r="G122" s="5">
        <v>20</v>
      </c>
      <c r="H122" s="5">
        <v>20</v>
      </c>
      <c r="I122" s="4">
        <v>12500</v>
      </c>
      <c r="J122" s="4">
        <v>62610000</v>
      </c>
      <c r="K122" s="4">
        <v>572000</v>
      </c>
      <c r="L122" s="4">
        <v>795000</v>
      </c>
      <c r="M122" s="4">
        <v>70.7</v>
      </c>
      <c r="N122" s="4">
        <f t="shared" si="8"/>
        <v>7957.7471545947674</v>
      </c>
      <c r="O122" s="4">
        <v>62610000</v>
      </c>
      <c r="P122" s="4">
        <v>572000</v>
      </c>
      <c r="Q122" s="4">
        <v>795000</v>
      </c>
      <c r="R122" s="5">
        <v>70.7</v>
      </c>
      <c r="S122" s="4"/>
      <c r="T122" s="4">
        <v>125200000</v>
      </c>
      <c r="V122" s="4">
        <f t="shared" si="9"/>
        <v>7957.7471545947674</v>
      </c>
      <c r="W122" s="4"/>
      <c r="X122" s="9" t="str">
        <f t="shared" si="13"/>
        <v>a</v>
      </c>
      <c r="Y122" s="9" t="str">
        <f t="shared" si="13"/>
        <v>a</v>
      </c>
      <c r="Z122" s="31">
        <f t="shared" si="10"/>
        <v>4000</v>
      </c>
      <c r="AA122" s="31">
        <f t="shared" si="11"/>
        <v>4000</v>
      </c>
    </row>
    <row r="123" spans="1:27" ht="13">
      <c r="A123" s="9">
        <v>121</v>
      </c>
      <c r="B123" s="4" t="s">
        <v>1163</v>
      </c>
      <c r="C123" s="51"/>
      <c r="D123" s="8">
        <v>29.5</v>
      </c>
      <c r="E123" s="8">
        <v>244.5</v>
      </c>
      <c r="F123" s="8"/>
      <c r="G123" s="5">
        <v>5</v>
      </c>
      <c r="H123" s="5">
        <v>5</v>
      </c>
      <c r="I123" s="4">
        <v>3760</v>
      </c>
      <c r="J123" s="4">
        <v>26990000</v>
      </c>
      <c r="K123" s="4">
        <v>221000</v>
      </c>
      <c r="L123" s="4">
        <v>287000</v>
      </c>
      <c r="M123" s="4">
        <v>84.7</v>
      </c>
      <c r="N123" s="4">
        <f t="shared" si="8"/>
        <v>2393.6903441021059</v>
      </c>
      <c r="O123" s="4">
        <v>26990000</v>
      </c>
      <c r="P123" s="4">
        <v>221000</v>
      </c>
      <c r="Q123" s="4">
        <v>287000</v>
      </c>
      <c r="R123" s="5">
        <v>84.7</v>
      </c>
      <c r="S123" s="4"/>
      <c r="T123" s="4">
        <v>53970000</v>
      </c>
      <c r="V123" s="4">
        <f t="shared" si="9"/>
        <v>2393.6903441021059</v>
      </c>
      <c r="W123" s="4"/>
      <c r="X123" s="9" t="str">
        <f t="shared" ref="X123:Y142" si="14">IF(fy=460,"a0","a")</f>
        <v>a</v>
      </c>
      <c r="Y123" s="9" t="str">
        <f t="shared" si="14"/>
        <v>a</v>
      </c>
      <c r="Z123" s="31">
        <f t="shared" si="10"/>
        <v>62.5</v>
      </c>
      <c r="AA123" s="31">
        <f t="shared" si="11"/>
        <v>62.5</v>
      </c>
    </row>
    <row r="124" spans="1:27" ht="13">
      <c r="A124" s="9">
        <v>122</v>
      </c>
      <c r="B124" s="4" t="s">
        <v>1164</v>
      </c>
      <c r="C124" s="51"/>
      <c r="D124" s="8">
        <v>33</v>
      </c>
      <c r="E124" s="8">
        <v>244.5</v>
      </c>
      <c r="F124" s="8"/>
      <c r="G124" s="5">
        <v>5.6</v>
      </c>
      <c r="H124" s="5">
        <v>5.6</v>
      </c>
      <c r="I124" s="4">
        <v>4200</v>
      </c>
      <c r="J124" s="4">
        <v>30000000</v>
      </c>
      <c r="K124" s="4">
        <v>245000</v>
      </c>
      <c r="L124" s="4">
        <v>320000</v>
      </c>
      <c r="M124" s="4">
        <v>84.5</v>
      </c>
      <c r="N124" s="4">
        <f t="shared" si="8"/>
        <v>2673.8030439438417</v>
      </c>
      <c r="O124" s="4">
        <v>30000000</v>
      </c>
      <c r="P124" s="4">
        <v>245000</v>
      </c>
      <c r="Q124" s="4">
        <v>320000</v>
      </c>
      <c r="R124" s="5">
        <v>84.5</v>
      </c>
      <c r="S124" s="4"/>
      <c r="T124" s="4">
        <v>60000000</v>
      </c>
      <c r="V124" s="4">
        <f t="shared" si="9"/>
        <v>2673.8030439438417</v>
      </c>
      <c r="W124" s="4"/>
      <c r="X124" s="9" t="str">
        <f t="shared" si="14"/>
        <v>a</v>
      </c>
      <c r="Y124" s="9" t="str">
        <f t="shared" si="14"/>
        <v>a</v>
      </c>
      <c r="Z124" s="31">
        <f t="shared" si="10"/>
        <v>87.807999999999979</v>
      </c>
      <c r="AA124" s="31">
        <f t="shared" si="11"/>
        <v>87.807999999999979</v>
      </c>
    </row>
    <row r="125" spans="1:27" ht="13">
      <c r="A125" s="9">
        <v>123</v>
      </c>
      <c r="B125" s="4" t="s">
        <v>1165</v>
      </c>
      <c r="C125" s="51"/>
      <c r="D125" s="8">
        <v>37</v>
      </c>
      <c r="E125" s="8">
        <v>244.5</v>
      </c>
      <c r="F125" s="8"/>
      <c r="G125" s="5">
        <v>6.3</v>
      </c>
      <c r="H125" s="5">
        <v>6.3</v>
      </c>
      <c r="I125" s="4">
        <v>4710</v>
      </c>
      <c r="J125" s="4">
        <v>33460000</v>
      </c>
      <c r="K125" s="4">
        <v>274000</v>
      </c>
      <c r="L125" s="4">
        <v>358000</v>
      </c>
      <c r="M125" s="4">
        <v>84.2</v>
      </c>
      <c r="N125" s="4">
        <f t="shared" si="8"/>
        <v>2998.479127851308</v>
      </c>
      <c r="O125" s="4">
        <v>33460000</v>
      </c>
      <c r="P125" s="4">
        <v>274000</v>
      </c>
      <c r="Q125" s="4">
        <v>358000</v>
      </c>
      <c r="R125" s="5">
        <v>84.2</v>
      </c>
      <c r="S125" s="4"/>
      <c r="T125" s="4">
        <v>66920000</v>
      </c>
      <c r="V125" s="4">
        <f t="shared" si="9"/>
        <v>2998.479127851308</v>
      </c>
      <c r="W125" s="4"/>
      <c r="X125" s="9" t="str">
        <f t="shared" si="14"/>
        <v>a</v>
      </c>
      <c r="Y125" s="9" t="str">
        <f t="shared" si="14"/>
        <v>a</v>
      </c>
      <c r="Z125" s="31">
        <f t="shared" si="10"/>
        <v>125.02349999999998</v>
      </c>
      <c r="AA125" s="31">
        <f t="shared" si="11"/>
        <v>125.02349999999998</v>
      </c>
    </row>
    <row r="126" spans="1:27" ht="13">
      <c r="A126" s="9">
        <v>124</v>
      </c>
      <c r="B126" s="4" t="s">
        <v>1166</v>
      </c>
      <c r="C126" s="51"/>
      <c r="D126" s="8">
        <v>46.7</v>
      </c>
      <c r="E126" s="8">
        <v>244.5</v>
      </c>
      <c r="F126" s="8"/>
      <c r="G126" s="5">
        <v>8</v>
      </c>
      <c r="H126" s="5">
        <v>8</v>
      </c>
      <c r="I126" s="4">
        <v>5940</v>
      </c>
      <c r="J126" s="4">
        <v>41600000</v>
      </c>
      <c r="K126" s="4">
        <v>340000</v>
      </c>
      <c r="L126" s="4">
        <v>448000</v>
      </c>
      <c r="M126" s="4">
        <v>83.7</v>
      </c>
      <c r="N126" s="4">
        <f t="shared" si="8"/>
        <v>3781.5214478634334</v>
      </c>
      <c r="O126" s="4">
        <v>41600000</v>
      </c>
      <c r="P126" s="4">
        <v>340000</v>
      </c>
      <c r="Q126" s="4">
        <v>448000</v>
      </c>
      <c r="R126" s="5">
        <v>83.7</v>
      </c>
      <c r="S126" s="4"/>
      <c r="T126" s="4">
        <v>83210000</v>
      </c>
      <c r="V126" s="4">
        <f t="shared" si="9"/>
        <v>3781.5214478634334</v>
      </c>
      <c r="W126" s="4"/>
      <c r="X126" s="9" t="str">
        <f t="shared" si="14"/>
        <v>a</v>
      </c>
      <c r="Y126" s="9" t="str">
        <f t="shared" si="14"/>
        <v>a</v>
      </c>
      <c r="Z126" s="31">
        <f t="shared" si="10"/>
        <v>256</v>
      </c>
      <c r="AA126" s="31">
        <f t="shared" si="11"/>
        <v>256</v>
      </c>
    </row>
    <row r="127" spans="1:27" ht="13">
      <c r="A127" s="9">
        <v>125</v>
      </c>
      <c r="B127" s="4" t="s">
        <v>1167</v>
      </c>
      <c r="C127" s="51"/>
      <c r="D127" s="8">
        <v>57.8</v>
      </c>
      <c r="E127" s="8">
        <v>244.5</v>
      </c>
      <c r="F127" s="8"/>
      <c r="G127" s="5">
        <v>10</v>
      </c>
      <c r="H127" s="5">
        <v>10</v>
      </c>
      <c r="I127" s="4">
        <v>7370</v>
      </c>
      <c r="J127" s="4">
        <v>50730000</v>
      </c>
      <c r="K127" s="4">
        <v>415000</v>
      </c>
      <c r="L127" s="4">
        <v>550000</v>
      </c>
      <c r="M127" s="4">
        <v>83</v>
      </c>
      <c r="N127" s="4">
        <f t="shared" si="8"/>
        <v>4691.8877223490745</v>
      </c>
      <c r="O127" s="4">
        <v>50730000</v>
      </c>
      <c r="P127" s="4">
        <v>415000</v>
      </c>
      <c r="Q127" s="4">
        <v>550000</v>
      </c>
      <c r="R127" s="5">
        <v>83</v>
      </c>
      <c r="S127" s="4"/>
      <c r="T127" s="4">
        <v>101500000</v>
      </c>
      <c r="V127" s="4">
        <f t="shared" si="9"/>
        <v>4691.8877223490745</v>
      </c>
      <c r="W127" s="4"/>
      <c r="X127" s="9" t="str">
        <f t="shared" si="14"/>
        <v>a</v>
      </c>
      <c r="Y127" s="9" t="str">
        <f t="shared" si="14"/>
        <v>a</v>
      </c>
      <c r="Z127" s="31">
        <f t="shared" si="10"/>
        <v>500</v>
      </c>
      <c r="AA127" s="31">
        <f t="shared" si="11"/>
        <v>500</v>
      </c>
    </row>
    <row r="128" spans="1:27" ht="13">
      <c r="A128" s="9">
        <v>126</v>
      </c>
      <c r="B128" s="4" t="s">
        <v>1168</v>
      </c>
      <c r="C128" s="51"/>
      <c r="D128" s="8">
        <v>71.5</v>
      </c>
      <c r="E128" s="8">
        <v>244.5</v>
      </c>
      <c r="F128" s="8"/>
      <c r="G128" s="5">
        <v>12.5</v>
      </c>
      <c r="H128" s="5">
        <v>12.5</v>
      </c>
      <c r="I128" s="4">
        <v>9110</v>
      </c>
      <c r="J128" s="4">
        <v>61470000</v>
      </c>
      <c r="K128" s="4">
        <v>503000</v>
      </c>
      <c r="L128" s="4">
        <v>673000</v>
      </c>
      <c r="M128" s="4">
        <v>82.1</v>
      </c>
      <c r="N128" s="4">
        <f t="shared" si="8"/>
        <v>5799.6061262686662</v>
      </c>
      <c r="O128" s="4">
        <v>61470000</v>
      </c>
      <c r="P128" s="4">
        <v>503000</v>
      </c>
      <c r="Q128" s="4">
        <v>673000</v>
      </c>
      <c r="R128" s="5">
        <v>82.1</v>
      </c>
      <c r="S128" s="4"/>
      <c r="T128" s="4">
        <v>123000000</v>
      </c>
      <c r="V128" s="4">
        <f t="shared" si="9"/>
        <v>5799.6061262686662</v>
      </c>
      <c r="W128" s="4"/>
      <c r="X128" s="9" t="str">
        <f t="shared" si="14"/>
        <v>a</v>
      </c>
      <c r="Y128" s="9" t="str">
        <f t="shared" si="14"/>
        <v>a</v>
      </c>
      <c r="Z128" s="31">
        <f t="shared" si="10"/>
        <v>976.5625</v>
      </c>
      <c r="AA128" s="31">
        <f t="shared" si="11"/>
        <v>976.5625</v>
      </c>
    </row>
    <row r="129" spans="1:27" ht="13">
      <c r="A129" s="9">
        <v>127</v>
      </c>
      <c r="B129" s="4" t="s">
        <v>1169</v>
      </c>
      <c r="C129" s="51"/>
      <c r="D129" s="8">
        <v>80.599999999999994</v>
      </c>
      <c r="E129" s="8">
        <v>244.5</v>
      </c>
      <c r="F129" s="8"/>
      <c r="G129" s="5">
        <v>14.2</v>
      </c>
      <c r="H129" s="5">
        <v>14.2</v>
      </c>
      <c r="I129" s="4">
        <v>10270</v>
      </c>
      <c r="J129" s="4">
        <v>68370000</v>
      </c>
      <c r="K129" s="4">
        <v>559000</v>
      </c>
      <c r="L129" s="4">
        <v>754000</v>
      </c>
      <c r="M129" s="4">
        <v>81.599999999999994</v>
      </c>
      <c r="N129" s="4">
        <f t="shared" si="8"/>
        <v>6538.085062215061</v>
      </c>
      <c r="O129" s="4">
        <v>68370000</v>
      </c>
      <c r="P129" s="4">
        <v>559000</v>
      </c>
      <c r="Q129" s="4">
        <v>754000</v>
      </c>
      <c r="R129" s="5">
        <v>81.599999999999994</v>
      </c>
      <c r="S129" s="4"/>
      <c r="T129" s="4">
        <v>136700000</v>
      </c>
      <c r="V129" s="4">
        <f t="shared" si="9"/>
        <v>6538.085062215061</v>
      </c>
      <c r="W129" s="4"/>
      <c r="X129" s="9" t="str">
        <f t="shared" si="14"/>
        <v>a</v>
      </c>
      <c r="Y129" s="9" t="str">
        <f t="shared" si="14"/>
        <v>a</v>
      </c>
      <c r="Z129" s="31">
        <f t="shared" si="10"/>
        <v>1431.6439999999998</v>
      </c>
      <c r="AA129" s="31">
        <f t="shared" si="11"/>
        <v>1431.6439999999998</v>
      </c>
    </row>
    <row r="130" spans="1:27" ht="13">
      <c r="A130" s="9">
        <v>128</v>
      </c>
      <c r="B130" s="4" t="s">
        <v>1170</v>
      </c>
      <c r="C130" s="51"/>
      <c r="D130" s="8">
        <v>90.2</v>
      </c>
      <c r="E130" s="8">
        <v>244.5</v>
      </c>
      <c r="F130" s="8"/>
      <c r="G130" s="5">
        <v>16</v>
      </c>
      <c r="H130" s="5">
        <v>16</v>
      </c>
      <c r="I130" s="4">
        <v>11500</v>
      </c>
      <c r="J130" s="4">
        <v>75330000</v>
      </c>
      <c r="K130" s="4">
        <v>616000</v>
      </c>
      <c r="L130" s="4">
        <v>837000</v>
      </c>
      <c r="M130" s="4">
        <v>81</v>
      </c>
      <c r="N130" s="4">
        <f t="shared" si="8"/>
        <v>7321.127382227186</v>
      </c>
      <c r="O130" s="4">
        <v>75330000</v>
      </c>
      <c r="P130" s="4">
        <v>616000</v>
      </c>
      <c r="Q130" s="4">
        <v>837000</v>
      </c>
      <c r="R130" s="5">
        <v>81</v>
      </c>
      <c r="S130" s="4"/>
      <c r="T130" s="4">
        <v>150700000</v>
      </c>
      <c r="V130" s="4">
        <f t="shared" si="9"/>
        <v>7321.127382227186</v>
      </c>
      <c r="W130" s="4"/>
      <c r="X130" s="9" t="str">
        <f t="shared" si="14"/>
        <v>a</v>
      </c>
      <c r="Y130" s="9" t="str">
        <f t="shared" si="14"/>
        <v>a</v>
      </c>
      <c r="Z130" s="31">
        <f t="shared" si="10"/>
        <v>2048</v>
      </c>
      <c r="AA130" s="31">
        <f t="shared" si="11"/>
        <v>2048</v>
      </c>
    </row>
    <row r="131" spans="1:27" ht="13">
      <c r="A131" s="9">
        <v>129</v>
      </c>
      <c r="B131" s="4" t="s">
        <v>1171</v>
      </c>
      <c r="C131" s="51"/>
      <c r="D131" s="8">
        <v>110.7</v>
      </c>
      <c r="E131" s="8">
        <v>244.5</v>
      </c>
      <c r="F131" s="8"/>
      <c r="G131" s="5">
        <v>20</v>
      </c>
      <c r="H131" s="5">
        <v>20</v>
      </c>
      <c r="I131" s="4">
        <v>14100</v>
      </c>
      <c r="J131" s="4">
        <v>89570000</v>
      </c>
      <c r="K131" s="4">
        <v>733000</v>
      </c>
      <c r="L131" s="4">
        <v>1011000</v>
      </c>
      <c r="M131" s="4">
        <v>79.7</v>
      </c>
      <c r="N131" s="4">
        <f t="shared" ref="N131:N194" si="15">2*I131/PI()</f>
        <v>8976.3387903828971</v>
      </c>
      <c r="O131" s="4">
        <v>89570000</v>
      </c>
      <c r="P131" s="4">
        <v>733000</v>
      </c>
      <c r="Q131" s="4">
        <v>1011000</v>
      </c>
      <c r="R131" s="5">
        <v>79.7</v>
      </c>
      <c r="S131" s="4"/>
      <c r="T131" s="4">
        <v>179100000</v>
      </c>
      <c r="V131" s="4">
        <f t="shared" ref="V131:V194" si="16">N131</f>
        <v>8976.3387903828971</v>
      </c>
      <c r="W131" s="4"/>
      <c r="X131" s="9" t="str">
        <f t="shared" si="14"/>
        <v>a</v>
      </c>
      <c r="Y131" s="9" t="str">
        <f t="shared" si="14"/>
        <v>a</v>
      </c>
      <c r="Z131" s="31">
        <f t="shared" ref="Z131:Z194" si="17">2*(F131/2-G131/2)^2*G131</f>
        <v>4000</v>
      </c>
      <c r="AA131" s="31">
        <f t="shared" ref="AA131:AA194" si="18">Z131</f>
        <v>4000</v>
      </c>
    </row>
    <row r="132" spans="1:27" ht="13">
      <c r="A132" s="9">
        <v>130</v>
      </c>
      <c r="B132" s="4" t="s">
        <v>1172</v>
      </c>
      <c r="C132" s="51"/>
      <c r="D132" s="8">
        <v>135</v>
      </c>
      <c r="E132" s="8">
        <v>244.5</v>
      </c>
      <c r="F132" s="8"/>
      <c r="G132" s="5">
        <v>25</v>
      </c>
      <c r="H132" s="5">
        <v>25</v>
      </c>
      <c r="I132" s="4">
        <v>17200</v>
      </c>
      <c r="J132" s="4">
        <v>105200000</v>
      </c>
      <c r="K132" s="4">
        <v>860000</v>
      </c>
      <c r="L132" s="4">
        <v>1210000</v>
      </c>
      <c r="M132" s="4">
        <v>78.099999999999994</v>
      </c>
      <c r="N132" s="4">
        <f t="shared" si="15"/>
        <v>10949.860084722399</v>
      </c>
      <c r="O132" s="4">
        <v>105200000</v>
      </c>
      <c r="P132" s="4">
        <v>860000</v>
      </c>
      <c r="Q132" s="4">
        <v>1210000</v>
      </c>
      <c r="R132" s="5">
        <v>78.099999999999994</v>
      </c>
      <c r="S132" s="4"/>
      <c r="T132" s="4">
        <v>210300000</v>
      </c>
      <c r="V132" s="4">
        <f t="shared" si="16"/>
        <v>10949.860084722399</v>
      </c>
      <c r="W132" s="4"/>
      <c r="X132" s="9" t="str">
        <f t="shared" si="14"/>
        <v>a</v>
      </c>
      <c r="Y132" s="9" t="str">
        <f t="shared" si="14"/>
        <v>a</v>
      </c>
      <c r="Z132" s="31">
        <f t="shared" si="17"/>
        <v>7812.5</v>
      </c>
      <c r="AA132" s="31">
        <f t="shared" si="18"/>
        <v>7812.5</v>
      </c>
    </row>
    <row r="133" spans="1:27" ht="13">
      <c r="A133" s="9">
        <v>131</v>
      </c>
      <c r="B133" s="4" t="s">
        <v>1173</v>
      </c>
      <c r="C133" s="51"/>
      <c r="D133" s="8">
        <v>33</v>
      </c>
      <c r="E133" s="8">
        <v>273</v>
      </c>
      <c r="F133" s="8"/>
      <c r="G133" s="5">
        <v>5</v>
      </c>
      <c r="H133" s="5">
        <v>5</v>
      </c>
      <c r="I133" s="4">
        <v>4210</v>
      </c>
      <c r="J133" s="4">
        <v>37810000</v>
      </c>
      <c r="K133" s="4">
        <v>277000</v>
      </c>
      <c r="L133" s="4">
        <v>359000</v>
      </c>
      <c r="M133" s="4">
        <v>94.8</v>
      </c>
      <c r="N133" s="4">
        <f t="shared" si="15"/>
        <v>2680.1692416675178</v>
      </c>
      <c r="O133" s="4">
        <v>37810000</v>
      </c>
      <c r="P133" s="4">
        <v>277000</v>
      </c>
      <c r="Q133" s="4">
        <v>359000</v>
      </c>
      <c r="R133" s="5">
        <v>94.8</v>
      </c>
      <c r="S133" s="4"/>
      <c r="T133" s="4">
        <v>75620000</v>
      </c>
      <c r="V133" s="4">
        <f t="shared" si="16"/>
        <v>2680.1692416675178</v>
      </c>
      <c r="W133" s="4"/>
      <c r="X133" s="9" t="str">
        <f t="shared" si="14"/>
        <v>a</v>
      </c>
      <c r="Y133" s="9" t="str">
        <f t="shared" si="14"/>
        <v>a</v>
      </c>
      <c r="Z133" s="31">
        <f t="shared" si="17"/>
        <v>62.5</v>
      </c>
      <c r="AA133" s="31">
        <f t="shared" si="18"/>
        <v>62.5</v>
      </c>
    </row>
    <row r="134" spans="1:27" ht="13">
      <c r="A134" s="9">
        <v>132</v>
      </c>
      <c r="B134" s="4" t="s">
        <v>1174</v>
      </c>
      <c r="C134" s="51"/>
      <c r="D134" s="8">
        <v>36.9</v>
      </c>
      <c r="E134" s="8">
        <v>273</v>
      </c>
      <c r="F134" s="8"/>
      <c r="G134" s="5">
        <v>5.6</v>
      </c>
      <c r="H134" s="5">
        <v>5.6</v>
      </c>
      <c r="I134" s="4">
        <v>4700</v>
      </c>
      <c r="J134" s="4">
        <v>42070000</v>
      </c>
      <c r="K134" s="4">
        <v>308000</v>
      </c>
      <c r="L134" s="4">
        <v>400000</v>
      </c>
      <c r="M134" s="4">
        <v>94.6</v>
      </c>
      <c r="N134" s="4">
        <f t="shared" si="15"/>
        <v>2992.1129301276324</v>
      </c>
      <c r="O134" s="4">
        <v>42070000</v>
      </c>
      <c r="P134" s="4">
        <v>308000</v>
      </c>
      <c r="Q134" s="4">
        <v>400000</v>
      </c>
      <c r="R134" s="5">
        <v>94.6</v>
      </c>
      <c r="S134" s="4"/>
      <c r="T134" s="4">
        <v>84130000</v>
      </c>
      <c r="V134" s="4">
        <f t="shared" si="16"/>
        <v>2992.1129301276324</v>
      </c>
      <c r="W134" s="4"/>
      <c r="X134" s="9" t="str">
        <f t="shared" si="14"/>
        <v>a</v>
      </c>
      <c r="Y134" s="9" t="str">
        <f t="shared" si="14"/>
        <v>a</v>
      </c>
      <c r="Z134" s="31">
        <f t="shared" si="17"/>
        <v>87.807999999999979</v>
      </c>
      <c r="AA134" s="31">
        <f t="shared" si="18"/>
        <v>87.807999999999979</v>
      </c>
    </row>
    <row r="135" spans="1:27" ht="13">
      <c r="A135" s="9">
        <v>133</v>
      </c>
      <c r="B135" s="4" t="s">
        <v>1175</v>
      </c>
      <c r="C135" s="51"/>
      <c r="D135" s="8">
        <v>41.4</v>
      </c>
      <c r="E135" s="8">
        <v>273</v>
      </c>
      <c r="F135" s="8"/>
      <c r="G135" s="5">
        <v>6.3</v>
      </c>
      <c r="H135" s="5">
        <v>6.3</v>
      </c>
      <c r="I135" s="4">
        <v>5280</v>
      </c>
      <c r="J135" s="4">
        <v>46960000</v>
      </c>
      <c r="K135" s="4">
        <v>344000</v>
      </c>
      <c r="L135" s="4">
        <v>448000</v>
      </c>
      <c r="M135" s="4">
        <v>94.3</v>
      </c>
      <c r="N135" s="4">
        <f t="shared" si="15"/>
        <v>3361.3523981008298</v>
      </c>
      <c r="O135" s="4">
        <v>46960000</v>
      </c>
      <c r="P135" s="4">
        <v>344000</v>
      </c>
      <c r="Q135" s="4">
        <v>448000</v>
      </c>
      <c r="R135" s="5">
        <v>94.3</v>
      </c>
      <c r="S135" s="4"/>
      <c r="T135" s="4">
        <v>93920000</v>
      </c>
      <c r="V135" s="4">
        <f t="shared" si="16"/>
        <v>3361.3523981008298</v>
      </c>
      <c r="W135" s="4"/>
      <c r="X135" s="9" t="str">
        <f t="shared" si="14"/>
        <v>a</v>
      </c>
      <c r="Y135" s="9" t="str">
        <f t="shared" si="14"/>
        <v>a</v>
      </c>
      <c r="Z135" s="31">
        <f t="shared" si="17"/>
        <v>125.02349999999998</v>
      </c>
      <c r="AA135" s="31">
        <f t="shared" si="18"/>
        <v>125.02349999999998</v>
      </c>
    </row>
    <row r="136" spans="1:27" ht="13">
      <c r="A136" s="9">
        <v>134</v>
      </c>
      <c r="B136" s="4" t="s">
        <v>1176</v>
      </c>
      <c r="C136" s="51"/>
      <c r="D136" s="8">
        <v>52.3</v>
      </c>
      <c r="E136" s="8">
        <v>273</v>
      </c>
      <c r="F136" s="8"/>
      <c r="G136" s="5">
        <v>8</v>
      </c>
      <c r="H136" s="5">
        <v>8</v>
      </c>
      <c r="I136" s="4">
        <v>6660</v>
      </c>
      <c r="J136" s="4">
        <v>58520000</v>
      </c>
      <c r="K136" s="4">
        <v>429000</v>
      </c>
      <c r="L136" s="4">
        <v>562000</v>
      </c>
      <c r="M136" s="4">
        <v>93.7</v>
      </c>
      <c r="N136" s="4">
        <f t="shared" si="15"/>
        <v>4239.8876839680916</v>
      </c>
      <c r="O136" s="4">
        <v>58520000</v>
      </c>
      <c r="P136" s="4">
        <v>429000</v>
      </c>
      <c r="Q136" s="4">
        <v>562000</v>
      </c>
      <c r="R136" s="5">
        <v>93.7</v>
      </c>
      <c r="S136" s="4"/>
      <c r="T136" s="4">
        <v>117000000</v>
      </c>
      <c r="V136" s="4">
        <f t="shared" si="16"/>
        <v>4239.8876839680916</v>
      </c>
      <c r="W136" s="4"/>
      <c r="X136" s="9" t="str">
        <f t="shared" si="14"/>
        <v>a</v>
      </c>
      <c r="Y136" s="9" t="str">
        <f t="shared" si="14"/>
        <v>a</v>
      </c>
      <c r="Z136" s="31">
        <f t="shared" si="17"/>
        <v>256</v>
      </c>
      <c r="AA136" s="31">
        <f t="shared" si="18"/>
        <v>256</v>
      </c>
    </row>
    <row r="137" spans="1:27" ht="13">
      <c r="A137" s="9">
        <v>135</v>
      </c>
      <c r="B137" s="4" t="s">
        <v>1177</v>
      </c>
      <c r="C137" s="51"/>
      <c r="D137" s="8">
        <v>64.900000000000006</v>
      </c>
      <c r="E137" s="8">
        <v>273</v>
      </c>
      <c r="F137" s="8"/>
      <c r="G137" s="5">
        <v>10</v>
      </c>
      <c r="H137" s="5">
        <v>10</v>
      </c>
      <c r="I137" s="4">
        <v>8260</v>
      </c>
      <c r="J137" s="4">
        <v>71540000</v>
      </c>
      <c r="K137" s="4">
        <v>524000</v>
      </c>
      <c r="L137" s="4">
        <v>692000</v>
      </c>
      <c r="M137" s="4">
        <v>93.1</v>
      </c>
      <c r="N137" s="4">
        <f t="shared" si="15"/>
        <v>5258.4793197562221</v>
      </c>
      <c r="O137" s="4">
        <v>71540000</v>
      </c>
      <c r="P137" s="4">
        <v>524000</v>
      </c>
      <c r="Q137" s="4">
        <v>692000</v>
      </c>
      <c r="R137" s="5">
        <v>93.1</v>
      </c>
      <c r="S137" s="4"/>
      <c r="T137" s="4">
        <v>143100000</v>
      </c>
      <c r="V137" s="4">
        <f t="shared" si="16"/>
        <v>5258.4793197562221</v>
      </c>
      <c r="W137" s="4"/>
      <c r="X137" s="9" t="str">
        <f t="shared" si="14"/>
        <v>a</v>
      </c>
      <c r="Y137" s="9" t="str">
        <f t="shared" si="14"/>
        <v>a</v>
      </c>
      <c r="Z137" s="31">
        <f t="shared" si="17"/>
        <v>500</v>
      </c>
      <c r="AA137" s="31">
        <f t="shared" si="18"/>
        <v>500</v>
      </c>
    </row>
    <row r="138" spans="1:27" ht="13">
      <c r="A138" s="9">
        <v>136</v>
      </c>
      <c r="B138" s="4" t="s">
        <v>1178</v>
      </c>
      <c r="C138" s="51"/>
      <c r="D138" s="8">
        <v>80.3</v>
      </c>
      <c r="E138" s="8">
        <v>273</v>
      </c>
      <c r="F138" s="8"/>
      <c r="G138" s="5">
        <v>12.5</v>
      </c>
      <c r="H138" s="5">
        <v>12.5</v>
      </c>
      <c r="I138" s="4">
        <v>10200</v>
      </c>
      <c r="J138" s="4">
        <v>86970000</v>
      </c>
      <c r="K138" s="4">
        <v>637000</v>
      </c>
      <c r="L138" s="4">
        <v>849000</v>
      </c>
      <c r="M138" s="4">
        <v>92.2</v>
      </c>
      <c r="N138" s="4">
        <f t="shared" si="15"/>
        <v>6493.52167814933</v>
      </c>
      <c r="O138" s="4">
        <v>86970000</v>
      </c>
      <c r="P138" s="4">
        <v>637000</v>
      </c>
      <c r="Q138" s="4">
        <v>849000</v>
      </c>
      <c r="R138" s="5">
        <v>92.2</v>
      </c>
      <c r="S138" s="4"/>
      <c r="T138" s="4">
        <v>174000000</v>
      </c>
      <c r="V138" s="4">
        <f t="shared" si="16"/>
        <v>6493.52167814933</v>
      </c>
      <c r="W138" s="4"/>
      <c r="X138" s="9" t="str">
        <f t="shared" si="14"/>
        <v>a</v>
      </c>
      <c r="Y138" s="9" t="str">
        <f t="shared" si="14"/>
        <v>a</v>
      </c>
      <c r="Z138" s="31">
        <f t="shared" si="17"/>
        <v>976.5625</v>
      </c>
      <c r="AA138" s="31">
        <f t="shared" si="18"/>
        <v>976.5625</v>
      </c>
    </row>
    <row r="139" spans="1:27" ht="13">
      <c r="A139" s="9">
        <v>137</v>
      </c>
      <c r="B139" s="4" t="s">
        <v>1179</v>
      </c>
      <c r="C139" s="51"/>
      <c r="D139" s="8">
        <v>90.6</v>
      </c>
      <c r="E139" s="8">
        <v>273</v>
      </c>
      <c r="F139" s="8"/>
      <c r="G139" s="5">
        <v>14.2</v>
      </c>
      <c r="H139" s="5">
        <v>14.2</v>
      </c>
      <c r="I139" s="4">
        <v>11500</v>
      </c>
      <c r="J139" s="4">
        <v>96950000</v>
      </c>
      <c r="K139" s="4">
        <v>710000</v>
      </c>
      <c r="L139" s="4">
        <v>952000</v>
      </c>
      <c r="M139" s="4">
        <v>91.6</v>
      </c>
      <c r="N139" s="4">
        <f t="shared" si="15"/>
        <v>7321.127382227186</v>
      </c>
      <c r="O139" s="4">
        <v>96950000</v>
      </c>
      <c r="P139" s="4">
        <v>710000</v>
      </c>
      <c r="Q139" s="4">
        <v>952000</v>
      </c>
      <c r="R139" s="5">
        <v>91.6</v>
      </c>
      <c r="S139" s="4"/>
      <c r="T139" s="4">
        <v>193900000</v>
      </c>
      <c r="V139" s="4">
        <f t="shared" si="16"/>
        <v>7321.127382227186</v>
      </c>
      <c r="W139" s="4"/>
      <c r="X139" s="9" t="str">
        <f t="shared" si="14"/>
        <v>a</v>
      </c>
      <c r="Y139" s="9" t="str">
        <f t="shared" si="14"/>
        <v>a</v>
      </c>
      <c r="Z139" s="31">
        <f t="shared" si="17"/>
        <v>1431.6439999999998</v>
      </c>
      <c r="AA139" s="31">
        <f t="shared" si="18"/>
        <v>1431.6439999999998</v>
      </c>
    </row>
    <row r="140" spans="1:27" ht="13">
      <c r="A140" s="9">
        <v>138</v>
      </c>
      <c r="B140" s="4" t="s">
        <v>1180</v>
      </c>
      <c r="C140" s="51"/>
      <c r="D140" s="8">
        <v>101</v>
      </c>
      <c r="E140" s="8">
        <v>273</v>
      </c>
      <c r="F140" s="8"/>
      <c r="G140" s="5">
        <v>16</v>
      </c>
      <c r="H140" s="5">
        <v>16</v>
      </c>
      <c r="I140" s="4">
        <v>12900</v>
      </c>
      <c r="J140" s="4">
        <v>107100000</v>
      </c>
      <c r="K140" s="4">
        <v>784000</v>
      </c>
      <c r="L140" s="4">
        <v>1058000</v>
      </c>
      <c r="M140" s="4">
        <v>91</v>
      </c>
      <c r="N140" s="4">
        <f t="shared" si="15"/>
        <v>8212.3950635418005</v>
      </c>
      <c r="O140" s="4">
        <v>107100000</v>
      </c>
      <c r="P140" s="4">
        <v>784000</v>
      </c>
      <c r="Q140" s="4">
        <v>1058000</v>
      </c>
      <c r="R140" s="5">
        <v>91</v>
      </c>
      <c r="S140" s="4"/>
      <c r="T140" s="4">
        <v>214100000</v>
      </c>
      <c r="V140" s="4">
        <f t="shared" si="16"/>
        <v>8212.3950635418005</v>
      </c>
      <c r="W140" s="4"/>
      <c r="X140" s="9" t="str">
        <f t="shared" si="14"/>
        <v>a</v>
      </c>
      <c r="Y140" s="9" t="str">
        <f t="shared" si="14"/>
        <v>a</v>
      </c>
      <c r="Z140" s="31">
        <f t="shared" si="17"/>
        <v>2048</v>
      </c>
      <c r="AA140" s="31">
        <f t="shared" si="18"/>
        <v>2048</v>
      </c>
    </row>
    <row r="141" spans="1:27" ht="13">
      <c r="A141" s="9">
        <v>139</v>
      </c>
      <c r="B141" s="4" t="s">
        <v>1181</v>
      </c>
      <c r="C141" s="51"/>
      <c r="D141" s="8">
        <v>125</v>
      </c>
      <c r="E141" s="8">
        <v>273</v>
      </c>
      <c r="F141" s="8"/>
      <c r="G141" s="5">
        <v>20</v>
      </c>
      <c r="H141" s="5">
        <v>20</v>
      </c>
      <c r="I141" s="4">
        <v>15900</v>
      </c>
      <c r="J141" s="4">
        <v>128000000</v>
      </c>
      <c r="K141" s="4">
        <v>938000</v>
      </c>
      <c r="L141" s="4">
        <v>1283000</v>
      </c>
      <c r="M141" s="4">
        <v>89.7</v>
      </c>
      <c r="N141" s="4">
        <f t="shared" si="15"/>
        <v>10122.254380644545</v>
      </c>
      <c r="O141" s="4">
        <v>128000000</v>
      </c>
      <c r="P141" s="4">
        <v>938000</v>
      </c>
      <c r="Q141" s="4">
        <v>1283000</v>
      </c>
      <c r="R141" s="5">
        <v>89.7</v>
      </c>
      <c r="S141" s="4"/>
      <c r="T141" s="4">
        <v>256000000</v>
      </c>
      <c r="V141" s="4">
        <f t="shared" si="16"/>
        <v>10122.254380644545</v>
      </c>
      <c r="W141" s="4"/>
      <c r="X141" s="9" t="str">
        <f t="shared" si="14"/>
        <v>a</v>
      </c>
      <c r="Y141" s="9" t="str">
        <f t="shared" si="14"/>
        <v>a</v>
      </c>
      <c r="Z141" s="31">
        <f t="shared" si="17"/>
        <v>4000</v>
      </c>
      <c r="AA141" s="31">
        <f t="shared" si="18"/>
        <v>4000</v>
      </c>
    </row>
    <row r="142" spans="1:27" ht="13">
      <c r="A142" s="9">
        <v>140</v>
      </c>
      <c r="B142" s="4" t="s">
        <v>1182</v>
      </c>
      <c r="C142" s="51"/>
      <c r="D142" s="8">
        <v>153</v>
      </c>
      <c r="E142" s="8">
        <v>273</v>
      </c>
      <c r="F142" s="8"/>
      <c r="G142" s="5">
        <v>25</v>
      </c>
      <c r="H142" s="5">
        <v>25</v>
      </c>
      <c r="I142" s="4">
        <v>19500</v>
      </c>
      <c r="J142" s="4">
        <v>151300000</v>
      </c>
      <c r="K142" s="4">
        <v>1108000</v>
      </c>
      <c r="L142" s="4">
        <v>1543000</v>
      </c>
      <c r="M142" s="4">
        <v>88.1</v>
      </c>
      <c r="N142" s="4">
        <f t="shared" si="15"/>
        <v>12414.085561167836</v>
      </c>
      <c r="O142" s="4">
        <v>151300000</v>
      </c>
      <c r="P142" s="4">
        <v>1108000</v>
      </c>
      <c r="Q142" s="4">
        <v>1543000</v>
      </c>
      <c r="R142" s="5">
        <v>88.1</v>
      </c>
      <c r="S142" s="4"/>
      <c r="T142" s="4">
        <v>302500000</v>
      </c>
      <c r="V142" s="4">
        <f t="shared" si="16"/>
        <v>12414.085561167836</v>
      </c>
      <c r="W142" s="4"/>
      <c r="X142" s="9" t="str">
        <f t="shared" si="14"/>
        <v>a</v>
      </c>
      <c r="Y142" s="9" t="str">
        <f t="shared" si="14"/>
        <v>a</v>
      </c>
      <c r="Z142" s="31">
        <f t="shared" si="17"/>
        <v>7812.5</v>
      </c>
      <c r="AA142" s="31">
        <f t="shared" si="18"/>
        <v>7812.5</v>
      </c>
    </row>
    <row r="143" spans="1:27" ht="13">
      <c r="A143" s="9">
        <v>141</v>
      </c>
      <c r="B143" s="4" t="s">
        <v>1183</v>
      </c>
      <c r="C143" s="51"/>
      <c r="D143" s="8">
        <v>39.299999999999997</v>
      </c>
      <c r="E143" s="8">
        <v>323.89999999999998</v>
      </c>
      <c r="F143" s="8"/>
      <c r="G143" s="5">
        <v>5</v>
      </c>
      <c r="H143" s="5">
        <v>5</v>
      </c>
      <c r="I143" s="4">
        <v>5010</v>
      </c>
      <c r="J143" s="4">
        <v>63690000</v>
      </c>
      <c r="K143" s="4">
        <v>393000</v>
      </c>
      <c r="L143" s="4">
        <v>509000</v>
      </c>
      <c r="M143" s="4">
        <v>113</v>
      </c>
      <c r="N143" s="4">
        <f t="shared" si="15"/>
        <v>3189.4650595615826</v>
      </c>
      <c r="O143" s="4">
        <v>63690000</v>
      </c>
      <c r="P143" s="4">
        <v>393000</v>
      </c>
      <c r="Q143" s="4">
        <v>509000</v>
      </c>
      <c r="R143" s="5">
        <v>113</v>
      </c>
      <c r="S143" s="4"/>
      <c r="T143" s="4">
        <v>127400000</v>
      </c>
      <c r="V143" s="4">
        <f t="shared" si="16"/>
        <v>3189.4650595615826</v>
      </c>
      <c r="W143" s="4"/>
      <c r="X143" s="9" t="str">
        <f t="shared" ref="X143:Y162" si="19">IF(fy=460,"a0","a")</f>
        <v>a</v>
      </c>
      <c r="Y143" s="9" t="str">
        <f t="shared" si="19"/>
        <v>a</v>
      </c>
      <c r="Z143" s="31">
        <f t="shared" si="17"/>
        <v>62.5</v>
      </c>
      <c r="AA143" s="31">
        <f t="shared" si="18"/>
        <v>62.5</v>
      </c>
    </row>
    <row r="144" spans="1:27" ht="13">
      <c r="A144" s="9">
        <v>142</v>
      </c>
      <c r="B144" s="4" t="s">
        <v>1184</v>
      </c>
      <c r="C144" s="51"/>
      <c r="D144" s="8">
        <v>44</v>
      </c>
      <c r="E144" s="8">
        <v>323.89999999999998</v>
      </c>
      <c r="F144" s="8"/>
      <c r="G144" s="5">
        <v>5.6</v>
      </c>
      <c r="H144" s="5">
        <v>5.6</v>
      </c>
      <c r="I144" s="4">
        <v>5600</v>
      </c>
      <c r="J144" s="4">
        <v>70940000</v>
      </c>
      <c r="K144" s="4">
        <v>438000</v>
      </c>
      <c r="L144" s="4">
        <v>567000</v>
      </c>
      <c r="M144" s="4">
        <v>113</v>
      </c>
      <c r="N144" s="4">
        <f t="shared" si="15"/>
        <v>3565.0707252584557</v>
      </c>
      <c r="O144" s="4">
        <v>70940000</v>
      </c>
      <c r="P144" s="4">
        <v>438000</v>
      </c>
      <c r="Q144" s="4">
        <v>567000</v>
      </c>
      <c r="R144" s="5">
        <v>113</v>
      </c>
      <c r="S144" s="4"/>
      <c r="T144" s="4">
        <v>141880000</v>
      </c>
      <c r="V144" s="4">
        <f t="shared" si="16"/>
        <v>3565.0707252584557</v>
      </c>
      <c r="W144" s="4"/>
      <c r="X144" s="9" t="str">
        <f t="shared" si="19"/>
        <v>a</v>
      </c>
      <c r="Y144" s="9" t="str">
        <f t="shared" si="19"/>
        <v>a</v>
      </c>
      <c r="Z144" s="31">
        <f t="shared" si="17"/>
        <v>87.807999999999979</v>
      </c>
      <c r="AA144" s="31">
        <f t="shared" si="18"/>
        <v>87.807999999999979</v>
      </c>
    </row>
    <row r="145" spans="1:27" ht="13">
      <c r="A145" s="9">
        <v>143</v>
      </c>
      <c r="B145" s="4" t="s">
        <v>1185</v>
      </c>
      <c r="C145" s="51"/>
      <c r="D145" s="8">
        <v>49.3</v>
      </c>
      <c r="E145" s="8">
        <v>323.89999999999998</v>
      </c>
      <c r="F145" s="8"/>
      <c r="G145" s="5">
        <v>6.3</v>
      </c>
      <c r="H145" s="5">
        <v>6.3</v>
      </c>
      <c r="I145" s="4">
        <v>6290</v>
      </c>
      <c r="J145" s="4">
        <v>79290000</v>
      </c>
      <c r="K145" s="4">
        <v>490000</v>
      </c>
      <c r="L145" s="4">
        <v>636000</v>
      </c>
      <c r="M145" s="4">
        <v>112</v>
      </c>
      <c r="N145" s="4">
        <f t="shared" si="15"/>
        <v>4004.3383681920868</v>
      </c>
      <c r="O145" s="4">
        <v>79290000</v>
      </c>
      <c r="P145" s="4">
        <v>490000</v>
      </c>
      <c r="Q145" s="4">
        <v>636000</v>
      </c>
      <c r="R145" s="5">
        <v>112</v>
      </c>
      <c r="S145" s="4"/>
      <c r="T145" s="4">
        <v>158600000</v>
      </c>
      <c r="V145" s="4">
        <f t="shared" si="16"/>
        <v>4004.3383681920868</v>
      </c>
      <c r="W145" s="4"/>
      <c r="X145" s="9" t="str">
        <f t="shared" si="19"/>
        <v>a</v>
      </c>
      <c r="Y145" s="9" t="str">
        <f t="shared" si="19"/>
        <v>a</v>
      </c>
      <c r="Z145" s="31">
        <f t="shared" si="17"/>
        <v>125.02349999999998</v>
      </c>
      <c r="AA145" s="31">
        <f t="shared" si="18"/>
        <v>125.02349999999998</v>
      </c>
    </row>
    <row r="146" spans="1:27" ht="13">
      <c r="A146" s="9">
        <v>144</v>
      </c>
      <c r="B146" s="4" t="s">
        <v>1186</v>
      </c>
      <c r="C146" s="51"/>
      <c r="D146" s="8">
        <v>62.3</v>
      </c>
      <c r="E146" s="8">
        <v>323.89999999999998</v>
      </c>
      <c r="F146" s="8"/>
      <c r="G146" s="5">
        <v>8</v>
      </c>
      <c r="H146" s="5">
        <v>8</v>
      </c>
      <c r="I146" s="4">
        <v>7940</v>
      </c>
      <c r="J146" s="4">
        <v>99100000</v>
      </c>
      <c r="K146" s="4">
        <v>612000</v>
      </c>
      <c r="L146" s="4">
        <v>799000</v>
      </c>
      <c r="M146" s="4">
        <v>112</v>
      </c>
      <c r="N146" s="4">
        <f t="shared" si="15"/>
        <v>5054.7609925985962</v>
      </c>
      <c r="O146" s="4">
        <v>99100000</v>
      </c>
      <c r="P146" s="4">
        <v>612000</v>
      </c>
      <c r="Q146" s="4">
        <v>799000</v>
      </c>
      <c r="R146" s="5">
        <v>112</v>
      </c>
      <c r="S146" s="4"/>
      <c r="T146" s="4">
        <v>198200000</v>
      </c>
      <c r="V146" s="4">
        <f t="shared" si="16"/>
        <v>5054.7609925985962</v>
      </c>
      <c r="W146" s="4"/>
      <c r="X146" s="9" t="str">
        <f t="shared" si="19"/>
        <v>a</v>
      </c>
      <c r="Y146" s="9" t="str">
        <f t="shared" si="19"/>
        <v>a</v>
      </c>
      <c r="Z146" s="31">
        <f t="shared" si="17"/>
        <v>256</v>
      </c>
      <c r="AA146" s="31">
        <f t="shared" si="18"/>
        <v>256</v>
      </c>
    </row>
    <row r="147" spans="1:27" ht="13">
      <c r="A147" s="9">
        <v>145</v>
      </c>
      <c r="B147" s="4" t="s">
        <v>1187</v>
      </c>
      <c r="C147" s="51"/>
      <c r="D147" s="8">
        <v>77.400000000000006</v>
      </c>
      <c r="E147" s="8">
        <v>323.89999999999998</v>
      </c>
      <c r="F147" s="8"/>
      <c r="G147" s="5">
        <v>10</v>
      </c>
      <c r="H147" s="5">
        <v>10</v>
      </c>
      <c r="I147" s="4">
        <v>9860</v>
      </c>
      <c r="J147" s="4">
        <v>121600000</v>
      </c>
      <c r="K147" s="4">
        <v>751000</v>
      </c>
      <c r="L147" s="4">
        <v>986000</v>
      </c>
      <c r="M147" s="4">
        <v>111</v>
      </c>
      <c r="N147" s="4">
        <f t="shared" si="15"/>
        <v>6277.0709555443527</v>
      </c>
      <c r="O147" s="4">
        <v>121600000</v>
      </c>
      <c r="P147" s="4">
        <v>751000</v>
      </c>
      <c r="Q147" s="4">
        <v>986000</v>
      </c>
      <c r="R147" s="5">
        <v>111</v>
      </c>
      <c r="S147" s="4"/>
      <c r="T147" s="4">
        <v>243200000</v>
      </c>
      <c r="V147" s="4">
        <f t="shared" si="16"/>
        <v>6277.0709555443527</v>
      </c>
      <c r="W147" s="4"/>
      <c r="X147" s="9" t="str">
        <f t="shared" si="19"/>
        <v>a</v>
      </c>
      <c r="Y147" s="9" t="str">
        <f t="shared" si="19"/>
        <v>a</v>
      </c>
      <c r="Z147" s="31">
        <f t="shared" si="17"/>
        <v>500</v>
      </c>
      <c r="AA147" s="31">
        <f t="shared" si="18"/>
        <v>500</v>
      </c>
    </row>
    <row r="148" spans="1:27" ht="13">
      <c r="A148" s="9">
        <v>146</v>
      </c>
      <c r="B148" s="4" t="s">
        <v>1188</v>
      </c>
      <c r="C148" s="51"/>
      <c r="D148" s="8">
        <v>96</v>
      </c>
      <c r="E148" s="8">
        <v>323.89999999999998</v>
      </c>
      <c r="F148" s="8"/>
      <c r="G148" s="5">
        <v>12.5</v>
      </c>
      <c r="H148" s="5">
        <v>12.5</v>
      </c>
      <c r="I148" s="4">
        <v>12200</v>
      </c>
      <c r="J148" s="4">
        <v>148500000</v>
      </c>
      <c r="K148" s="4">
        <v>917000</v>
      </c>
      <c r="L148" s="4">
        <v>1213000</v>
      </c>
      <c r="M148" s="4">
        <v>110</v>
      </c>
      <c r="N148" s="4">
        <f t="shared" si="15"/>
        <v>7766.7612228844928</v>
      </c>
      <c r="O148" s="4">
        <v>148500000</v>
      </c>
      <c r="P148" s="4">
        <v>917000</v>
      </c>
      <c r="Q148" s="4">
        <v>1213000</v>
      </c>
      <c r="R148" s="5">
        <v>110</v>
      </c>
      <c r="S148" s="4"/>
      <c r="T148" s="4">
        <v>296900000</v>
      </c>
      <c r="V148" s="4">
        <f t="shared" si="16"/>
        <v>7766.7612228844928</v>
      </c>
      <c r="W148" s="4"/>
      <c r="X148" s="9" t="str">
        <f t="shared" si="19"/>
        <v>a</v>
      </c>
      <c r="Y148" s="9" t="str">
        <f t="shared" si="19"/>
        <v>a</v>
      </c>
      <c r="Z148" s="31">
        <f t="shared" si="17"/>
        <v>976.5625</v>
      </c>
      <c r="AA148" s="31">
        <f t="shared" si="18"/>
        <v>976.5625</v>
      </c>
    </row>
    <row r="149" spans="1:27" ht="13">
      <c r="A149" s="9">
        <v>147</v>
      </c>
      <c r="B149" s="4" t="s">
        <v>1189</v>
      </c>
      <c r="C149" s="51"/>
      <c r="D149" s="8">
        <v>108.5</v>
      </c>
      <c r="E149" s="8">
        <v>323.89999999999998</v>
      </c>
      <c r="F149" s="8"/>
      <c r="G149" s="5">
        <v>14.2</v>
      </c>
      <c r="H149" s="5">
        <v>14.2</v>
      </c>
      <c r="I149" s="4">
        <v>13800</v>
      </c>
      <c r="J149" s="4">
        <v>166000000</v>
      </c>
      <c r="K149" s="4">
        <v>1025000</v>
      </c>
      <c r="L149" s="4">
        <v>1363000</v>
      </c>
      <c r="M149" s="4">
        <v>110</v>
      </c>
      <c r="N149" s="4">
        <f t="shared" si="15"/>
        <v>8785.3528586726225</v>
      </c>
      <c r="O149" s="4">
        <v>166000000</v>
      </c>
      <c r="P149" s="4">
        <v>1025000</v>
      </c>
      <c r="Q149" s="4">
        <v>1363000</v>
      </c>
      <c r="R149" s="5">
        <v>110</v>
      </c>
      <c r="S149" s="4"/>
      <c r="T149" s="4">
        <v>332000000</v>
      </c>
      <c r="V149" s="4">
        <f t="shared" si="16"/>
        <v>8785.3528586726225</v>
      </c>
      <c r="W149" s="4"/>
      <c r="X149" s="9" t="str">
        <f t="shared" si="19"/>
        <v>a</v>
      </c>
      <c r="Y149" s="9" t="str">
        <f t="shared" si="19"/>
        <v>a</v>
      </c>
      <c r="Z149" s="31">
        <f t="shared" si="17"/>
        <v>1431.6439999999998</v>
      </c>
      <c r="AA149" s="31">
        <f t="shared" si="18"/>
        <v>1431.6439999999998</v>
      </c>
    </row>
    <row r="150" spans="1:27" ht="13">
      <c r="A150" s="9">
        <v>148</v>
      </c>
      <c r="B150" s="4" t="s">
        <v>1190</v>
      </c>
      <c r="C150" s="51"/>
      <c r="D150" s="8">
        <v>121</v>
      </c>
      <c r="E150" s="8">
        <v>323.89999999999998</v>
      </c>
      <c r="F150" s="8"/>
      <c r="G150" s="5">
        <v>16</v>
      </c>
      <c r="H150" s="5">
        <v>16</v>
      </c>
      <c r="I150" s="4">
        <v>15500</v>
      </c>
      <c r="J150" s="4">
        <v>183900000</v>
      </c>
      <c r="K150" s="4">
        <v>1136000</v>
      </c>
      <c r="L150" s="4">
        <v>1518000</v>
      </c>
      <c r="M150" s="4">
        <v>109</v>
      </c>
      <c r="N150" s="4">
        <f t="shared" si="15"/>
        <v>9867.6064716975106</v>
      </c>
      <c r="O150" s="4">
        <v>183900000</v>
      </c>
      <c r="P150" s="4">
        <v>1136000</v>
      </c>
      <c r="Q150" s="4">
        <v>1518000</v>
      </c>
      <c r="R150" s="5">
        <v>109</v>
      </c>
      <c r="S150" s="4"/>
      <c r="T150" s="4">
        <v>367800000</v>
      </c>
      <c r="V150" s="4">
        <f t="shared" si="16"/>
        <v>9867.6064716975106</v>
      </c>
      <c r="W150" s="4"/>
      <c r="X150" s="9" t="str">
        <f t="shared" si="19"/>
        <v>a</v>
      </c>
      <c r="Y150" s="9" t="str">
        <f t="shared" si="19"/>
        <v>a</v>
      </c>
      <c r="Z150" s="31">
        <f t="shared" si="17"/>
        <v>2048</v>
      </c>
      <c r="AA150" s="31">
        <f t="shared" si="18"/>
        <v>2048</v>
      </c>
    </row>
    <row r="151" spans="1:27" ht="13">
      <c r="A151" s="9">
        <v>149</v>
      </c>
      <c r="B151" s="4" t="s">
        <v>1191</v>
      </c>
      <c r="C151" s="51"/>
      <c r="D151" s="8">
        <v>143</v>
      </c>
      <c r="E151" s="8">
        <v>323.89999999999998</v>
      </c>
      <c r="F151" s="8"/>
      <c r="G151" s="5">
        <v>19</v>
      </c>
      <c r="H151" s="5">
        <v>19</v>
      </c>
      <c r="I151" s="4">
        <v>18200</v>
      </c>
      <c r="J151" s="4">
        <v>212310000</v>
      </c>
      <c r="K151" s="4">
        <v>1311000</v>
      </c>
      <c r="L151" s="4">
        <v>1769000</v>
      </c>
      <c r="M151" s="4">
        <v>108</v>
      </c>
      <c r="N151" s="4">
        <f t="shared" si="15"/>
        <v>11586.47985708998</v>
      </c>
      <c r="O151" s="4">
        <v>212310000</v>
      </c>
      <c r="P151" s="4">
        <v>1311000</v>
      </c>
      <c r="Q151" s="4">
        <v>1769000</v>
      </c>
      <c r="R151" s="5">
        <v>108</v>
      </c>
      <c r="S151" s="4"/>
      <c r="T151" s="4">
        <v>424620000</v>
      </c>
      <c r="V151" s="4">
        <f t="shared" si="16"/>
        <v>11586.47985708998</v>
      </c>
      <c r="W151" s="4"/>
      <c r="X151" s="9" t="str">
        <f t="shared" si="19"/>
        <v>a</v>
      </c>
      <c r="Y151" s="9" t="str">
        <f t="shared" si="19"/>
        <v>a</v>
      </c>
      <c r="Z151" s="31">
        <f t="shared" si="17"/>
        <v>3429.5</v>
      </c>
      <c r="AA151" s="31">
        <f t="shared" si="18"/>
        <v>3429.5</v>
      </c>
    </row>
    <row r="152" spans="1:27" ht="13">
      <c r="A152" s="9">
        <v>150</v>
      </c>
      <c r="B152" s="4" t="s">
        <v>1192</v>
      </c>
      <c r="C152" s="51"/>
      <c r="D152" s="8">
        <v>150</v>
      </c>
      <c r="E152" s="8">
        <v>323.89999999999998</v>
      </c>
      <c r="F152" s="8"/>
      <c r="G152" s="5">
        <v>20</v>
      </c>
      <c r="H152" s="5">
        <v>20</v>
      </c>
      <c r="I152" s="4">
        <v>19100</v>
      </c>
      <c r="J152" s="4">
        <v>221400000</v>
      </c>
      <c r="K152" s="4">
        <v>1367000</v>
      </c>
      <c r="L152" s="4">
        <v>1850000</v>
      </c>
      <c r="M152" s="4">
        <v>108</v>
      </c>
      <c r="N152" s="4">
        <f t="shared" si="15"/>
        <v>12159.437652220804</v>
      </c>
      <c r="O152" s="4">
        <v>221400000</v>
      </c>
      <c r="P152" s="4">
        <v>1367000</v>
      </c>
      <c r="Q152" s="4">
        <v>1850000</v>
      </c>
      <c r="R152" s="5">
        <v>108</v>
      </c>
      <c r="S152" s="4"/>
      <c r="T152" s="4">
        <v>442800000</v>
      </c>
      <c r="V152" s="4">
        <f t="shared" si="16"/>
        <v>12159.437652220804</v>
      </c>
      <c r="W152" s="4"/>
      <c r="X152" s="9" t="str">
        <f t="shared" si="19"/>
        <v>a</v>
      </c>
      <c r="Y152" s="9" t="str">
        <f t="shared" si="19"/>
        <v>a</v>
      </c>
      <c r="Z152" s="31">
        <f t="shared" si="17"/>
        <v>4000</v>
      </c>
      <c r="AA152" s="31">
        <f t="shared" si="18"/>
        <v>4000</v>
      </c>
    </row>
    <row r="153" spans="1:27" ht="13">
      <c r="A153" s="9">
        <v>151</v>
      </c>
      <c r="B153" s="4" t="s">
        <v>1193</v>
      </c>
      <c r="C153" s="51"/>
      <c r="D153" s="8">
        <v>164</v>
      </c>
      <c r="E153" s="8">
        <v>323.89999999999998</v>
      </c>
      <c r="F153" s="8"/>
      <c r="G153" s="5">
        <v>22</v>
      </c>
      <c r="H153" s="5">
        <v>22</v>
      </c>
      <c r="I153" s="4">
        <v>20900</v>
      </c>
      <c r="J153" s="4">
        <v>238990000</v>
      </c>
      <c r="K153" s="4">
        <v>1476000</v>
      </c>
      <c r="L153" s="4">
        <v>2009000</v>
      </c>
      <c r="M153" s="4">
        <v>107</v>
      </c>
      <c r="N153" s="4">
        <f t="shared" si="15"/>
        <v>13305.35324248245</v>
      </c>
      <c r="O153" s="4">
        <v>238990000</v>
      </c>
      <c r="P153" s="4">
        <v>1476000</v>
      </c>
      <c r="Q153" s="4">
        <v>2009000</v>
      </c>
      <c r="R153" s="5">
        <v>107</v>
      </c>
      <c r="S153" s="4"/>
      <c r="T153" s="4">
        <v>477970000</v>
      </c>
      <c r="V153" s="4">
        <f t="shared" si="16"/>
        <v>13305.35324248245</v>
      </c>
      <c r="W153" s="4"/>
      <c r="X153" s="9" t="str">
        <f t="shared" si="19"/>
        <v>a</v>
      </c>
      <c r="Y153" s="9" t="str">
        <f t="shared" si="19"/>
        <v>a</v>
      </c>
      <c r="Z153" s="31">
        <f t="shared" si="17"/>
        <v>5324</v>
      </c>
      <c r="AA153" s="31">
        <f t="shared" si="18"/>
        <v>5324</v>
      </c>
    </row>
    <row r="154" spans="1:27" ht="13">
      <c r="A154" s="9">
        <v>152</v>
      </c>
      <c r="B154" s="4" t="s">
        <v>1194</v>
      </c>
      <c r="C154" s="51"/>
      <c r="D154" s="8">
        <v>184</v>
      </c>
      <c r="E154" s="8">
        <v>323.89999999999998</v>
      </c>
      <c r="F154" s="8"/>
      <c r="G154" s="5">
        <v>25</v>
      </c>
      <c r="H154" s="5">
        <v>25</v>
      </c>
      <c r="I154" s="4">
        <v>23500</v>
      </c>
      <c r="J154" s="4">
        <v>264000000</v>
      </c>
      <c r="K154" s="4">
        <v>1630000</v>
      </c>
      <c r="L154" s="4">
        <v>2239000</v>
      </c>
      <c r="M154" s="4">
        <v>106</v>
      </c>
      <c r="N154" s="4">
        <f t="shared" si="15"/>
        <v>14960.564650638162</v>
      </c>
      <c r="O154" s="4">
        <v>264000000</v>
      </c>
      <c r="P154" s="4">
        <v>1630000</v>
      </c>
      <c r="Q154" s="4">
        <v>2239000</v>
      </c>
      <c r="R154" s="5">
        <v>106</v>
      </c>
      <c r="S154" s="4"/>
      <c r="T154" s="4">
        <v>528000000</v>
      </c>
      <c r="V154" s="4">
        <f t="shared" si="16"/>
        <v>14960.564650638162</v>
      </c>
      <c r="W154" s="4"/>
      <c r="X154" s="9" t="str">
        <f t="shared" si="19"/>
        <v>a</v>
      </c>
      <c r="Y154" s="9" t="str">
        <f t="shared" si="19"/>
        <v>a</v>
      </c>
      <c r="Z154" s="31">
        <f t="shared" si="17"/>
        <v>7812.5</v>
      </c>
      <c r="AA154" s="31">
        <f t="shared" si="18"/>
        <v>7812.5</v>
      </c>
    </row>
    <row r="155" spans="1:27" ht="13">
      <c r="A155" s="9">
        <v>153</v>
      </c>
      <c r="B155" s="4" t="s">
        <v>1195</v>
      </c>
      <c r="C155" s="51"/>
      <c r="D155" s="8">
        <v>54.3</v>
      </c>
      <c r="E155" s="8">
        <v>355.6</v>
      </c>
      <c r="F155" s="8"/>
      <c r="G155" s="5">
        <v>6.3</v>
      </c>
      <c r="H155" s="5">
        <v>6.3</v>
      </c>
      <c r="I155" s="4">
        <v>6910</v>
      </c>
      <c r="J155" s="4">
        <v>105500000</v>
      </c>
      <c r="K155" s="4">
        <v>593000</v>
      </c>
      <c r="L155" s="4">
        <v>769000</v>
      </c>
      <c r="M155" s="4">
        <v>124</v>
      </c>
      <c r="N155" s="4">
        <f t="shared" si="15"/>
        <v>4399.0426270599874</v>
      </c>
      <c r="O155" s="4">
        <v>105500000</v>
      </c>
      <c r="P155" s="4">
        <v>593000</v>
      </c>
      <c r="Q155" s="4">
        <v>769000</v>
      </c>
      <c r="R155" s="5">
        <v>124</v>
      </c>
      <c r="S155" s="4"/>
      <c r="T155" s="4">
        <v>210900000</v>
      </c>
      <c r="V155" s="4">
        <f t="shared" si="16"/>
        <v>4399.0426270599874</v>
      </c>
      <c r="W155" s="4"/>
      <c r="X155" s="9" t="str">
        <f t="shared" si="19"/>
        <v>a</v>
      </c>
      <c r="Y155" s="9" t="str">
        <f t="shared" si="19"/>
        <v>a</v>
      </c>
      <c r="Z155" s="31">
        <f t="shared" si="17"/>
        <v>125.02349999999998</v>
      </c>
      <c r="AA155" s="31">
        <f t="shared" si="18"/>
        <v>125.02349999999998</v>
      </c>
    </row>
    <row r="156" spans="1:27" ht="13">
      <c r="A156" s="9">
        <v>154</v>
      </c>
      <c r="B156" s="4" t="s">
        <v>1196</v>
      </c>
      <c r="C156" s="51"/>
      <c r="D156" s="8">
        <v>68.599999999999994</v>
      </c>
      <c r="E156" s="8">
        <v>355.6</v>
      </c>
      <c r="F156" s="8"/>
      <c r="G156" s="5">
        <v>8</v>
      </c>
      <c r="H156" s="5">
        <v>8</v>
      </c>
      <c r="I156" s="4">
        <v>8740</v>
      </c>
      <c r="J156" s="4">
        <v>132000000</v>
      </c>
      <c r="K156" s="4">
        <v>742000</v>
      </c>
      <c r="L156" s="4">
        <v>967000</v>
      </c>
      <c r="M156" s="4">
        <v>123</v>
      </c>
      <c r="N156" s="4">
        <f t="shared" si="15"/>
        <v>5564.0568104926615</v>
      </c>
      <c r="O156" s="4">
        <v>132000000</v>
      </c>
      <c r="P156" s="4">
        <v>742000</v>
      </c>
      <c r="Q156" s="4">
        <v>967000</v>
      </c>
      <c r="R156" s="5">
        <v>123</v>
      </c>
      <c r="S156" s="4"/>
      <c r="T156" s="4">
        <v>264000000</v>
      </c>
      <c r="V156" s="4">
        <f t="shared" si="16"/>
        <v>5564.0568104926615</v>
      </c>
      <c r="W156" s="4"/>
      <c r="X156" s="9" t="str">
        <f t="shared" si="19"/>
        <v>a</v>
      </c>
      <c r="Y156" s="9" t="str">
        <f t="shared" si="19"/>
        <v>a</v>
      </c>
      <c r="Z156" s="31">
        <f t="shared" si="17"/>
        <v>256</v>
      </c>
      <c r="AA156" s="31">
        <f t="shared" si="18"/>
        <v>256</v>
      </c>
    </row>
    <row r="157" spans="1:27" ht="13">
      <c r="A157" s="9">
        <v>155</v>
      </c>
      <c r="B157" s="4" t="s">
        <v>1197</v>
      </c>
      <c r="C157" s="51"/>
      <c r="D157" s="8">
        <v>85.2</v>
      </c>
      <c r="E157" s="8">
        <v>355.6</v>
      </c>
      <c r="F157" s="8"/>
      <c r="G157" s="5">
        <v>10</v>
      </c>
      <c r="H157" s="5">
        <v>10</v>
      </c>
      <c r="I157" s="4">
        <v>10900</v>
      </c>
      <c r="J157" s="4">
        <v>162200000</v>
      </c>
      <c r="K157" s="4">
        <v>912000</v>
      </c>
      <c r="L157" s="4">
        <v>1195000</v>
      </c>
      <c r="M157" s="4">
        <v>122</v>
      </c>
      <c r="N157" s="4">
        <f t="shared" si="15"/>
        <v>6939.1555188066368</v>
      </c>
      <c r="O157" s="4">
        <v>162200000</v>
      </c>
      <c r="P157" s="4">
        <v>912000</v>
      </c>
      <c r="Q157" s="4">
        <v>1195000</v>
      </c>
      <c r="R157" s="5">
        <v>122</v>
      </c>
      <c r="S157" s="4"/>
      <c r="T157" s="4">
        <v>324500000</v>
      </c>
      <c r="V157" s="4">
        <f t="shared" si="16"/>
        <v>6939.1555188066368</v>
      </c>
      <c r="W157" s="4"/>
      <c r="X157" s="9" t="str">
        <f t="shared" si="19"/>
        <v>a</v>
      </c>
      <c r="Y157" s="9" t="str">
        <f t="shared" si="19"/>
        <v>a</v>
      </c>
      <c r="Z157" s="31">
        <f t="shared" si="17"/>
        <v>500</v>
      </c>
      <c r="AA157" s="31">
        <f t="shared" si="18"/>
        <v>500</v>
      </c>
    </row>
    <row r="158" spans="1:27" ht="13">
      <c r="A158" s="9">
        <v>156</v>
      </c>
      <c r="B158" s="4" t="s">
        <v>1198</v>
      </c>
      <c r="C158" s="51"/>
      <c r="D158" s="8">
        <v>106</v>
      </c>
      <c r="E158" s="8">
        <v>355.6</v>
      </c>
      <c r="F158" s="8"/>
      <c r="G158" s="5">
        <v>12.5</v>
      </c>
      <c r="H158" s="5">
        <v>12.5</v>
      </c>
      <c r="I158" s="4">
        <v>13500</v>
      </c>
      <c r="J158" s="4">
        <v>198500000</v>
      </c>
      <c r="K158" s="4">
        <v>1117000</v>
      </c>
      <c r="L158" s="4">
        <v>1472000</v>
      </c>
      <c r="M158" s="4">
        <v>121</v>
      </c>
      <c r="N158" s="4">
        <f t="shared" si="15"/>
        <v>8594.3669269623479</v>
      </c>
      <c r="O158" s="4">
        <v>198500000</v>
      </c>
      <c r="P158" s="4">
        <v>1117000</v>
      </c>
      <c r="Q158" s="4">
        <v>1472000</v>
      </c>
      <c r="R158" s="5">
        <v>121</v>
      </c>
      <c r="S158" s="4"/>
      <c r="T158" s="4">
        <v>397000000</v>
      </c>
      <c r="V158" s="4">
        <f t="shared" si="16"/>
        <v>8594.3669269623479</v>
      </c>
      <c r="W158" s="4"/>
      <c r="X158" s="9" t="str">
        <f t="shared" si="19"/>
        <v>a</v>
      </c>
      <c r="Y158" s="9" t="str">
        <f t="shared" si="19"/>
        <v>a</v>
      </c>
      <c r="Z158" s="31">
        <f t="shared" si="17"/>
        <v>976.5625</v>
      </c>
      <c r="AA158" s="31">
        <f t="shared" si="18"/>
        <v>976.5625</v>
      </c>
    </row>
    <row r="159" spans="1:27" ht="13">
      <c r="A159" s="9">
        <v>157</v>
      </c>
      <c r="B159" s="4" t="s">
        <v>1199</v>
      </c>
      <c r="C159" s="51"/>
      <c r="D159" s="8">
        <v>120</v>
      </c>
      <c r="E159" s="8">
        <v>355.6</v>
      </c>
      <c r="F159" s="8"/>
      <c r="G159" s="5">
        <v>14.2</v>
      </c>
      <c r="H159" s="5">
        <v>14.2</v>
      </c>
      <c r="I159" s="4">
        <v>15200</v>
      </c>
      <c r="J159" s="4">
        <v>222300000</v>
      </c>
      <c r="K159" s="4">
        <v>1250000</v>
      </c>
      <c r="L159" s="4">
        <v>1656000</v>
      </c>
      <c r="M159" s="4">
        <v>121</v>
      </c>
      <c r="N159" s="4">
        <f t="shared" si="15"/>
        <v>9676.620539987236</v>
      </c>
      <c r="O159" s="4">
        <v>222300000</v>
      </c>
      <c r="P159" s="4">
        <v>1250000</v>
      </c>
      <c r="Q159" s="4">
        <v>1656000</v>
      </c>
      <c r="R159" s="5">
        <v>121</v>
      </c>
      <c r="S159" s="4"/>
      <c r="T159" s="4">
        <v>444600000</v>
      </c>
      <c r="V159" s="4">
        <f t="shared" si="16"/>
        <v>9676.620539987236</v>
      </c>
      <c r="W159" s="4"/>
      <c r="X159" s="9" t="str">
        <f t="shared" si="19"/>
        <v>a</v>
      </c>
      <c r="Y159" s="9" t="str">
        <f t="shared" si="19"/>
        <v>a</v>
      </c>
      <c r="Z159" s="31">
        <f t="shared" si="17"/>
        <v>1431.6439999999998</v>
      </c>
      <c r="AA159" s="31">
        <f t="shared" si="18"/>
        <v>1431.6439999999998</v>
      </c>
    </row>
    <row r="160" spans="1:27" ht="13">
      <c r="A160" s="9">
        <v>158</v>
      </c>
      <c r="B160" s="4" t="s">
        <v>1200</v>
      </c>
      <c r="C160" s="51"/>
      <c r="D160" s="8">
        <v>134</v>
      </c>
      <c r="E160" s="8">
        <v>355.6</v>
      </c>
      <c r="F160" s="8"/>
      <c r="G160" s="5">
        <v>16</v>
      </c>
      <c r="H160" s="5">
        <v>16</v>
      </c>
      <c r="I160" s="4">
        <v>17100</v>
      </c>
      <c r="J160" s="4">
        <v>246600000</v>
      </c>
      <c r="K160" s="4">
        <v>1387000</v>
      </c>
      <c r="L160" s="4">
        <v>1847000</v>
      </c>
      <c r="M160" s="4">
        <v>120</v>
      </c>
      <c r="N160" s="4">
        <f t="shared" si="15"/>
        <v>10886.198107485641</v>
      </c>
      <c r="O160" s="4">
        <v>246600000</v>
      </c>
      <c r="P160" s="4">
        <v>1387000</v>
      </c>
      <c r="Q160" s="4">
        <v>1847000</v>
      </c>
      <c r="R160" s="5">
        <v>120</v>
      </c>
      <c r="S160" s="4"/>
      <c r="T160" s="4">
        <v>493300000</v>
      </c>
      <c r="V160" s="4">
        <f t="shared" si="16"/>
        <v>10886.198107485641</v>
      </c>
      <c r="W160" s="4"/>
      <c r="X160" s="9" t="str">
        <f t="shared" si="19"/>
        <v>a</v>
      </c>
      <c r="Y160" s="9" t="str">
        <f t="shared" si="19"/>
        <v>a</v>
      </c>
      <c r="Z160" s="31">
        <f t="shared" si="17"/>
        <v>2048</v>
      </c>
      <c r="AA160" s="31">
        <f t="shared" si="18"/>
        <v>2048</v>
      </c>
    </row>
    <row r="161" spans="1:27" ht="13">
      <c r="A161" s="9">
        <v>159</v>
      </c>
      <c r="B161" s="4" t="s">
        <v>1201</v>
      </c>
      <c r="C161" s="51"/>
      <c r="D161" s="8">
        <v>158</v>
      </c>
      <c r="E161" s="8">
        <v>355.6</v>
      </c>
      <c r="F161" s="8"/>
      <c r="G161" s="5">
        <v>19</v>
      </c>
      <c r="H161" s="5">
        <v>19</v>
      </c>
      <c r="I161" s="4">
        <v>20100</v>
      </c>
      <c r="J161" s="4">
        <v>285450000</v>
      </c>
      <c r="K161" s="4">
        <v>1605000</v>
      </c>
      <c r="L161" s="4">
        <v>2155000</v>
      </c>
      <c r="M161" s="4">
        <v>119</v>
      </c>
      <c r="N161" s="4">
        <f t="shared" si="15"/>
        <v>12796.057424588385</v>
      </c>
      <c r="O161" s="4">
        <v>285450000</v>
      </c>
      <c r="P161" s="4">
        <v>1605000</v>
      </c>
      <c r="Q161" s="4">
        <v>2155000</v>
      </c>
      <c r="R161" s="5">
        <v>119</v>
      </c>
      <c r="S161" s="4"/>
      <c r="T161" s="4">
        <v>570910000</v>
      </c>
      <c r="V161" s="4">
        <f t="shared" si="16"/>
        <v>12796.057424588385</v>
      </c>
      <c r="W161" s="4"/>
      <c r="X161" s="9" t="str">
        <f t="shared" si="19"/>
        <v>a</v>
      </c>
      <c r="Y161" s="9" t="str">
        <f t="shared" si="19"/>
        <v>a</v>
      </c>
      <c r="Z161" s="31">
        <f t="shared" si="17"/>
        <v>3429.5</v>
      </c>
      <c r="AA161" s="31">
        <f t="shared" si="18"/>
        <v>3429.5</v>
      </c>
    </row>
    <row r="162" spans="1:27" ht="13">
      <c r="A162" s="9">
        <v>160</v>
      </c>
      <c r="B162" s="4" t="s">
        <v>1202</v>
      </c>
      <c r="C162" s="51"/>
      <c r="D162" s="8">
        <v>166</v>
      </c>
      <c r="E162" s="8">
        <v>355.6</v>
      </c>
      <c r="F162" s="8"/>
      <c r="G162" s="5">
        <v>20</v>
      </c>
      <c r="H162" s="5">
        <v>20</v>
      </c>
      <c r="I162" s="4">
        <v>21100</v>
      </c>
      <c r="J162" s="4">
        <v>297900000</v>
      </c>
      <c r="K162" s="4">
        <v>1676000</v>
      </c>
      <c r="L162" s="4">
        <v>2255000</v>
      </c>
      <c r="M162" s="4">
        <v>119</v>
      </c>
      <c r="N162" s="4">
        <f t="shared" si="15"/>
        <v>13432.677196955967</v>
      </c>
      <c r="O162" s="4">
        <v>297900000</v>
      </c>
      <c r="P162" s="4">
        <v>1676000</v>
      </c>
      <c r="Q162" s="4">
        <v>2255000</v>
      </c>
      <c r="R162" s="5">
        <v>119</v>
      </c>
      <c r="S162" s="4"/>
      <c r="T162" s="4">
        <v>595800000</v>
      </c>
      <c r="V162" s="4">
        <f t="shared" si="16"/>
        <v>13432.677196955967</v>
      </c>
      <c r="W162" s="4"/>
      <c r="X162" s="9" t="str">
        <f t="shared" si="19"/>
        <v>a</v>
      </c>
      <c r="Y162" s="9" t="str">
        <f t="shared" si="19"/>
        <v>a</v>
      </c>
      <c r="Z162" s="31">
        <f t="shared" si="17"/>
        <v>4000</v>
      </c>
      <c r="AA162" s="31">
        <f t="shared" si="18"/>
        <v>4000</v>
      </c>
    </row>
    <row r="163" spans="1:27" ht="13">
      <c r="A163" s="9">
        <v>161</v>
      </c>
      <c r="B163" s="4" t="s">
        <v>1203</v>
      </c>
      <c r="C163" s="51"/>
      <c r="D163" s="8">
        <v>181</v>
      </c>
      <c r="E163" s="8">
        <v>355.6</v>
      </c>
      <c r="F163" s="8"/>
      <c r="G163" s="5">
        <v>22</v>
      </c>
      <c r="H163" s="5">
        <v>22</v>
      </c>
      <c r="I163" s="4">
        <v>23100</v>
      </c>
      <c r="J163" s="4">
        <v>322140000</v>
      </c>
      <c r="K163" s="4">
        <v>1812000</v>
      </c>
      <c r="L163" s="4">
        <v>2452000</v>
      </c>
      <c r="M163" s="4">
        <v>118</v>
      </c>
      <c r="N163" s="4">
        <f t="shared" si="15"/>
        <v>14705.91674169113</v>
      </c>
      <c r="O163" s="4">
        <v>322140000</v>
      </c>
      <c r="P163" s="4">
        <v>1812000</v>
      </c>
      <c r="Q163" s="4">
        <v>2452000</v>
      </c>
      <c r="R163" s="5">
        <v>118</v>
      </c>
      <c r="S163" s="4"/>
      <c r="T163" s="4">
        <v>644280000</v>
      </c>
      <c r="V163" s="4">
        <f t="shared" si="16"/>
        <v>14705.91674169113</v>
      </c>
      <c r="W163" s="4"/>
      <c r="X163" s="9" t="str">
        <f t="shared" ref="X163:Y182" si="20">IF(fy=460,"a0","a")</f>
        <v>a</v>
      </c>
      <c r="Y163" s="9" t="str">
        <f t="shared" si="20"/>
        <v>a</v>
      </c>
      <c r="Z163" s="31">
        <f t="shared" si="17"/>
        <v>5324</v>
      </c>
      <c r="AA163" s="31">
        <f t="shared" si="18"/>
        <v>5324</v>
      </c>
    </row>
    <row r="164" spans="1:27" ht="13">
      <c r="A164" s="9">
        <v>162</v>
      </c>
      <c r="B164" s="4" t="s">
        <v>1204</v>
      </c>
      <c r="C164" s="51"/>
      <c r="D164" s="8">
        <v>204</v>
      </c>
      <c r="E164" s="8">
        <v>355.6</v>
      </c>
      <c r="F164" s="8"/>
      <c r="G164" s="5">
        <v>25</v>
      </c>
      <c r="H164" s="5">
        <v>25</v>
      </c>
      <c r="I164" s="4">
        <v>26000</v>
      </c>
      <c r="J164" s="4">
        <v>356800000</v>
      </c>
      <c r="K164" s="4">
        <v>2007000</v>
      </c>
      <c r="L164" s="4">
        <v>2738000</v>
      </c>
      <c r="M164" s="4">
        <v>117</v>
      </c>
      <c r="N164" s="4">
        <f t="shared" si="15"/>
        <v>16552.114081557116</v>
      </c>
      <c r="O164" s="4">
        <v>356800000</v>
      </c>
      <c r="P164" s="4">
        <v>2007000</v>
      </c>
      <c r="Q164" s="4">
        <v>2738000</v>
      </c>
      <c r="R164" s="5">
        <v>117</v>
      </c>
      <c r="S164" s="4"/>
      <c r="T164" s="4">
        <v>713500000</v>
      </c>
      <c r="V164" s="4">
        <f t="shared" si="16"/>
        <v>16552.114081557116</v>
      </c>
      <c r="W164" s="4"/>
      <c r="X164" s="9" t="str">
        <f t="shared" si="20"/>
        <v>a</v>
      </c>
      <c r="Y164" s="9" t="str">
        <f t="shared" si="20"/>
        <v>a</v>
      </c>
      <c r="Z164" s="31">
        <f t="shared" si="17"/>
        <v>7812.5</v>
      </c>
      <c r="AA164" s="31">
        <f t="shared" si="18"/>
        <v>7812.5</v>
      </c>
    </row>
    <row r="165" spans="1:27" ht="13">
      <c r="A165" s="9">
        <v>163</v>
      </c>
      <c r="B165" s="4" t="s">
        <v>1205</v>
      </c>
      <c r="C165" s="51"/>
      <c r="D165" s="8">
        <v>62.2</v>
      </c>
      <c r="E165" s="8">
        <v>406.4</v>
      </c>
      <c r="F165" s="8"/>
      <c r="G165" s="5">
        <v>6.3</v>
      </c>
      <c r="H165" s="5">
        <v>6.3</v>
      </c>
      <c r="I165" s="4">
        <v>7920</v>
      </c>
      <c r="J165" s="4">
        <v>158500000</v>
      </c>
      <c r="K165" s="4">
        <v>780000</v>
      </c>
      <c r="L165" s="4">
        <v>1009000</v>
      </c>
      <c r="M165" s="4">
        <v>141</v>
      </c>
      <c r="N165" s="4">
        <f t="shared" si="15"/>
        <v>5042.0285971512449</v>
      </c>
      <c r="O165" s="4">
        <v>158500000</v>
      </c>
      <c r="P165" s="4">
        <v>780000</v>
      </c>
      <c r="Q165" s="4">
        <v>1009000</v>
      </c>
      <c r="R165" s="5">
        <v>141</v>
      </c>
      <c r="S165" s="4"/>
      <c r="T165" s="4">
        <v>317000000</v>
      </c>
      <c r="V165" s="4">
        <f t="shared" si="16"/>
        <v>5042.0285971512449</v>
      </c>
      <c r="W165" s="4"/>
      <c r="X165" s="9" t="str">
        <f t="shared" si="20"/>
        <v>a</v>
      </c>
      <c r="Y165" s="9" t="str">
        <f t="shared" si="20"/>
        <v>a</v>
      </c>
      <c r="Z165" s="31">
        <f t="shared" si="17"/>
        <v>125.02349999999998</v>
      </c>
      <c r="AA165" s="31">
        <f t="shared" si="18"/>
        <v>125.02349999999998</v>
      </c>
    </row>
    <row r="166" spans="1:27" ht="13">
      <c r="A166" s="9">
        <v>164</v>
      </c>
      <c r="B166" s="4" t="s">
        <v>1206</v>
      </c>
      <c r="C166" s="51"/>
      <c r="D166" s="8">
        <v>78.599999999999994</v>
      </c>
      <c r="E166" s="8">
        <v>406.4</v>
      </c>
      <c r="F166" s="8"/>
      <c r="G166" s="5">
        <v>8</v>
      </c>
      <c r="H166" s="5">
        <v>8</v>
      </c>
      <c r="I166" s="4">
        <v>10000</v>
      </c>
      <c r="J166" s="4">
        <v>198700000</v>
      </c>
      <c r="K166" s="4">
        <v>978000</v>
      </c>
      <c r="L166" s="4">
        <v>1270000</v>
      </c>
      <c r="M166" s="4">
        <v>141</v>
      </c>
      <c r="N166" s="4">
        <f t="shared" si="15"/>
        <v>6366.1977236758139</v>
      </c>
      <c r="O166" s="4">
        <v>198700000</v>
      </c>
      <c r="P166" s="4">
        <v>978000</v>
      </c>
      <c r="Q166" s="4">
        <v>1270000</v>
      </c>
      <c r="R166" s="5">
        <v>141</v>
      </c>
      <c r="S166" s="4"/>
      <c r="T166" s="4">
        <v>397500000</v>
      </c>
      <c r="V166" s="4">
        <f t="shared" si="16"/>
        <v>6366.1977236758139</v>
      </c>
      <c r="W166" s="4"/>
      <c r="X166" s="9" t="str">
        <f t="shared" si="20"/>
        <v>a</v>
      </c>
      <c r="Y166" s="9" t="str">
        <f t="shared" si="20"/>
        <v>a</v>
      </c>
      <c r="Z166" s="31">
        <f t="shared" si="17"/>
        <v>256</v>
      </c>
      <c r="AA166" s="31">
        <f t="shared" si="18"/>
        <v>256</v>
      </c>
    </row>
    <row r="167" spans="1:27" ht="13">
      <c r="A167" s="9">
        <v>165</v>
      </c>
      <c r="B167" s="4" t="s">
        <v>1207</v>
      </c>
      <c r="C167" s="51"/>
      <c r="D167" s="8">
        <v>97.8</v>
      </c>
      <c r="E167" s="8">
        <v>406.4</v>
      </c>
      <c r="F167" s="8"/>
      <c r="G167" s="5">
        <v>10</v>
      </c>
      <c r="H167" s="5">
        <v>10</v>
      </c>
      <c r="I167" s="4">
        <v>12500</v>
      </c>
      <c r="J167" s="4">
        <v>244800000</v>
      </c>
      <c r="K167" s="4">
        <v>1205000</v>
      </c>
      <c r="L167" s="4">
        <v>1572000</v>
      </c>
      <c r="M167" s="4">
        <v>140</v>
      </c>
      <c r="N167" s="4">
        <f t="shared" si="15"/>
        <v>7957.7471545947674</v>
      </c>
      <c r="O167" s="4">
        <v>244800000</v>
      </c>
      <c r="P167" s="4">
        <v>1205000</v>
      </c>
      <c r="Q167" s="4">
        <v>1572000</v>
      </c>
      <c r="R167" s="5">
        <v>140</v>
      </c>
      <c r="S167" s="4"/>
      <c r="T167" s="4">
        <v>489500000</v>
      </c>
      <c r="V167" s="4">
        <f t="shared" si="16"/>
        <v>7957.7471545947674</v>
      </c>
      <c r="W167" s="4"/>
      <c r="X167" s="9" t="str">
        <f t="shared" si="20"/>
        <v>a</v>
      </c>
      <c r="Y167" s="9" t="str">
        <f t="shared" si="20"/>
        <v>a</v>
      </c>
      <c r="Z167" s="31">
        <f t="shared" si="17"/>
        <v>500</v>
      </c>
      <c r="AA167" s="31">
        <f t="shared" si="18"/>
        <v>500</v>
      </c>
    </row>
    <row r="168" spans="1:27" ht="13">
      <c r="A168" s="9">
        <v>166</v>
      </c>
      <c r="B168" s="4" t="s">
        <v>1208</v>
      </c>
      <c r="C168" s="51"/>
      <c r="D168" s="8">
        <v>121</v>
      </c>
      <c r="E168" s="8">
        <v>406.4</v>
      </c>
      <c r="F168" s="8"/>
      <c r="G168" s="5">
        <v>12.5</v>
      </c>
      <c r="H168" s="5">
        <v>12.5</v>
      </c>
      <c r="I168" s="4">
        <v>15500</v>
      </c>
      <c r="J168" s="4">
        <v>300300000</v>
      </c>
      <c r="K168" s="4">
        <v>1478000</v>
      </c>
      <c r="L168" s="4">
        <v>1940000</v>
      </c>
      <c r="M168" s="4">
        <v>139</v>
      </c>
      <c r="N168" s="4">
        <f t="shared" si="15"/>
        <v>9867.6064716975106</v>
      </c>
      <c r="O168" s="4">
        <v>300300000</v>
      </c>
      <c r="P168" s="4">
        <v>1478000</v>
      </c>
      <c r="Q168" s="4">
        <v>1940000</v>
      </c>
      <c r="R168" s="5">
        <v>139</v>
      </c>
      <c r="S168" s="4"/>
      <c r="T168" s="4">
        <v>600600000</v>
      </c>
      <c r="V168" s="4">
        <f t="shared" si="16"/>
        <v>9867.6064716975106</v>
      </c>
      <c r="W168" s="4"/>
      <c r="X168" s="9" t="str">
        <f t="shared" si="20"/>
        <v>a</v>
      </c>
      <c r="Y168" s="9" t="str">
        <f t="shared" si="20"/>
        <v>a</v>
      </c>
      <c r="Z168" s="31">
        <f t="shared" si="17"/>
        <v>976.5625</v>
      </c>
      <c r="AA168" s="31">
        <f t="shared" si="18"/>
        <v>976.5625</v>
      </c>
    </row>
    <row r="169" spans="1:27" ht="13">
      <c r="A169" s="9">
        <v>167</v>
      </c>
      <c r="B169" s="4" t="s">
        <v>1209</v>
      </c>
      <c r="C169" s="51"/>
      <c r="D169" s="8">
        <v>137</v>
      </c>
      <c r="E169" s="8">
        <v>406.4</v>
      </c>
      <c r="F169" s="8"/>
      <c r="G169" s="5">
        <v>14.2</v>
      </c>
      <c r="H169" s="5">
        <v>14.2</v>
      </c>
      <c r="I169" s="4">
        <v>17500</v>
      </c>
      <c r="J169" s="4">
        <v>336900000</v>
      </c>
      <c r="K169" s="4">
        <v>1658000</v>
      </c>
      <c r="L169" s="4">
        <v>2185000</v>
      </c>
      <c r="M169" s="4">
        <v>139</v>
      </c>
      <c r="N169" s="4">
        <f t="shared" si="15"/>
        <v>11140.846016432673</v>
      </c>
      <c r="O169" s="4">
        <v>336900000</v>
      </c>
      <c r="P169" s="4">
        <v>1658000</v>
      </c>
      <c r="Q169" s="4">
        <v>2185000</v>
      </c>
      <c r="R169" s="5">
        <v>139</v>
      </c>
      <c r="S169" s="4"/>
      <c r="T169" s="4">
        <v>673700000</v>
      </c>
      <c r="V169" s="4">
        <f t="shared" si="16"/>
        <v>11140.846016432673</v>
      </c>
      <c r="W169" s="4"/>
      <c r="X169" s="9" t="str">
        <f t="shared" si="20"/>
        <v>a</v>
      </c>
      <c r="Y169" s="9" t="str">
        <f t="shared" si="20"/>
        <v>a</v>
      </c>
      <c r="Z169" s="31">
        <f t="shared" si="17"/>
        <v>1431.6439999999998</v>
      </c>
      <c r="AA169" s="31">
        <f t="shared" si="18"/>
        <v>1431.6439999999998</v>
      </c>
    </row>
    <row r="170" spans="1:27" ht="13">
      <c r="A170" s="9">
        <v>168</v>
      </c>
      <c r="B170" s="4" t="s">
        <v>1210</v>
      </c>
      <c r="C170" s="51"/>
      <c r="D170" s="8">
        <v>154</v>
      </c>
      <c r="E170" s="8">
        <v>406.4</v>
      </c>
      <c r="F170" s="8"/>
      <c r="G170" s="5">
        <v>16</v>
      </c>
      <c r="H170" s="5">
        <v>16</v>
      </c>
      <c r="I170" s="4">
        <v>19600</v>
      </c>
      <c r="J170" s="4">
        <v>374500000</v>
      </c>
      <c r="K170" s="4">
        <v>1843000</v>
      </c>
      <c r="L170" s="4">
        <v>2440000</v>
      </c>
      <c r="M170" s="4">
        <v>138</v>
      </c>
      <c r="N170" s="4">
        <f t="shared" si="15"/>
        <v>12477.747538404596</v>
      </c>
      <c r="O170" s="4">
        <v>374500000</v>
      </c>
      <c r="P170" s="4">
        <v>1843000</v>
      </c>
      <c r="Q170" s="4">
        <v>2440000</v>
      </c>
      <c r="R170" s="5">
        <v>138</v>
      </c>
      <c r="S170" s="4"/>
      <c r="T170" s="4">
        <v>749000000</v>
      </c>
      <c r="V170" s="4">
        <f t="shared" si="16"/>
        <v>12477.747538404596</v>
      </c>
      <c r="W170" s="4"/>
      <c r="X170" s="9" t="str">
        <f t="shared" si="20"/>
        <v>a</v>
      </c>
      <c r="Y170" s="9" t="str">
        <f t="shared" si="20"/>
        <v>a</v>
      </c>
      <c r="Z170" s="31">
        <f t="shared" si="17"/>
        <v>2048</v>
      </c>
      <c r="AA170" s="31">
        <f t="shared" si="18"/>
        <v>2048</v>
      </c>
    </row>
    <row r="171" spans="1:27" ht="13">
      <c r="A171" s="9">
        <v>169</v>
      </c>
      <c r="B171" s="4" t="s">
        <v>1211</v>
      </c>
      <c r="C171" s="51"/>
      <c r="D171" s="8">
        <v>182</v>
      </c>
      <c r="E171" s="8">
        <v>406.4</v>
      </c>
      <c r="F171" s="8"/>
      <c r="G171" s="5">
        <v>19</v>
      </c>
      <c r="H171" s="5">
        <v>19</v>
      </c>
      <c r="I171" s="4">
        <v>23100</v>
      </c>
      <c r="J171" s="4">
        <v>434850000</v>
      </c>
      <c r="K171" s="4">
        <v>2140000</v>
      </c>
      <c r="L171" s="4">
        <v>2854000</v>
      </c>
      <c r="M171" s="4">
        <v>137</v>
      </c>
      <c r="N171" s="4">
        <f t="shared" si="15"/>
        <v>14705.91674169113</v>
      </c>
      <c r="O171" s="4">
        <v>434850000</v>
      </c>
      <c r="P171" s="4">
        <v>2140000</v>
      </c>
      <c r="Q171" s="4">
        <v>2854000</v>
      </c>
      <c r="R171" s="5">
        <v>137</v>
      </c>
      <c r="S171" s="4"/>
      <c r="T171" s="4">
        <v>869690000</v>
      </c>
      <c r="V171" s="4">
        <f t="shared" si="16"/>
        <v>14705.91674169113</v>
      </c>
      <c r="W171" s="4"/>
      <c r="X171" s="9" t="str">
        <f t="shared" si="20"/>
        <v>a</v>
      </c>
      <c r="Y171" s="9" t="str">
        <f t="shared" si="20"/>
        <v>a</v>
      </c>
      <c r="Z171" s="31">
        <f t="shared" si="17"/>
        <v>3429.5</v>
      </c>
      <c r="AA171" s="31">
        <f t="shared" si="18"/>
        <v>3429.5</v>
      </c>
    </row>
    <row r="172" spans="1:27" ht="13">
      <c r="A172" s="9">
        <v>170</v>
      </c>
      <c r="B172" s="4" t="s">
        <v>1212</v>
      </c>
      <c r="C172" s="51"/>
      <c r="D172" s="8">
        <v>191</v>
      </c>
      <c r="E172" s="8">
        <v>406.4</v>
      </c>
      <c r="F172" s="8"/>
      <c r="G172" s="5">
        <v>20</v>
      </c>
      <c r="H172" s="5">
        <v>20</v>
      </c>
      <c r="I172" s="4">
        <v>24300</v>
      </c>
      <c r="J172" s="4">
        <v>454300000</v>
      </c>
      <c r="K172" s="4">
        <v>2236000</v>
      </c>
      <c r="L172" s="4">
        <v>2989000</v>
      </c>
      <c r="M172" s="4">
        <v>137</v>
      </c>
      <c r="N172" s="4">
        <f t="shared" si="15"/>
        <v>15469.860468532228</v>
      </c>
      <c r="O172" s="4">
        <v>454300000</v>
      </c>
      <c r="P172" s="4">
        <v>2236000</v>
      </c>
      <c r="Q172" s="4">
        <v>2989000</v>
      </c>
      <c r="R172" s="5">
        <v>137</v>
      </c>
      <c r="S172" s="4"/>
      <c r="T172" s="4">
        <v>908600000</v>
      </c>
      <c r="V172" s="4">
        <f t="shared" si="16"/>
        <v>15469.860468532228</v>
      </c>
      <c r="W172" s="4"/>
      <c r="X172" s="9" t="str">
        <f t="shared" si="20"/>
        <v>a</v>
      </c>
      <c r="Y172" s="9" t="str">
        <f t="shared" si="20"/>
        <v>a</v>
      </c>
      <c r="Z172" s="31">
        <f t="shared" si="17"/>
        <v>4000</v>
      </c>
      <c r="AA172" s="31">
        <f t="shared" si="18"/>
        <v>4000</v>
      </c>
    </row>
    <row r="173" spans="1:27" ht="13">
      <c r="A173" s="9">
        <v>171</v>
      </c>
      <c r="B173" s="4" t="s">
        <v>1213</v>
      </c>
      <c r="C173" s="51"/>
      <c r="D173" s="8">
        <v>209</v>
      </c>
      <c r="E173" s="8">
        <v>406.4</v>
      </c>
      <c r="F173" s="8"/>
      <c r="G173" s="5">
        <v>22</v>
      </c>
      <c r="H173" s="5">
        <v>22</v>
      </c>
      <c r="I173" s="4">
        <v>26600</v>
      </c>
      <c r="J173" s="4">
        <v>492330000</v>
      </c>
      <c r="K173" s="4">
        <v>2423000</v>
      </c>
      <c r="L173" s="4">
        <v>3254000</v>
      </c>
      <c r="M173" s="4">
        <v>136</v>
      </c>
      <c r="N173" s="4">
        <f t="shared" si="15"/>
        <v>16934.085944977665</v>
      </c>
      <c r="O173" s="4">
        <v>492330000</v>
      </c>
      <c r="P173" s="4">
        <v>2423000</v>
      </c>
      <c r="Q173" s="4">
        <v>3254000</v>
      </c>
      <c r="R173" s="5">
        <v>136</v>
      </c>
      <c r="S173" s="4"/>
      <c r="T173" s="4">
        <v>984650000</v>
      </c>
      <c r="V173" s="4">
        <f t="shared" si="16"/>
        <v>16934.085944977665</v>
      </c>
      <c r="W173" s="4"/>
      <c r="X173" s="9" t="str">
        <f t="shared" si="20"/>
        <v>a</v>
      </c>
      <c r="Y173" s="9" t="str">
        <f t="shared" si="20"/>
        <v>a</v>
      </c>
      <c r="Z173" s="31">
        <f t="shared" si="17"/>
        <v>5324</v>
      </c>
      <c r="AA173" s="31">
        <f t="shared" si="18"/>
        <v>5324</v>
      </c>
    </row>
    <row r="174" spans="1:27" ht="13">
      <c r="A174" s="9">
        <v>172</v>
      </c>
      <c r="B174" s="4" t="s">
        <v>1214</v>
      </c>
      <c r="C174" s="51"/>
      <c r="D174" s="8">
        <v>235</v>
      </c>
      <c r="E174" s="8">
        <v>406.4</v>
      </c>
      <c r="F174" s="8"/>
      <c r="G174" s="5">
        <v>25</v>
      </c>
      <c r="H174" s="5">
        <v>25</v>
      </c>
      <c r="I174" s="4">
        <v>30000</v>
      </c>
      <c r="J174" s="4">
        <v>547000000</v>
      </c>
      <c r="K174" s="4">
        <v>2692000</v>
      </c>
      <c r="L174" s="4">
        <v>3642000</v>
      </c>
      <c r="M174" s="4">
        <v>135</v>
      </c>
      <c r="N174" s="4">
        <f t="shared" si="15"/>
        <v>19098.593171027442</v>
      </c>
      <c r="O174" s="4">
        <v>547000000</v>
      </c>
      <c r="P174" s="4">
        <v>2692000</v>
      </c>
      <c r="Q174" s="4">
        <v>3642000</v>
      </c>
      <c r="R174" s="5">
        <v>135</v>
      </c>
      <c r="S174" s="4"/>
      <c r="T174" s="4">
        <v>1094000000</v>
      </c>
      <c r="V174" s="4">
        <f t="shared" si="16"/>
        <v>19098.593171027442</v>
      </c>
      <c r="W174" s="4"/>
      <c r="X174" s="9" t="str">
        <f t="shared" si="20"/>
        <v>a</v>
      </c>
      <c r="Y174" s="9" t="str">
        <f t="shared" si="20"/>
        <v>a</v>
      </c>
      <c r="Z174" s="31">
        <f t="shared" si="17"/>
        <v>7812.5</v>
      </c>
      <c r="AA174" s="31">
        <f t="shared" si="18"/>
        <v>7812.5</v>
      </c>
    </row>
    <row r="175" spans="1:27" ht="13">
      <c r="A175" s="9">
        <v>173</v>
      </c>
      <c r="B175" s="4" t="s">
        <v>1215</v>
      </c>
      <c r="C175" s="51"/>
      <c r="D175" s="8">
        <v>261</v>
      </c>
      <c r="E175" s="8">
        <v>406.4</v>
      </c>
      <c r="F175" s="8"/>
      <c r="G175" s="5">
        <v>28</v>
      </c>
      <c r="H175" s="5">
        <v>28</v>
      </c>
      <c r="I175" s="4">
        <v>33300</v>
      </c>
      <c r="J175" s="4">
        <v>599020000</v>
      </c>
      <c r="K175" s="4">
        <v>2948000</v>
      </c>
      <c r="L175" s="4">
        <v>4017000</v>
      </c>
      <c r="M175" s="4">
        <v>134</v>
      </c>
      <c r="N175" s="4">
        <f t="shared" si="15"/>
        <v>21199.438419840459</v>
      </c>
      <c r="O175" s="4">
        <v>599020000</v>
      </c>
      <c r="P175" s="4">
        <v>2948000</v>
      </c>
      <c r="Q175" s="4">
        <v>4017000</v>
      </c>
      <c r="R175" s="5">
        <v>134</v>
      </c>
      <c r="S175" s="4"/>
      <c r="T175" s="4">
        <v>1198040000</v>
      </c>
      <c r="V175" s="4">
        <f t="shared" si="16"/>
        <v>21199.438419840459</v>
      </c>
      <c r="W175" s="4"/>
      <c r="X175" s="9" t="str">
        <f t="shared" si="20"/>
        <v>a</v>
      </c>
      <c r="Y175" s="9" t="str">
        <f t="shared" si="20"/>
        <v>a</v>
      </c>
      <c r="Z175" s="31">
        <f t="shared" si="17"/>
        <v>10976</v>
      </c>
      <c r="AA175" s="31">
        <f t="shared" si="18"/>
        <v>10976</v>
      </c>
    </row>
    <row r="176" spans="1:27" ht="13">
      <c r="A176" s="9">
        <v>174</v>
      </c>
      <c r="B176" s="4" t="s">
        <v>1216</v>
      </c>
      <c r="C176" s="51"/>
      <c r="D176" s="8">
        <v>278</v>
      </c>
      <c r="E176" s="8">
        <v>406.4</v>
      </c>
      <c r="F176" s="8"/>
      <c r="G176" s="5">
        <v>30</v>
      </c>
      <c r="H176" s="5">
        <v>30</v>
      </c>
      <c r="I176" s="4">
        <v>35500</v>
      </c>
      <c r="J176" s="4">
        <v>632200000</v>
      </c>
      <c r="K176" s="4">
        <v>3111000</v>
      </c>
      <c r="L176" s="4">
        <v>4259000</v>
      </c>
      <c r="M176" s="4">
        <v>133</v>
      </c>
      <c r="N176" s="4">
        <f t="shared" si="15"/>
        <v>22600.00191904914</v>
      </c>
      <c r="O176" s="4">
        <v>632200000</v>
      </c>
      <c r="P176" s="4">
        <v>3111000</v>
      </c>
      <c r="Q176" s="4">
        <v>4259000</v>
      </c>
      <c r="R176" s="5">
        <v>133</v>
      </c>
      <c r="S176" s="4"/>
      <c r="T176" s="4">
        <v>1265000000</v>
      </c>
      <c r="V176" s="4">
        <f t="shared" si="16"/>
        <v>22600.00191904914</v>
      </c>
      <c r="W176" s="4"/>
      <c r="X176" s="9" t="str">
        <f t="shared" si="20"/>
        <v>a</v>
      </c>
      <c r="Y176" s="9" t="str">
        <f t="shared" si="20"/>
        <v>a</v>
      </c>
      <c r="Z176" s="31">
        <f t="shared" si="17"/>
        <v>13500</v>
      </c>
      <c r="AA176" s="31">
        <f t="shared" si="18"/>
        <v>13500</v>
      </c>
    </row>
    <row r="177" spans="1:27" ht="13">
      <c r="A177" s="9">
        <v>175</v>
      </c>
      <c r="B177" s="4" t="s">
        <v>1217</v>
      </c>
      <c r="C177" s="51"/>
      <c r="D177" s="8">
        <v>295</v>
      </c>
      <c r="E177" s="8">
        <v>406.4</v>
      </c>
      <c r="F177" s="8"/>
      <c r="G177" s="5">
        <v>32</v>
      </c>
      <c r="H177" s="5">
        <v>32</v>
      </c>
      <c r="I177" s="4">
        <v>37600</v>
      </c>
      <c r="J177" s="4">
        <v>664320000</v>
      </c>
      <c r="K177" s="4">
        <v>3269000</v>
      </c>
      <c r="L177" s="4">
        <v>4497000</v>
      </c>
      <c r="M177" s="4">
        <v>133</v>
      </c>
      <c r="N177" s="4">
        <f t="shared" si="15"/>
        <v>23936.903441021059</v>
      </c>
      <c r="O177" s="4">
        <v>664320000</v>
      </c>
      <c r="P177" s="4">
        <v>3269000</v>
      </c>
      <c r="Q177" s="4">
        <v>4497000</v>
      </c>
      <c r="R177" s="5">
        <v>133</v>
      </c>
      <c r="S177" s="4"/>
      <c r="T177" s="4">
        <v>1328640000</v>
      </c>
      <c r="V177" s="4">
        <f t="shared" si="16"/>
        <v>23936.903441021059</v>
      </c>
      <c r="W177" s="4"/>
      <c r="X177" s="9" t="str">
        <f t="shared" si="20"/>
        <v>a</v>
      </c>
      <c r="Y177" s="9" t="str">
        <f t="shared" si="20"/>
        <v>a</v>
      </c>
      <c r="Z177" s="31">
        <f t="shared" si="17"/>
        <v>16384</v>
      </c>
      <c r="AA177" s="31">
        <f t="shared" si="18"/>
        <v>16384</v>
      </c>
    </row>
    <row r="178" spans="1:27" ht="13">
      <c r="A178" s="9">
        <v>176</v>
      </c>
      <c r="B178" s="4" t="s">
        <v>1218</v>
      </c>
      <c r="C178" s="51"/>
      <c r="D178" s="8">
        <v>329</v>
      </c>
      <c r="E178" s="8">
        <v>406.4</v>
      </c>
      <c r="F178" s="8"/>
      <c r="G178" s="5">
        <v>36</v>
      </c>
      <c r="H178" s="5">
        <v>36</v>
      </c>
      <c r="I178" s="4">
        <v>41900</v>
      </c>
      <c r="J178" s="4">
        <v>725200000</v>
      </c>
      <c r="K178" s="4">
        <v>3569000</v>
      </c>
      <c r="L178" s="4">
        <v>4955000</v>
      </c>
      <c r="M178" s="4">
        <v>132</v>
      </c>
      <c r="N178" s="4">
        <f t="shared" si="15"/>
        <v>26674.368462201659</v>
      </c>
      <c r="O178" s="4">
        <v>725200000</v>
      </c>
      <c r="P178" s="4">
        <v>3569000</v>
      </c>
      <c r="Q178" s="4">
        <v>4955000</v>
      </c>
      <c r="R178" s="5">
        <v>132</v>
      </c>
      <c r="S178" s="4"/>
      <c r="T178" s="4">
        <v>1450400000</v>
      </c>
      <c r="V178" s="4">
        <f t="shared" si="16"/>
        <v>26674.368462201659</v>
      </c>
      <c r="W178" s="4"/>
      <c r="X178" s="9" t="str">
        <f t="shared" si="20"/>
        <v>a</v>
      </c>
      <c r="Y178" s="9" t="str">
        <f t="shared" si="20"/>
        <v>a</v>
      </c>
      <c r="Z178" s="31">
        <f t="shared" si="17"/>
        <v>23328</v>
      </c>
      <c r="AA178" s="31">
        <f t="shared" si="18"/>
        <v>23328</v>
      </c>
    </row>
    <row r="179" spans="1:27" ht="13">
      <c r="A179" s="9">
        <v>177</v>
      </c>
      <c r="B179" s="4" t="s">
        <v>1219</v>
      </c>
      <c r="C179" s="51"/>
      <c r="D179" s="8">
        <v>361</v>
      </c>
      <c r="E179" s="8">
        <v>406.4</v>
      </c>
      <c r="F179" s="8"/>
      <c r="G179" s="5">
        <v>40</v>
      </c>
      <c r="H179" s="5">
        <v>40</v>
      </c>
      <c r="I179" s="4">
        <v>46000</v>
      </c>
      <c r="J179" s="4">
        <v>781900000</v>
      </c>
      <c r="K179" s="4">
        <v>3848000</v>
      </c>
      <c r="L179" s="4">
        <v>5391000</v>
      </c>
      <c r="M179" s="4">
        <v>130</v>
      </c>
      <c r="N179" s="4">
        <f t="shared" si="15"/>
        <v>29284.509528908744</v>
      </c>
      <c r="O179" s="4">
        <v>781900000</v>
      </c>
      <c r="P179" s="4">
        <v>3848000</v>
      </c>
      <c r="Q179" s="4">
        <v>5391000</v>
      </c>
      <c r="R179" s="5">
        <v>130</v>
      </c>
      <c r="S179" s="4"/>
      <c r="T179" s="4">
        <v>1560000000</v>
      </c>
      <c r="V179" s="4">
        <f t="shared" si="16"/>
        <v>29284.509528908744</v>
      </c>
      <c r="W179" s="4"/>
      <c r="X179" s="9" t="str">
        <f t="shared" si="20"/>
        <v>a</v>
      </c>
      <c r="Y179" s="9" t="str">
        <f t="shared" si="20"/>
        <v>a</v>
      </c>
      <c r="Z179" s="31">
        <f t="shared" si="17"/>
        <v>32000</v>
      </c>
      <c r="AA179" s="31">
        <f t="shared" si="18"/>
        <v>32000</v>
      </c>
    </row>
    <row r="180" spans="1:27" ht="13">
      <c r="A180" s="9">
        <v>178</v>
      </c>
      <c r="B180" s="4" t="s">
        <v>1220</v>
      </c>
      <c r="C180" s="51"/>
      <c r="D180" s="8">
        <v>70</v>
      </c>
      <c r="E180" s="8">
        <v>457</v>
      </c>
      <c r="F180" s="8"/>
      <c r="G180" s="5">
        <v>6.3</v>
      </c>
      <c r="H180" s="5">
        <v>6.3</v>
      </c>
      <c r="I180" s="4">
        <v>8920</v>
      </c>
      <c r="J180" s="4">
        <v>226500000</v>
      </c>
      <c r="K180" s="4">
        <v>991000</v>
      </c>
      <c r="L180" s="4">
        <v>1280000</v>
      </c>
      <c r="M180" s="4">
        <v>159</v>
      </c>
      <c r="N180" s="4">
        <f t="shared" si="15"/>
        <v>5678.6483695188253</v>
      </c>
      <c r="O180" s="4">
        <v>226500000</v>
      </c>
      <c r="P180" s="4">
        <v>991000</v>
      </c>
      <c r="Q180" s="4">
        <v>1280000</v>
      </c>
      <c r="R180" s="5">
        <v>159</v>
      </c>
      <c r="S180" s="4"/>
      <c r="T180" s="4">
        <v>453100000</v>
      </c>
      <c r="V180" s="4">
        <f t="shared" si="16"/>
        <v>5678.6483695188253</v>
      </c>
      <c r="W180" s="4"/>
      <c r="X180" s="9" t="str">
        <f t="shared" si="20"/>
        <v>a</v>
      </c>
      <c r="Y180" s="9" t="str">
        <f t="shared" si="20"/>
        <v>a</v>
      </c>
      <c r="Z180" s="31">
        <f t="shared" si="17"/>
        <v>125.02349999999998</v>
      </c>
      <c r="AA180" s="31">
        <f t="shared" si="18"/>
        <v>125.02349999999998</v>
      </c>
    </row>
    <row r="181" spans="1:27" ht="13">
      <c r="A181" s="9">
        <v>179</v>
      </c>
      <c r="B181" s="4" t="s">
        <v>1221</v>
      </c>
      <c r="C181" s="51"/>
      <c r="D181" s="8">
        <v>88.6</v>
      </c>
      <c r="E181" s="8">
        <v>457</v>
      </c>
      <c r="F181" s="8"/>
      <c r="G181" s="5">
        <v>8</v>
      </c>
      <c r="H181" s="5">
        <v>8</v>
      </c>
      <c r="I181" s="4">
        <v>11300</v>
      </c>
      <c r="J181" s="4">
        <v>284500000</v>
      </c>
      <c r="K181" s="4">
        <v>1245000</v>
      </c>
      <c r="L181" s="4">
        <v>1613000</v>
      </c>
      <c r="M181" s="4">
        <v>159</v>
      </c>
      <c r="N181" s="4">
        <f t="shared" si="15"/>
        <v>7193.8034277536699</v>
      </c>
      <c r="O181" s="4">
        <v>284500000</v>
      </c>
      <c r="P181" s="4">
        <v>1245000</v>
      </c>
      <c r="Q181" s="4">
        <v>1613000</v>
      </c>
      <c r="R181" s="5">
        <v>159</v>
      </c>
      <c r="S181" s="4"/>
      <c r="T181" s="4">
        <v>569000000</v>
      </c>
      <c r="V181" s="4">
        <f t="shared" si="16"/>
        <v>7193.8034277536699</v>
      </c>
      <c r="W181" s="4"/>
      <c r="X181" s="9" t="str">
        <f t="shared" si="20"/>
        <v>a</v>
      </c>
      <c r="Y181" s="9" t="str">
        <f t="shared" si="20"/>
        <v>a</v>
      </c>
      <c r="Z181" s="31">
        <f t="shared" si="17"/>
        <v>256</v>
      </c>
      <c r="AA181" s="31">
        <f t="shared" si="18"/>
        <v>256</v>
      </c>
    </row>
    <row r="182" spans="1:27" ht="13">
      <c r="A182" s="9">
        <v>180</v>
      </c>
      <c r="B182" s="4" t="s">
        <v>1222</v>
      </c>
      <c r="C182" s="51"/>
      <c r="D182" s="8">
        <v>110</v>
      </c>
      <c r="E182" s="8">
        <v>457</v>
      </c>
      <c r="F182" s="8"/>
      <c r="G182" s="5">
        <v>10</v>
      </c>
      <c r="H182" s="5">
        <v>10</v>
      </c>
      <c r="I182" s="4">
        <v>14000</v>
      </c>
      <c r="J182" s="4">
        <v>350900000</v>
      </c>
      <c r="K182" s="4">
        <v>1536000</v>
      </c>
      <c r="L182" s="4">
        <v>1998000</v>
      </c>
      <c r="M182" s="4">
        <v>158</v>
      </c>
      <c r="N182" s="4">
        <f t="shared" si="15"/>
        <v>8912.6768131461395</v>
      </c>
      <c r="O182" s="4">
        <v>350900000</v>
      </c>
      <c r="P182" s="4">
        <v>1536000</v>
      </c>
      <c r="Q182" s="4">
        <v>1998000</v>
      </c>
      <c r="R182" s="5">
        <v>158</v>
      </c>
      <c r="S182" s="4"/>
      <c r="T182" s="4">
        <v>701800000</v>
      </c>
      <c r="V182" s="4">
        <f t="shared" si="16"/>
        <v>8912.6768131461395</v>
      </c>
      <c r="W182" s="4"/>
      <c r="X182" s="9" t="str">
        <f t="shared" si="20"/>
        <v>a</v>
      </c>
      <c r="Y182" s="9" t="str">
        <f t="shared" si="20"/>
        <v>a</v>
      </c>
      <c r="Z182" s="31">
        <f t="shared" si="17"/>
        <v>500</v>
      </c>
      <c r="AA182" s="31">
        <f t="shared" si="18"/>
        <v>500</v>
      </c>
    </row>
    <row r="183" spans="1:27" ht="13">
      <c r="A183" s="9">
        <v>181</v>
      </c>
      <c r="B183" s="4" t="s">
        <v>1223</v>
      </c>
      <c r="C183" s="51"/>
      <c r="D183" s="8">
        <v>137</v>
      </c>
      <c r="E183" s="8">
        <v>457</v>
      </c>
      <c r="F183" s="8"/>
      <c r="G183" s="5">
        <v>12.5</v>
      </c>
      <c r="H183" s="5">
        <v>12.5</v>
      </c>
      <c r="I183" s="4">
        <v>17500</v>
      </c>
      <c r="J183" s="4">
        <v>431500000</v>
      </c>
      <c r="K183" s="4">
        <v>1888000</v>
      </c>
      <c r="L183" s="4">
        <v>2470000</v>
      </c>
      <c r="M183" s="4">
        <v>157</v>
      </c>
      <c r="N183" s="4">
        <f t="shared" si="15"/>
        <v>11140.846016432673</v>
      </c>
      <c r="O183" s="4">
        <v>431500000</v>
      </c>
      <c r="P183" s="4">
        <v>1888000</v>
      </c>
      <c r="Q183" s="4">
        <v>2470000</v>
      </c>
      <c r="R183" s="5">
        <v>157</v>
      </c>
      <c r="S183" s="4"/>
      <c r="T183" s="4">
        <v>862900000</v>
      </c>
      <c r="V183" s="4">
        <f t="shared" si="16"/>
        <v>11140.846016432673</v>
      </c>
      <c r="W183" s="4"/>
      <c r="X183" s="9" t="str">
        <f t="shared" ref="X183:Y202" si="21">IF(fy=460,"a0","a")</f>
        <v>a</v>
      </c>
      <c r="Y183" s="9" t="str">
        <f t="shared" si="21"/>
        <v>a</v>
      </c>
      <c r="Z183" s="31">
        <f t="shared" si="17"/>
        <v>976.5625</v>
      </c>
      <c r="AA183" s="31">
        <f t="shared" si="18"/>
        <v>976.5625</v>
      </c>
    </row>
    <row r="184" spans="1:27" ht="13">
      <c r="A184" s="9">
        <v>182</v>
      </c>
      <c r="B184" s="4" t="s">
        <v>1224</v>
      </c>
      <c r="C184" s="51"/>
      <c r="D184" s="8">
        <v>155</v>
      </c>
      <c r="E184" s="8">
        <v>457</v>
      </c>
      <c r="F184" s="8"/>
      <c r="G184" s="5">
        <v>14.2</v>
      </c>
      <c r="H184" s="5">
        <v>14.2</v>
      </c>
      <c r="I184" s="4">
        <v>19800</v>
      </c>
      <c r="J184" s="4">
        <v>484600000</v>
      </c>
      <c r="K184" s="4">
        <v>2121000</v>
      </c>
      <c r="L184" s="4">
        <v>2785000</v>
      </c>
      <c r="M184" s="4">
        <v>157</v>
      </c>
      <c r="N184" s="4">
        <f t="shared" si="15"/>
        <v>12605.071492878111</v>
      </c>
      <c r="O184" s="4">
        <v>484600000</v>
      </c>
      <c r="P184" s="4">
        <v>2121000</v>
      </c>
      <c r="Q184" s="4">
        <v>2785000</v>
      </c>
      <c r="R184" s="5">
        <v>157</v>
      </c>
      <c r="S184" s="4"/>
      <c r="T184" s="4">
        <v>969300000</v>
      </c>
      <c r="V184" s="4">
        <f t="shared" si="16"/>
        <v>12605.071492878111</v>
      </c>
      <c r="W184" s="4"/>
      <c r="X184" s="9" t="str">
        <f t="shared" si="21"/>
        <v>a</v>
      </c>
      <c r="Y184" s="9" t="str">
        <f t="shared" si="21"/>
        <v>a</v>
      </c>
      <c r="Z184" s="31">
        <f t="shared" si="17"/>
        <v>1431.6439999999998</v>
      </c>
      <c r="AA184" s="31">
        <f t="shared" si="18"/>
        <v>1431.6439999999998</v>
      </c>
    </row>
    <row r="185" spans="1:27" ht="13">
      <c r="A185" s="9">
        <v>183</v>
      </c>
      <c r="B185" s="4" t="s">
        <v>1225</v>
      </c>
      <c r="C185" s="51"/>
      <c r="D185" s="8">
        <v>174</v>
      </c>
      <c r="E185" s="8">
        <v>457</v>
      </c>
      <c r="F185" s="8"/>
      <c r="G185" s="5">
        <v>16</v>
      </c>
      <c r="H185" s="5">
        <v>16</v>
      </c>
      <c r="I185" s="4">
        <v>22200</v>
      </c>
      <c r="J185" s="4">
        <v>539600000</v>
      </c>
      <c r="K185" s="4">
        <v>2361000</v>
      </c>
      <c r="L185" s="4">
        <v>3113000</v>
      </c>
      <c r="M185" s="4">
        <v>156</v>
      </c>
      <c r="N185" s="4">
        <f t="shared" si="15"/>
        <v>14132.958946560306</v>
      </c>
      <c r="O185" s="4">
        <v>539600000</v>
      </c>
      <c r="P185" s="4">
        <v>2361000</v>
      </c>
      <c r="Q185" s="4">
        <v>3113000</v>
      </c>
      <c r="R185" s="5">
        <v>156</v>
      </c>
      <c r="S185" s="4"/>
      <c r="T185" s="4">
        <v>1079000000</v>
      </c>
      <c r="V185" s="4">
        <f t="shared" si="16"/>
        <v>14132.958946560306</v>
      </c>
      <c r="W185" s="4"/>
      <c r="X185" s="9" t="str">
        <f t="shared" si="21"/>
        <v>a</v>
      </c>
      <c r="Y185" s="9" t="str">
        <f t="shared" si="21"/>
        <v>a</v>
      </c>
      <c r="Z185" s="31">
        <f t="shared" si="17"/>
        <v>2048</v>
      </c>
      <c r="AA185" s="31">
        <f t="shared" si="18"/>
        <v>2048</v>
      </c>
    </row>
    <row r="186" spans="1:27" ht="13">
      <c r="A186" s="9">
        <v>184</v>
      </c>
      <c r="B186" s="4" t="s">
        <v>1226</v>
      </c>
      <c r="C186" s="51"/>
      <c r="D186" s="8">
        <v>216</v>
      </c>
      <c r="E186" s="8">
        <v>457</v>
      </c>
      <c r="F186" s="8"/>
      <c r="G186" s="5">
        <v>20</v>
      </c>
      <c r="H186" s="5">
        <v>20</v>
      </c>
      <c r="I186" s="4">
        <v>27500</v>
      </c>
      <c r="J186" s="4">
        <v>656800000</v>
      </c>
      <c r="K186" s="4">
        <v>2874000</v>
      </c>
      <c r="L186" s="4">
        <v>3822000</v>
      </c>
      <c r="M186" s="4">
        <v>155</v>
      </c>
      <c r="N186" s="4">
        <f t="shared" si="15"/>
        <v>17507.043740108489</v>
      </c>
      <c r="O186" s="4">
        <v>656800000</v>
      </c>
      <c r="P186" s="4">
        <v>2874000</v>
      </c>
      <c r="Q186" s="4">
        <v>3822000</v>
      </c>
      <c r="R186" s="5">
        <v>155</v>
      </c>
      <c r="S186" s="4"/>
      <c r="T186" s="4">
        <v>1314000000</v>
      </c>
      <c r="V186" s="4">
        <f t="shared" si="16"/>
        <v>17507.043740108489</v>
      </c>
      <c r="W186" s="4"/>
      <c r="X186" s="9" t="str">
        <f t="shared" si="21"/>
        <v>a</v>
      </c>
      <c r="Y186" s="9" t="str">
        <f t="shared" si="21"/>
        <v>a</v>
      </c>
      <c r="Z186" s="31">
        <f t="shared" si="17"/>
        <v>4000</v>
      </c>
      <c r="AA186" s="31">
        <f t="shared" si="18"/>
        <v>4000</v>
      </c>
    </row>
    <row r="187" spans="1:27" ht="13">
      <c r="A187" s="9">
        <v>185</v>
      </c>
      <c r="B187" s="4" t="s">
        <v>1227</v>
      </c>
      <c r="C187" s="51"/>
      <c r="D187" s="8">
        <v>236</v>
      </c>
      <c r="E187" s="8">
        <v>457</v>
      </c>
      <c r="F187" s="8"/>
      <c r="G187" s="5">
        <v>22</v>
      </c>
      <c r="H187" s="5">
        <v>22</v>
      </c>
      <c r="I187" s="4">
        <v>30100</v>
      </c>
      <c r="J187" s="4">
        <v>712950000</v>
      </c>
      <c r="K187" s="4">
        <v>3120000</v>
      </c>
      <c r="L187" s="4">
        <v>4166000</v>
      </c>
      <c r="M187" s="4">
        <v>154</v>
      </c>
      <c r="N187" s="4">
        <f t="shared" si="15"/>
        <v>19162.255148264197</v>
      </c>
      <c r="O187" s="4">
        <v>712950000</v>
      </c>
      <c r="P187" s="4">
        <v>3120000</v>
      </c>
      <c r="Q187" s="4">
        <v>4166000</v>
      </c>
      <c r="R187" s="5">
        <v>154</v>
      </c>
      <c r="S187" s="4"/>
      <c r="T187" s="4">
        <v>1425900000</v>
      </c>
      <c r="V187" s="4">
        <f t="shared" si="16"/>
        <v>19162.255148264197</v>
      </c>
      <c r="W187" s="4"/>
      <c r="X187" s="9" t="str">
        <f t="shared" si="21"/>
        <v>a</v>
      </c>
      <c r="Y187" s="9" t="str">
        <f t="shared" si="21"/>
        <v>a</v>
      </c>
      <c r="Z187" s="31">
        <f t="shared" si="17"/>
        <v>5324</v>
      </c>
      <c r="AA187" s="31">
        <f t="shared" si="18"/>
        <v>5324</v>
      </c>
    </row>
    <row r="188" spans="1:27" ht="13">
      <c r="A188" s="9">
        <v>186</v>
      </c>
      <c r="B188" s="4" t="s">
        <v>1228</v>
      </c>
      <c r="C188" s="51"/>
      <c r="D188" s="8">
        <v>266</v>
      </c>
      <c r="E188" s="8">
        <v>457</v>
      </c>
      <c r="F188" s="8"/>
      <c r="G188" s="5">
        <v>25</v>
      </c>
      <c r="H188" s="5">
        <v>25</v>
      </c>
      <c r="I188" s="4">
        <v>33900</v>
      </c>
      <c r="J188" s="4">
        <v>794200000</v>
      </c>
      <c r="K188" s="4">
        <v>3475000</v>
      </c>
      <c r="L188" s="4">
        <v>4671000</v>
      </c>
      <c r="M188" s="4">
        <v>153</v>
      </c>
      <c r="N188" s="4">
        <f t="shared" si="15"/>
        <v>21581.410283261008</v>
      </c>
      <c r="O188" s="4">
        <v>794200000</v>
      </c>
      <c r="P188" s="4">
        <v>3475000</v>
      </c>
      <c r="Q188" s="4">
        <v>4671000</v>
      </c>
      <c r="R188" s="5">
        <v>153</v>
      </c>
      <c r="S188" s="4"/>
      <c r="T188" s="4">
        <v>1588000000</v>
      </c>
      <c r="V188" s="4">
        <f t="shared" si="16"/>
        <v>21581.410283261008</v>
      </c>
      <c r="W188" s="4"/>
      <c r="X188" s="9" t="str">
        <f t="shared" si="21"/>
        <v>a</v>
      </c>
      <c r="Y188" s="9" t="str">
        <f t="shared" si="21"/>
        <v>a</v>
      </c>
      <c r="Z188" s="31">
        <f t="shared" si="17"/>
        <v>7812.5</v>
      </c>
      <c r="AA188" s="31">
        <f t="shared" si="18"/>
        <v>7812.5</v>
      </c>
    </row>
    <row r="189" spans="1:27" ht="13">
      <c r="A189" s="9">
        <v>187</v>
      </c>
      <c r="B189" s="4" t="s">
        <v>1229</v>
      </c>
      <c r="C189" s="51"/>
      <c r="D189" s="8">
        <v>296</v>
      </c>
      <c r="E189" s="8">
        <v>457</v>
      </c>
      <c r="F189" s="8"/>
      <c r="G189" s="5">
        <v>28</v>
      </c>
      <c r="H189" s="5">
        <v>28</v>
      </c>
      <c r="I189" s="4">
        <v>37700</v>
      </c>
      <c r="J189" s="4">
        <v>871840000</v>
      </c>
      <c r="K189" s="4">
        <v>3815000</v>
      </c>
      <c r="L189" s="4">
        <v>5160000</v>
      </c>
      <c r="M189" s="4">
        <v>152</v>
      </c>
      <c r="N189" s="4">
        <f t="shared" si="15"/>
        <v>24000.565418257818</v>
      </c>
      <c r="O189" s="4">
        <v>871840000</v>
      </c>
      <c r="P189" s="4">
        <v>3815000</v>
      </c>
      <c r="Q189" s="4">
        <v>5160000</v>
      </c>
      <c r="R189" s="5">
        <v>152</v>
      </c>
      <c r="S189" s="4"/>
      <c r="T189" s="4">
        <v>1743680000</v>
      </c>
      <c r="V189" s="4">
        <f t="shared" si="16"/>
        <v>24000.565418257818</v>
      </c>
      <c r="W189" s="4"/>
      <c r="X189" s="9" t="str">
        <f t="shared" si="21"/>
        <v>a</v>
      </c>
      <c r="Y189" s="9" t="str">
        <f t="shared" si="21"/>
        <v>a</v>
      </c>
      <c r="Z189" s="31">
        <f t="shared" si="17"/>
        <v>10976</v>
      </c>
      <c r="AA189" s="31">
        <f t="shared" si="18"/>
        <v>10976</v>
      </c>
    </row>
    <row r="190" spans="1:27" ht="13">
      <c r="A190" s="9">
        <v>188</v>
      </c>
      <c r="B190" s="4" t="s">
        <v>1230</v>
      </c>
      <c r="C190" s="51"/>
      <c r="D190" s="8">
        <v>316</v>
      </c>
      <c r="E190" s="8">
        <v>457</v>
      </c>
      <c r="F190" s="8"/>
      <c r="G190" s="5">
        <v>30</v>
      </c>
      <c r="H190" s="5">
        <v>30</v>
      </c>
      <c r="I190" s="4">
        <v>40200</v>
      </c>
      <c r="J190" s="4">
        <v>921700000</v>
      </c>
      <c r="K190" s="4">
        <v>4034000</v>
      </c>
      <c r="L190" s="4">
        <v>5479000</v>
      </c>
      <c r="M190" s="4">
        <v>151</v>
      </c>
      <c r="N190" s="4">
        <f t="shared" si="15"/>
        <v>25592.114849176771</v>
      </c>
      <c r="O190" s="4">
        <v>921700000</v>
      </c>
      <c r="P190" s="4">
        <v>4034000</v>
      </c>
      <c r="Q190" s="4">
        <v>5479000</v>
      </c>
      <c r="R190" s="5">
        <v>151</v>
      </c>
      <c r="S190" s="4"/>
      <c r="T190" s="4">
        <v>1843000000</v>
      </c>
      <c r="V190" s="4">
        <f t="shared" si="16"/>
        <v>25592.114849176771</v>
      </c>
      <c r="W190" s="4"/>
      <c r="X190" s="9" t="str">
        <f t="shared" si="21"/>
        <v>a</v>
      </c>
      <c r="Y190" s="9" t="str">
        <f t="shared" si="21"/>
        <v>a</v>
      </c>
      <c r="Z190" s="31">
        <f t="shared" si="17"/>
        <v>13500</v>
      </c>
      <c r="AA190" s="31">
        <f t="shared" si="18"/>
        <v>13500</v>
      </c>
    </row>
    <row r="191" spans="1:27" ht="13">
      <c r="A191" s="9">
        <v>189</v>
      </c>
      <c r="B191" s="4" t="s">
        <v>1231</v>
      </c>
      <c r="C191" s="51"/>
      <c r="D191" s="8">
        <v>335</v>
      </c>
      <c r="E191" s="8">
        <v>457</v>
      </c>
      <c r="F191" s="8"/>
      <c r="G191" s="5">
        <v>32</v>
      </c>
      <c r="H191" s="5">
        <v>32</v>
      </c>
      <c r="I191" s="4">
        <v>42700</v>
      </c>
      <c r="J191" s="4">
        <v>970130000</v>
      </c>
      <c r="K191" s="4">
        <v>4246000</v>
      </c>
      <c r="L191" s="4">
        <v>5791000</v>
      </c>
      <c r="M191" s="4">
        <v>151</v>
      </c>
      <c r="N191" s="4">
        <f t="shared" si="15"/>
        <v>27183.664280095723</v>
      </c>
      <c r="O191" s="4">
        <v>970130000</v>
      </c>
      <c r="P191" s="4">
        <v>4246000</v>
      </c>
      <c r="Q191" s="4">
        <v>5791000</v>
      </c>
      <c r="R191" s="5">
        <v>151</v>
      </c>
      <c r="S191" s="4"/>
      <c r="T191" s="4">
        <v>1940270000</v>
      </c>
      <c r="V191" s="4">
        <f t="shared" si="16"/>
        <v>27183.664280095723</v>
      </c>
      <c r="W191" s="4"/>
      <c r="X191" s="9" t="str">
        <f t="shared" si="21"/>
        <v>a</v>
      </c>
      <c r="Y191" s="9" t="str">
        <f t="shared" si="21"/>
        <v>a</v>
      </c>
      <c r="Z191" s="31">
        <f t="shared" si="17"/>
        <v>16384</v>
      </c>
      <c r="AA191" s="31">
        <f t="shared" si="18"/>
        <v>16384</v>
      </c>
    </row>
    <row r="192" spans="1:27" ht="13">
      <c r="A192" s="9">
        <v>190</v>
      </c>
      <c r="B192" s="4" t="s">
        <v>1232</v>
      </c>
      <c r="C192" s="51"/>
      <c r="D192" s="8">
        <v>374</v>
      </c>
      <c r="E192" s="8">
        <v>457</v>
      </c>
      <c r="F192" s="8"/>
      <c r="G192" s="5">
        <v>36</v>
      </c>
      <c r="H192" s="5">
        <v>36</v>
      </c>
      <c r="I192" s="4">
        <v>47600</v>
      </c>
      <c r="J192" s="4">
        <v>1062610000</v>
      </c>
      <c r="K192" s="4">
        <v>4650000</v>
      </c>
      <c r="L192" s="4">
        <v>6396000</v>
      </c>
      <c r="M192" s="4">
        <v>149</v>
      </c>
      <c r="N192" s="4">
        <f t="shared" si="15"/>
        <v>30303.101164696873</v>
      </c>
      <c r="O192" s="4">
        <v>1062610000</v>
      </c>
      <c r="P192" s="4">
        <v>4650000</v>
      </c>
      <c r="Q192" s="4">
        <v>6396000</v>
      </c>
      <c r="R192" s="5">
        <v>149</v>
      </c>
      <c r="S192" s="4"/>
      <c r="T192" s="4">
        <v>2125210000</v>
      </c>
      <c r="V192" s="4">
        <f t="shared" si="16"/>
        <v>30303.101164696873</v>
      </c>
      <c r="W192" s="4"/>
      <c r="X192" s="9" t="str">
        <f t="shared" si="21"/>
        <v>a</v>
      </c>
      <c r="Y192" s="9" t="str">
        <f t="shared" si="21"/>
        <v>a</v>
      </c>
      <c r="Z192" s="31">
        <f t="shared" si="17"/>
        <v>23328</v>
      </c>
      <c r="AA192" s="31">
        <f t="shared" si="18"/>
        <v>23328</v>
      </c>
    </row>
    <row r="193" spans="1:27" ht="13">
      <c r="A193" s="9">
        <v>191</v>
      </c>
      <c r="B193" s="4" t="s">
        <v>1233</v>
      </c>
      <c r="C193" s="51"/>
      <c r="D193" s="8">
        <v>411</v>
      </c>
      <c r="E193" s="8">
        <v>457</v>
      </c>
      <c r="F193" s="8"/>
      <c r="G193" s="5">
        <v>40</v>
      </c>
      <c r="H193" s="5">
        <v>40</v>
      </c>
      <c r="I193" s="4">
        <v>52400</v>
      </c>
      <c r="J193" s="4">
        <v>1150000000</v>
      </c>
      <c r="K193" s="4">
        <v>5031000</v>
      </c>
      <c r="L193" s="4">
        <v>6977000</v>
      </c>
      <c r="M193" s="4">
        <v>148</v>
      </c>
      <c r="N193" s="4">
        <f t="shared" si="15"/>
        <v>33358.876072061263</v>
      </c>
      <c r="O193" s="4">
        <v>1150000000</v>
      </c>
      <c r="P193" s="4">
        <v>5031000</v>
      </c>
      <c r="Q193" s="4">
        <v>6977000</v>
      </c>
      <c r="R193" s="5">
        <v>148</v>
      </c>
      <c r="S193" s="4"/>
      <c r="T193" s="4">
        <v>2299000000</v>
      </c>
      <c r="V193" s="4">
        <f t="shared" si="16"/>
        <v>33358.876072061263</v>
      </c>
      <c r="W193" s="4"/>
      <c r="X193" s="9" t="str">
        <f t="shared" si="21"/>
        <v>a</v>
      </c>
      <c r="Y193" s="9" t="str">
        <f t="shared" si="21"/>
        <v>a</v>
      </c>
      <c r="Z193" s="31">
        <f t="shared" si="17"/>
        <v>32000</v>
      </c>
      <c r="AA193" s="31">
        <f t="shared" si="18"/>
        <v>32000</v>
      </c>
    </row>
    <row r="194" spans="1:27" ht="13">
      <c r="A194" s="9">
        <v>192</v>
      </c>
      <c r="B194" s="4" t="s">
        <v>1234</v>
      </c>
      <c r="C194" s="51"/>
      <c r="D194" s="8">
        <v>457</v>
      </c>
      <c r="E194" s="8">
        <v>457</v>
      </c>
      <c r="F194" s="8"/>
      <c r="G194" s="5">
        <v>45</v>
      </c>
      <c r="H194" s="5">
        <v>45</v>
      </c>
      <c r="I194" s="4">
        <v>58200</v>
      </c>
      <c r="J194" s="4">
        <v>1250590000</v>
      </c>
      <c r="K194" s="4">
        <v>5473000</v>
      </c>
      <c r="L194" s="4">
        <v>7669000</v>
      </c>
      <c r="M194" s="4">
        <v>147</v>
      </c>
      <c r="N194" s="4">
        <f t="shared" si="15"/>
        <v>37051.270751793236</v>
      </c>
      <c r="O194" s="4">
        <v>1250590000</v>
      </c>
      <c r="P194" s="4">
        <v>5473000</v>
      </c>
      <c r="Q194" s="4">
        <v>7669000</v>
      </c>
      <c r="R194" s="5">
        <v>147</v>
      </c>
      <c r="S194" s="4"/>
      <c r="T194" s="4">
        <v>2501180000</v>
      </c>
      <c r="V194" s="4">
        <f t="shared" si="16"/>
        <v>37051.270751793236</v>
      </c>
      <c r="W194" s="4"/>
      <c r="X194" s="9" t="str">
        <f t="shared" si="21"/>
        <v>a</v>
      </c>
      <c r="Y194" s="9" t="str">
        <f t="shared" si="21"/>
        <v>a</v>
      </c>
      <c r="Z194" s="31">
        <f t="shared" si="17"/>
        <v>45562.5</v>
      </c>
      <c r="AA194" s="31">
        <f t="shared" si="18"/>
        <v>45562.5</v>
      </c>
    </row>
    <row r="195" spans="1:27" ht="13">
      <c r="A195" s="9">
        <v>193</v>
      </c>
      <c r="B195" s="4" t="s">
        <v>1235</v>
      </c>
      <c r="C195" s="51"/>
      <c r="D195" s="8">
        <v>77.900000000000006</v>
      </c>
      <c r="E195" s="8">
        <v>508</v>
      </c>
      <c r="F195" s="8"/>
      <c r="G195" s="5">
        <v>6.3</v>
      </c>
      <c r="H195" s="5">
        <v>6.3</v>
      </c>
      <c r="I195" s="4">
        <v>9930</v>
      </c>
      <c r="J195" s="4">
        <v>312500000</v>
      </c>
      <c r="K195" s="4">
        <v>1230000</v>
      </c>
      <c r="L195" s="4">
        <v>1586000</v>
      </c>
      <c r="M195" s="4">
        <v>177</v>
      </c>
      <c r="N195" s="4">
        <f t="shared" ref="N195:N258" si="22">2*I195/PI()</f>
        <v>6321.6343396100829</v>
      </c>
      <c r="O195" s="4">
        <v>312500000</v>
      </c>
      <c r="P195" s="4">
        <v>1230000</v>
      </c>
      <c r="Q195" s="4">
        <v>1586000</v>
      </c>
      <c r="R195" s="5">
        <v>177</v>
      </c>
      <c r="S195" s="4"/>
      <c r="T195" s="4">
        <v>624900000</v>
      </c>
      <c r="V195" s="4">
        <f t="shared" ref="V195:V258" si="23">N195</f>
        <v>6321.6343396100829</v>
      </c>
      <c r="W195" s="4"/>
      <c r="X195" s="9" t="str">
        <f t="shared" si="21"/>
        <v>a</v>
      </c>
      <c r="Y195" s="9" t="str">
        <f t="shared" si="21"/>
        <v>a</v>
      </c>
      <c r="Z195" s="31">
        <f t="shared" ref="Z195:Z258" si="24">2*(F195/2-G195/2)^2*G195</f>
        <v>125.02349999999998</v>
      </c>
      <c r="AA195" s="31">
        <f t="shared" ref="AA195:AA258" si="25">Z195</f>
        <v>125.02349999999998</v>
      </c>
    </row>
    <row r="196" spans="1:27" ht="13">
      <c r="A196" s="9">
        <v>194</v>
      </c>
      <c r="B196" s="4" t="s">
        <v>1236</v>
      </c>
      <c r="C196" s="51"/>
      <c r="D196" s="8">
        <v>98.6</v>
      </c>
      <c r="E196" s="8">
        <v>508</v>
      </c>
      <c r="F196" s="8"/>
      <c r="G196" s="5">
        <v>8</v>
      </c>
      <c r="H196" s="5">
        <v>8</v>
      </c>
      <c r="I196" s="4">
        <v>12600</v>
      </c>
      <c r="J196" s="4">
        <v>392800000</v>
      </c>
      <c r="K196" s="4">
        <v>1546000</v>
      </c>
      <c r="L196" s="4">
        <v>2000000</v>
      </c>
      <c r="M196" s="4">
        <v>177</v>
      </c>
      <c r="N196" s="4">
        <f t="shared" si="22"/>
        <v>8021.409131831525</v>
      </c>
      <c r="O196" s="4">
        <v>392800000</v>
      </c>
      <c r="P196" s="4">
        <v>1546000</v>
      </c>
      <c r="Q196" s="4">
        <v>2000000</v>
      </c>
      <c r="R196" s="5">
        <v>177</v>
      </c>
      <c r="S196" s="4"/>
      <c r="T196" s="4">
        <v>785600000</v>
      </c>
      <c r="V196" s="4">
        <f t="shared" si="23"/>
        <v>8021.409131831525</v>
      </c>
      <c r="W196" s="4"/>
      <c r="X196" s="9" t="str">
        <f t="shared" si="21"/>
        <v>a</v>
      </c>
      <c r="Y196" s="9" t="str">
        <f t="shared" si="21"/>
        <v>a</v>
      </c>
      <c r="Z196" s="31">
        <f t="shared" si="24"/>
        <v>256</v>
      </c>
      <c r="AA196" s="31">
        <f t="shared" si="25"/>
        <v>256</v>
      </c>
    </row>
    <row r="197" spans="1:27" ht="13">
      <c r="A197" s="9">
        <v>195</v>
      </c>
      <c r="B197" s="4" t="s">
        <v>1237</v>
      </c>
      <c r="C197" s="51"/>
      <c r="D197" s="8">
        <v>123</v>
      </c>
      <c r="E197" s="8">
        <v>508</v>
      </c>
      <c r="F197" s="8"/>
      <c r="G197" s="5">
        <v>10</v>
      </c>
      <c r="H197" s="5">
        <v>10</v>
      </c>
      <c r="I197" s="4">
        <v>15600</v>
      </c>
      <c r="J197" s="4">
        <v>485200000</v>
      </c>
      <c r="K197" s="4">
        <v>1910000</v>
      </c>
      <c r="L197" s="4">
        <v>2480000</v>
      </c>
      <c r="M197" s="4">
        <v>176</v>
      </c>
      <c r="N197" s="4">
        <f t="shared" si="22"/>
        <v>9931.2684489342701</v>
      </c>
      <c r="O197" s="4">
        <v>485200000</v>
      </c>
      <c r="P197" s="4">
        <v>1910000</v>
      </c>
      <c r="Q197" s="4">
        <v>2480000</v>
      </c>
      <c r="R197" s="5">
        <v>176</v>
      </c>
      <c r="S197" s="4"/>
      <c r="T197" s="4">
        <v>970400000</v>
      </c>
      <c r="V197" s="4">
        <f t="shared" si="23"/>
        <v>9931.2684489342701</v>
      </c>
      <c r="W197" s="4"/>
      <c r="X197" s="9" t="str">
        <f t="shared" si="21"/>
        <v>a</v>
      </c>
      <c r="Y197" s="9" t="str">
        <f t="shared" si="21"/>
        <v>a</v>
      </c>
      <c r="Z197" s="31">
        <f t="shared" si="24"/>
        <v>500</v>
      </c>
      <c r="AA197" s="31">
        <f t="shared" si="25"/>
        <v>500</v>
      </c>
    </row>
    <row r="198" spans="1:27" ht="13">
      <c r="A198" s="9">
        <v>196</v>
      </c>
      <c r="B198" s="4" t="s">
        <v>1238</v>
      </c>
      <c r="C198" s="51"/>
      <c r="D198" s="8">
        <v>153</v>
      </c>
      <c r="E198" s="8">
        <v>508</v>
      </c>
      <c r="F198" s="8"/>
      <c r="G198" s="5">
        <v>12.5</v>
      </c>
      <c r="H198" s="5">
        <v>12.5</v>
      </c>
      <c r="I198" s="4">
        <v>19500</v>
      </c>
      <c r="J198" s="4">
        <v>597600000</v>
      </c>
      <c r="K198" s="4">
        <v>2353000</v>
      </c>
      <c r="L198" s="4">
        <v>3070000</v>
      </c>
      <c r="M198" s="4">
        <v>175</v>
      </c>
      <c r="N198" s="4">
        <f t="shared" si="22"/>
        <v>12414.085561167836</v>
      </c>
      <c r="O198" s="4">
        <v>597600000</v>
      </c>
      <c r="P198" s="4">
        <v>2353000</v>
      </c>
      <c r="Q198" s="4">
        <v>3070000</v>
      </c>
      <c r="R198" s="5">
        <v>175</v>
      </c>
      <c r="S198" s="4"/>
      <c r="T198" s="4">
        <v>1195000000</v>
      </c>
      <c r="V198" s="4">
        <f t="shared" si="23"/>
        <v>12414.085561167836</v>
      </c>
      <c r="W198" s="4"/>
      <c r="X198" s="9" t="str">
        <f t="shared" si="21"/>
        <v>a</v>
      </c>
      <c r="Y198" s="9" t="str">
        <f t="shared" si="21"/>
        <v>a</v>
      </c>
      <c r="Z198" s="31">
        <f t="shared" si="24"/>
        <v>976.5625</v>
      </c>
      <c r="AA198" s="31">
        <f t="shared" si="25"/>
        <v>976.5625</v>
      </c>
    </row>
    <row r="199" spans="1:27" ht="13">
      <c r="A199" s="9">
        <v>197</v>
      </c>
      <c r="B199" s="4" t="s">
        <v>1239</v>
      </c>
      <c r="C199" s="51"/>
      <c r="D199" s="8">
        <v>173</v>
      </c>
      <c r="E199" s="8">
        <v>508</v>
      </c>
      <c r="F199" s="8"/>
      <c r="G199" s="5">
        <v>14.2</v>
      </c>
      <c r="H199" s="5">
        <v>14.2</v>
      </c>
      <c r="I199" s="4">
        <v>22000</v>
      </c>
      <c r="J199" s="4">
        <v>672000000</v>
      </c>
      <c r="K199" s="4">
        <v>2646000</v>
      </c>
      <c r="L199" s="4">
        <v>3463000</v>
      </c>
      <c r="M199" s="4">
        <v>175</v>
      </c>
      <c r="N199" s="4">
        <f t="shared" si="22"/>
        <v>14005.634992086791</v>
      </c>
      <c r="O199" s="4">
        <v>672000000</v>
      </c>
      <c r="P199" s="4">
        <v>2646000</v>
      </c>
      <c r="Q199" s="4">
        <v>3463000</v>
      </c>
      <c r="R199" s="5">
        <v>175</v>
      </c>
      <c r="S199" s="4"/>
      <c r="T199" s="4">
        <v>1344000000</v>
      </c>
      <c r="V199" s="4">
        <f t="shared" si="23"/>
        <v>14005.634992086791</v>
      </c>
      <c r="W199" s="4"/>
      <c r="X199" s="9" t="str">
        <f t="shared" si="21"/>
        <v>a</v>
      </c>
      <c r="Y199" s="9" t="str">
        <f t="shared" si="21"/>
        <v>a</v>
      </c>
      <c r="Z199" s="31">
        <f t="shared" si="24"/>
        <v>1431.6439999999998</v>
      </c>
      <c r="AA199" s="31">
        <f t="shared" si="25"/>
        <v>1431.6439999999998</v>
      </c>
    </row>
    <row r="200" spans="1:27" ht="13">
      <c r="A200" s="9">
        <v>198</v>
      </c>
      <c r="B200" s="4" t="s">
        <v>1240</v>
      </c>
      <c r="C200" s="51"/>
      <c r="D200" s="8">
        <v>194</v>
      </c>
      <c r="E200" s="8">
        <v>508</v>
      </c>
      <c r="F200" s="8"/>
      <c r="G200" s="5">
        <v>16</v>
      </c>
      <c r="H200" s="5">
        <v>16</v>
      </c>
      <c r="I200" s="4">
        <v>24700</v>
      </c>
      <c r="J200" s="4">
        <v>749100000</v>
      </c>
      <c r="K200" s="4">
        <v>2949000</v>
      </c>
      <c r="L200" s="4">
        <v>3874000</v>
      </c>
      <c r="M200" s="4">
        <v>174</v>
      </c>
      <c r="N200" s="4">
        <f t="shared" si="22"/>
        <v>15724.50837747926</v>
      </c>
      <c r="O200" s="4">
        <v>749100000</v>
      </c>
      <c r="P200" s="4">
        <v>2949000</v>
      </c>
      <c r="Q200" s="4">
        <v>3874000</v>
      </c>
      <c r="R200" s="5">
        <v>174</v>
      </c>
      <c r="S200" s="4"/>
      <c r="T200" s="4">
        <v>1498000000</v>
      </c>
      <c r="V200" s="4">
        <f t="shared" si="23"/>
        <v>15724.50837747926</v>
      </c>
      <c r="W200" s="4"/>
      <c r="X200" s="9" t="str">
        <f t="shared" si="21"/>
        <v>a</v>
      </c>
      <c r="Y200" s="9" t="str">
        <f t="shared" si="21"/>
        <v>a</v>
      </c>
      <c r="Z200" s="31">
        <f t="shared" si="24"/>
        <v>2048</v>
      </c>
      <c r="AA200" s="31">
        <f t="shared" si="25"/>
        <v>2048</v>
      </c>
    </row>
    <row r="201" spans="1:27" ht="13">
      <c r="A201" s="9">
        <v>199</v>
      </c>
      <c r="B201" s="4" t="s">
        <v>1241</v>
      </c>
      <c r="C201" s="51"/>
      <c r="D201" s="8">
        <v>241</v>
      </c>
      <c r="E201" s="8">
        <v>508</v>
      </c>
      <c r="F201" s="8"/>
      <c r="G201" s="5">
        <v>20</v>
      </c>
      <c r="H201" s="5">
        <v>20</v>
      </c>
      <c r="I201" s="4">
        <v>30700</v>
      </c>
      <c r="J201" s="4">
        <v>914300000</v>
      </c>
      <c r="K201" s="4">
        <v>3600000</v>
      </c>
      <c r="L201" s="4">
        <v>4766000</v>
      </c>
      <c r="M201" s="4">
        <v>173</v>
      </c>
      <c r="N201" s="4">
        <f t="shared" si="22"/>
        <v>19544.227011684747</v>
      </c>
      <c r="O201" s="4">
        <v>914300000</v>
      </c>
      <c r="P201" s="4">
        <v>3600000</v>
      </c>
      <c r="Q201" s="4">
        <v>4766000</v>
      </c>
      <c r="R201" s="5">
        <v>173</v>
      </c>
      <c r="S201" s="4"/>
      <c r="T201" s="4">
        <v>1829000000</v>
      </c>
      <c r="V201" s="4">
        <f t="shared" si="23"/>
        <v>19544.227011684747</v>
      </c>
      <c r="W201" s="4"/>
      <c r="X201" s="9" t="str">
        <f t="shared" si="21"/>
        <v>a</v>
      </c>
      <c r="Y201" s="9" t="str">
        <f t="shared" si="21"/>
        <v>a</v>
      </c>
      <c r="Z201" s="31">
        <f t="shared" si="24"/>
        <v>4000</v>
      </c>
      <c r="AA201" s="31">
        <f t="shared" si="25"/>
        <v>4000</v>
      </c>
    </row>
    <row r="202" spans="1:27" ht="13">
      <c r="A202" s="9">
        <v>200</v>
      </c>
      <c r="B202" s="4" t="s">
        <v>1242</v>
      </c>
      <c r="C202" s="51"/>
      <c r="D202" s="8">
        <v>264</v>
      </c>
      <c r="E202" s="8">
        <v>508</v>
      </c>
      <c r="F202" s="8"/>
      <c r="G202" s="5">
        <v>22</v>
      </c>
      <c r="H202" s="5">
        <v>22</v>
      </c>
      <c r="I202" s="4">
        <v>33600</v>
      </c>
      <c r="J202" s="4">
        <v>993760000</v>
      </c>
      <c r="K202" s="4">
        <v>3912000</v>
      </c>
      <c r="L202" s="4">
        <v>5200000</v>
      </c>
      <c r="M202" s="4">
        <v>172</v>
      </c>
      <c r="N202" s="4">
        <f t="shared" si="22"/>
        <v>21390.424351550733</v>
      </c>
      <c r="O202" s="4">
        <v>993760000</v>
      </c>
      <c r="P202" s="4">
        <v>3912000</v>
      </c>
      <c r="Q202" s="4">
        <v>5200000</v>
      </c>
      <c r="R202" s="5">
        <v>172</v>
      </c>
      <c r="S202" s="4"/>
      <c r="T202" s="4">
        <v>1987510000</v>
      </c>
      <c r="V202" s="4">
        <f t="shared" si="23"/>
        <v>21390.424351550733</v>
      </c>
      <c r="W202" s="4"/>
      <c r="X202" s="9" t="str">
        <f t="shared" si="21"/>
        <v>a</v>
      </c>
      <c r="Y202" s="9" t="str">
        <f t="shared" si="21"/>
        <v>a</v>
      </c>
      <c r="Z202" s="31">
        <f t="shared" si="24"/>
        <v>5324</v>
      </c>
      <c r="AA202" s="31">
        <f t="shared" si="25"/>
        <v>5324</v>
      </c>
    </row>
    <row r="203" spans="1:27" ht="13">
      <c r="A203" s="9">
        <v>201</v>
      </c>
      <c r="B203" s="4" t="s">
        <v>1243</v>
      </c>
      <c r="C203" s="51"/>
      <c r="D203" s="8">
        <v>298</v>
      </c>
      <c r="E203" s="8">
        <v>508</v>
      </c>
      <c r="F203" s="8"/>
      <c r="G203" s="5">
        <v>25</v>
      </c>
      <c r="H203" s="5">
        <v>25</v>
      </c>
      <c r="I203" s="4">
        <v>37900</v>
      </c>
      <c r="J203" s="4">
        <v>1110000000</v>
      </c>
      <c r="K203" s="4">
        <v>4367000</v>
      </c>
      <c r="L203" s="4">
        <v>5837000</v>
      </c>
      <c r="M203" s="4">
        <v>171</v>
      </c>
      <c r="N203" s="4">
        <f t="shared" si="22"/>
        <v>24127.889372731333</v>
      </c>
      <c r="O203" s="4">
        <v>1110000000</v>
      </c>
      <c r="P203" s="4">
        <v>4367000</v>
      </c>
      <c r="Q203" s="4">
        <v>5837000</v>
      </c>
      <c r="R203" s="5">
        <v>171</v>
      </c>
      <c r="S203" s="4"/>
      <c r="T203" s="4">
        <v>2218000000</v>
      </c>
      <c r="V203" s="4">
        <f t="shared" si="23"/>
        <v>24127.889372731333</v>
      </c>
      <c r="W203" s="4"/>
      <c r="X203" s="9" t="str">
        <f t="shared" ref="X203:Y222" si="26">IF(fy=460,"a0","a")</f>
        <v>a</v>
      </c>
      <c r="Y203" s="9" t="str">
        <f t="shared" si="26"/>
        <v>a</v>
      </c>
      <c r="Z203" s="31">
        <f t="shared" si="24"/>
        <v>7812.5</v>
      </c>
      <c r="AA203" s="31">
        <f t="shared" si="25"/>
        <v>7812.5</v>
      </c>
    </row>
    <row r="204" spans="1:27" ht="13">
      <c r="A204" s="9">
        <v>202</v>
      </c>
      <c r="B204" s="4" t="s">
        <v>1244</v>
      </c>
      <c r="C204" s="51"/>
      <c r="D204" s="8">
        <v>331</v>
      </c>
      <c r="E204" s="8">
        <v>508</v>
      </c>
      <c r="F204" s="8"/>
      <c r="G204" s="5">
        <v>28</v>
      </c>
      <c r="H204" s="5">
        <v>28</v>
      </c>
      <c r="I204" s="4">
        <v>42200</v>
      </c>
      <c r="J204" s="4">
        <v>1220160000</v>
      </c>
      <c r="K204" s="4">
        <v>4804000</v>
      </c>
      <c r="L204" s="4">
        <v>6459000</v>
      </c>
      <c r="M204" s="4">
        <v>170</v>
      </c>
      <c r="N204" s="4">
        <f t="shared" si="22"/>
        <v>26865.354393911934</v>
      </c>
      <c r="O204" s="4">
        <v>1220160000</v>
      </c>
      <c r="P204" s="4">
        <v>4804000</v>
      </c>
      <c r="Q204" s="4">
        <v>6459000</v>
      </c>
      <c r="R204" s="5">
        <v>170</v>
      </c>
      <c r="S204" s="4"/>
      <c r="T204" s="4">
        <v>2440320000</v>
      </c>
      <c r="V204" s="4">
        <f t="shared" si="23"/>
        <v>26865.354393911934</v>
      </c>
      <c r="W204" s="4"/>
      <c r="X204" s="9" t="str">
        <f t="shared" si="26"/>
        <v>a</v>
      </c>
      <c r="Y204" s="9" t="str">
        <f t="shared" si="26"/>
        <v>a</v>
      </c>
      <c r="Z204" s="31">
        <f t="shared" si="24"/>
        <v>10976</v>
      </c>
      <c r="AA204" s="31">
        <f t="shared" si="25"/>
        <v>10976</v>
      </c>
    </row>
    <row r="205" spans="1:27" ht="13">
      <c r="A205" s="9">
        <v>203</v>
      </c>
      <c r="B205" s="4" t="s">
        <v>1245</v>
      </c>
      <c r="C205" s="51"/>
      <c r="D205" s="8">
        <v>354</v>
      </c>
      <c r="E205" s="8">
        <v>508</v>
      </c>
      <c r="F205" s="8"/>
      <c r="G205" s="5">
        <v>30</v>
      </c>
      <c r="H205" s="5">
        <v>30</v>
      </c>
      <c r="I205" s="4">
        <v>45100</v>
      </c>
      <c r="J205" s="4">
        <v>1292000000</v>
      </c>
      <c r="K205" s="4">
        <v>5086000</v>
      </c>
      <c r="L205" s="4">
        <v>6864000</v>
      </c>
      <c r="M205" s="4">
        <v>169</v>
      </c>
      <c r="N205" s="4">
        <f t="shared" si="22"/>
        <v>28711.55173377792</v>
      </c>
      <c r="O205" s="4">
        <v>1292000000</v>
      </c>
      <c r="P205" s="4">
        <v>5086000</v>
      </c>
      <c r="Q205" s="4">
        <v>6864000</v>
      </c>
      <c r="R205" s="5">
        <v>169</v>
      </c>
      <c r="S205" s="4"/>
      <c r="T205" s="4">
        <v>2584000000</v>
      </c>
      <c r="V205" s="4">
        <f t="shared" si="23"/>
        <v>28711.55173377792</v>
      </c>
      <c r="W205" s="4"/>
      <c r="X205" s="9" t="str">
        <f t="shared" si="26"/>
        <v>a</v>
      </c>
      <c r="Y205" s="9" t="str">
        <f t="shared" si="26"/>
        <v>a</v>
      </c>
      <c r="Z205" s="31">
        <f t="shared" si="24"/>
        <v>13500</v>
      </c>
      <c r="AA205" s="31">
        <f t="shared" si="25"/>
        <v>13500</v>
      </c>
    </row>
    <row r="206" spans="1:27" ht="13">
      <c r="A206" s="9">
        <v>204</v>
      </c>
      <c r="B206" s="4" t="s">
        <v>1246</v>
      </c>
      <c r="C206" s="51"/>
      <c r="D206" s="8">
        <v>376</v>
      </c>
      <c r="E206" s="8">
        <v>508</v>
      </c>
      <c r="F206" s="8"/>
      <c r="G206" s="5">
        <v>32</v>
      </c>
      <c r="H206" s="5">
        <v>32</v>
      </c>
      <c r="I206" s="4">
        <v>47900</v>
      </c>
      <c r="J206" s="4">
        <v>1361410000</v>
      </c>
      <c r="K206" s="4">
        <v>5360000</v>
      </c>
      <c r="L206" s="4">
        <v>7261000</v>
      </c>
      <c r="M206" s="4">
        <v>169</v>
      </c>
      <c r="N206" s="4">
        <f t="shared" si="22"/>
        <v>30494.087096407147</v>
      </c>
      <c r="O206" s="4">
        <v>1361410000</v>
      </c>
      <c r="P206" s="4">
        <v>5360000</v>
      </c>
      <c r="Q206" s="4">
        <v>7261000</v>
      </c>
      <c r="R206" s="5">
        <v>169</v>
      </c>
      <c r="S206" s="4"/>
      <c r="T206" s="4">
        <v>2722820000</v>
      </c>
      <c r="V206" s="4">
        <f t="shared" si="23"/>
        <v>30494.087096407147</v>
      </c>
      <c r="W206" s="4"/>
      <c r="X206" s="9" t="str">
        <f t="shared" si="26"/>
        <v>a</v>
      </c>
      <c r="Y206" s="9" t="str">
        <f t="shared" si="26"/>
        <v>a</v>
      </c>
      <c r="Z206" s="31">
        <f t="shared" si="24"/>
        <v>16384</v>
      </c>
      <c r="AA206" s="31">
        <f t="shared" si="25"/>
        <v>16384</v>
      </c>
    </row>
    <row r="207" spans="1:27" ht="13">
      <c r="A207" s="9">
        <v>205</v>
      </c>
      <c r="B207" s="4" t="s">
        <v>1247</v>
      </c>
      <c r="C207" s="51"/>
      <c r="D207" s="8">
        <v>419</v>
      </c>
      <c r="E207" s="8">
        <v>508</v>
      </c>
      <c r="F207" s="8"/>
      <c r="G207" s="5">
        <v>36</v>
      </c>
      <c r="H207" s="5">
        <v>36</v>
      </c>
      <c r="I207" s="4">
        <v>53400</v>
      </c>
      <c r="J207" s="4">
        <v>1495230000</v>
      </c>
      <c r="K207" s="4">
        <v>5887000</v>
      </c>
      <c r="L207" s="4">
        <v>8036000</v>
      </c>
      <c r="M207" s="4">
        <v>167</v>
      </c>
      <c r="N207" s="4">
        <f t="shared" si="22"/>
        <v>33995.495844428842</v>
      </c>
      <c r="O207" s="4">
        <v>1495230000</v>
      </c>
      <c r="P207" s="4">
        <v>5887000</v>
      </c>
      <c r="Q207" s="4">
        <v>8036000</v>
      </c>
      <c r="R207" s="5">
        <v>167</v>
      </c>
      <c r="S207" s="4"/>
      <c r="T207" s="4">
        <v>2990460000</v>
      </c>
      <c r="V207" s="4">
        <f t="shared" si="23"/>
        <v>33995.495844428842</v>
      </c>
      <c r="W207" s="4"/>
      <c r="X207" s="9" t="str">
        <f t="shared" si="26"/>
        <v>a</v>
      </c>
      <c r="Y207" s="9" t="str">
        <f t="shared" si="26"/>
        <v>a</v>
      </c>
      <c r="Z207" s="31">
        <f t="shared" si="24"/>
        <v>23328</v>
      </c>
      <c r="AA207" s="31">
        <f t="shared" si="25"/>
        <v>23328</v>
      </c>
    </row>
    <row r="208" spans="1:27" ht="13">
      <c r="A208" s="9">
        <v>206</v>
      </c>
      <c r="B208" s="4" t="s">
        <v>1248</v>
      </c>
      <c r="C208" s="51"/>
      <c r="D208" s="8">
        <v>462</v>
      </c>
      <c r="E208" s="8">
        <v>508</v>
      </c>
      <c r="F208" s="8"/>
      <c r="G208" s="5">
        <v>40</v>
      </c>
      <c r="H208" s="5">
        <v>40</v>
      </c>
      <c r="I208" s="4">
        <v>58800</v>
      </c>
      <c r="J208" s="4">
        <v>1622000000</v>
      </c>
      <c r="K208" s="4">
        <v>6385000</v>
      </c>
      <c r="L208" s="4">
        <v>8782000</v>
      </c>
      <c r="M208" s="4">
        <v>166</v>
      </c>
      <c r="N208" s="4">
        <f t="shared" si="22"/>
        <v>37433.242615213785</v>
      </c>
      <c r="O208" s="4">
        <v>1622000000</v>
      </c>
      <c r="P208" s="4">
        <v>6385000</v>
      </c>
      <c r="Q208" s="4">
        <v>8782000</v>
      </c>
      <c r="R208" s="5">
        <v>166</v>
      </c>
      <c r="S208" s="4"/>
      <c r="T208" s="4">
        <v>3244000000</v>
      </c>
      <c r="V208" s="4">
        <f t="shared" si="23"/>
        <v>37433.242615213785</v>
      </c>
      <c r="W208" s="4"/>
      <c r="X208" s="9" t="str">
        <f t="shared" si="26"/>
        <v>a</v>
      </c>
      <c r="Y208" s="9" t="str">
        <f t="shared" si="26"/>
        <v>a</v>
      </c>
      <c r="Z208" s="31">
        <f t="shared" si="24"/>
        <v>32000</v>
      </c>
      <c r="AA208" s="31">
        <f t="shared" si="25"/>
        <v>32000</v>
      </c>
    </row>
    <row r="209" spans="1:27" ht="13">
      <c r="A209" s="9">
        <v>207</v>
      </c>
      <c r="B209" s="4" t="s">
        <v>1249</v>
      </c>
      <c r="C209" s="51"/>
      <c r="D209" s="8">
        <v>514</v>
      </c>
      <c r="E209" s="8">
        <v>508</v>
      </c>
      <c r="F209" s="8"/>
      <c r="G209" s="5">
        <v>45</v>
      </c>
      <c r="H209" s="5">
        <v>45</v>
      </c>
      <c r="I209" s="4">
        <v>65500</v>
      </c>
      <c r="J209" s="4">
        <v>1770510000</v>
      </c>
      <c r="K209" s="4">
        <v>6971000</v>
      </c>
      <c r="L209" s="4">
        <v>9677000</v>
      </c>
      <c r="M209" s="4">
        <v>164</v>
      </c>
      <c r="N209" s="4">
        <f t="shared" si="22"/>
        <v>41698.595090076582</v>
      </c>
      <c r="O209" s="4">
        <v>1770510000</v>
      </c>
      <c r="P209" s="4">
        <v>6971000</v>
      </c>
      <c r="Q209" s="4">
        <v>9677000</v>
      </c>
      <c r="R209" s="5">
        <v>164</v>
      </c>
      <c r="S209" s="4"/>
      <c r="T209" s="4">
        <v>3541020000</v>
      </c>
      <c r="V209" s="4">
        <f t="shared" si="23"/>
        <v>41698.595090076582</v>
      </c>
      <c r="W209" s="4"/>
      <c r="X209" s="9" t="str">
        <f t="shared" si="26"/>
        <v>a</v>
      </c>
      <c r="Y209" s="9" t="str">
        <f t="shared" si="26"/>
        <v>a</v>
      </c>
      <c r="Z209" s="31">
        <f t="shared" si="24"/>
        <v>45562.5</v>
      </c>
      <c r="AA209" s="31">
        <f t="shared" si="25"/>
        <v>45562.5</v>
      </c>
    </row>
    <row r="210" spans="1:27" ht="13">
      <c r="A210" s="9">
        <v>208</v>
      </c>
      <c r="B210" s="4" t="s">
        <v>1250</v>
      </c>
      <c r="C210" s="51"/>
      <c r="D210" s="8">
        <v>565</v>
      </c>
      <c r="E210" s="8">
        <v>508</v>
      </c>
      <c r="F210" s="8"/>
      <c r="G210" s="5">
        <v>50</v>
      </c>
      <c r="H210" s="5">
        <v>50</v>
      </c>
      <c r="I210" s="4">
        <v>71900</v>
      </c>
      <c r="J210" s="4">
        <v>1909000000</v>
      </c>
      <c r="K210" s="4">
        <v>7515000</v>
      </c>
      <c r="L210" s="4">
        <v>10530000</v>
      </c>
      <c r="M210" s="4">
        <v>163</v>
      </c>
      <c r="N210" s="4">
        <f t="shared" si="22"/>
        <v>45772.961633229097</v>
      </c>
      <c r="O210" s="4">
        <v>1909000000</v>
      </c>
      <c r="P210" s="4">
        <v>7515000</v>
      </c>
      <c r="Q210" s="4">
        <v>10530000</v>
      </c>
      <c r="R210" s="5">
        <v>163</v>
      </c>
      <c r="S210" s="4"/>
      <c r="T210" s="4">
        <v>3818000000</v>
      </c>
      <c r="V210" s="4">
        <f t="shared" si="23"/>
        <v>45772.961633229097</v>
      </c>
      <c r="W210" s="4"/>
      <c r="X210" s="9" t="str">
        <f t="shared" si="26"/>
        <v>a</v>
      </c>
      <c r="Y210" s="9" t="str">
        <f t="shared" si="26"/>
        <v>a</v>
      </c>
      <c r="Z210" s="31">
        <f t="shared" si="24"/>
        <v>62500</v>
      </c>
      <c r="AA210" s="31">
        <f t="shared" si="25"/>
        <v>62500</v>
      </c>
    </row>
    <row r="211" spans="1:27" ht="13">
      <c r="A211" s="9">
        <v>209</v>
      </c>
      <c r="B211" s="4" t="s">
        <v>1251</v>
      </c>
      <c r="C211" s="51"/>
      <c r="D211" s="8">
        <v>93.8</v>
      </c>
      <c r="E211" s="8">
        <v>610</v>
      </c>
      <c r="F211" s="8"/>
      <c r="G211" s="5">
        <v>6.3</v>
      </c>
      <c r="H211" s="5">
        <v>6.3</v>
      </c>
      <c r="I211" s="4">
        <v>11900</v>
      </c>
      <c r="J211" s="4">
        <v>544400000</v>
      </c>
      <c r="K211" s="4">
        <v>1785000</v>
      </c>
      <c r="L211" s="4">
        <v>2296000</v>
      </c>
      <c r="M211" s="4">
        <v>213</v>
      </c>
      <c r="N211" s="4">
        <f t="shared" si="22"/>
        <v>7575.7752911742182</v>
      </c>
      <c r="O211" s="4">
        <v>544400000</v>
      </c>
      <c r="P211" s="4">
        <v>1785000</v>
      </c>
      <c r="Q211" s="4">
        <v>2296000</v>
      </c>
      <c r="R211" s="5">
        <v>213</v>
      </c>
      <c r="S211" s="4"/>
      <c r="T211" s="4">
        <v>1089000000</v>
      </c>
      <c r="V211" s="4">
        <f t="shared" si="23"/>
        <v>7575.7752911742182</v>
      </c>
      <c r="W211" s="4"/>
      <c r="X211" s="9" t="str">
        <f t="shared" si="26"/>
        <v>a</v>
      </c>
      <c r="Y211" s="9" t="str">
        <f t="shared" si="26"/>
        <v>a</v>
      </c>
      <c r="Z211" s="31">
        <f t="shared" si="24"/>
        <v>125.02349999999998</v>
      </c>
      <c r="AA211" s="31">
        <f t="shared" si="25"/>
        <v>125.02349999999998</v>
      </c>
    </row>
    <row r="212" spans="1:27" ht="13">
      <c r="A212" s="9">
        <v>210</v>
      </c>
      <c r="B212" s="4" t="s">
        <v>1252</v>
      </c>
      <c r="C212" s="51"/>
      <c r="D212" s="8">
        <v>119</v>
      </c>
      <c r="E212" s="8">
        <v>610</v>
      </c>
      <c r="F212" s="8"/>
      <c r="G212" s="5">
        <v>8</v>
      </c>
      <c r="H212" s="5">
        <v>8</v>
      </c>
      <c r="I212" s="4">
        <v>15100</v>
      </c>
      <c r="J212" s="4">
        <v>685500000</v>
      </c>
      <c r="K212" s="4">
        <v>2248000</v>
      </c>
      <c r="L212" s="4">
        <v>2899000</v>
      </c>
      <c r="M212" s="4">
        <v>213</v>
      </c>
      <c r="N212" s="4">
        <f t="shared" si="22"/>
        <v>9612.9585627504784</v>
      </c>
      <c r="O212" s="4">
        <v>685500000</v>
      </c>
      <c r="P212" s="4">
        <v>2248000</v>
      </c>
      <c r="Q212" s="4">
        <v>2899000</v>
      </c>
      <c r="R212" s="5">
        <v>213</v>
      </c>
      <c r="S212" s="4"/>
      <c r="T212" s="4">
        <v>1371000000</v>
      </c>
      <c r="V212" s="4">
        <f t="shared" si="23"/>
        <v>9612.9585627504784</v>
      </c>
      <c r="W212" s="4"/>
      <c r="X212" s="9" t="str">
        <f t="shared" si="26"/>
        <v>a</v>
      </c>
      <c r="Y212" s="9" t="str">
        <f t="shared" si="26"/>
        <v>a</v>
      </c>
      <c r="Z212" s="31">
        <f t="shared" si="24"/>
        <v>256</v>
      </c>
      <c r="AA212" s="31">
        <f t="shared" si="25"/>
        <v>256</v>
      </c>
    </row>
    <row r="213" spans="1:27" ht="13">
      <c r="A213" s="9">
        <v>211</v>
      </c>
      <c r="B213" s="4" t="s">
        <v>1253</v>
      </c>
      <c r="C213" s="51"/>
      <c r="D213" s="8">
        <v>148</v>
      </c>
      <c r="E213" s="8">
        <v>610</v>
      </c>
      <c r="F213" s="8"/>
      <c r="G213" s="5">
        <v>10</v>
      </c>
      <c r="H213" s="5">
        <v>10</v>
      </c>
      <c r="I213" s="4">
        <v>18800</v>
      </c>
      <c r="J213" s="4">
        <v>848500000</v>
      </c>
      <c r="K213" s="4">
        <v>2782000</v>
      </c>
      <c r="L213" s="4">
        <v>3600000</v>
      </c>
      <c r="M213" s="4">
        <v>212</v>
      </c>
      <c r="N213" s="4">
        <f t="shared" si="22"/>
        <v>11968.451720510529</v>
      </c>
      <c r="O213" s="4">
        <v>848500000</v>
      </c>
      <c r="P213" s="4">
        <v>2782000</v>
      </c>
      <c r="Q213" s="4">
        <v>3600000</v>
      </c>
      <c r="R213" s="5">
        <v>212</v>
      </c>
      <c r="S213" s="4"/>
      <c r="T213" s="4">
        <v>1697000000</v>
      </c>
      <c r="V213" s="4">
        <f t="shared" si="23"/>
        <v>11968.451720510529</v>
      </c>
      <c r="W213" s="4"/>
      <c r="X213" s="9" t="str">
        <f t="shared" si="26"/>
        <v>a</v>
      </c>
      <c r="Y213" s="9" t="str">
        <f t="shared" si="26"/>
        <v>a</v>
      </c>
      <c r="Z213" s="31">
        <f t="shared" si="24"/>
        <v>500</v>
      </c>
      <c r="AA213" s="31">
        <f t="shared" si="25"/>
        <v>500</v>
      </c>
    </row>
    <row r="214" spans="1:27" ht="13">
      <c r="A214" s="9">
        <v>212</v>
      </c>
      <c r="B214" s="4" t="s">
        <v>1254</v>
      </c>
      <c r="C214" s="51"/>
      <c r="D214" s="8">
        <v>184</v>
      </c>
      <c r="E214" s="8">
        <v>610</v>
      </c>
      <c r="F214" s="8"/>
      <c r="G214" s="5">
        <v>12.5</v>
      </c>
      <c r="H214" s="5">
        <v>12.5</v>
      </c>
      <c r="I214" s="4">
        <v>23500</v>
      </c>
      <c r="J214" s="4">
        <v>1048000000</v>
      </c>
      <c r="K214" s="4">
        <v>3435000</v>
      </c>
      <c r="L214" s="4">
        <v>4463000</v>
      </c>
      <c r="M214" s="4">
        <v>211</v>
      </c>
      <c r="N214" s="4">
        <f t="shared" si="22"/>
        <v>14960.564650638162</v>
      </c>
      <c r="O214" s="4">
        <v>1048000000</v>
      </c>
      <c r="P214" s="4">
        <v>3435000</v>
      </c>
      <c r="Q214" s="4">
        <v>4463000</v>
      </c>
      <c r="R214" s="5">
        <v>211</v>
      </c>
      <c r="S214" s="4"/>
      <c r="T214" s="4">
        <v>2096000000</v>
      </c>
      <c r="V214" s="4">
        <f t="shared" si="23"/>
        <v>14960.564650638162</v>
      </c>
      <c r="W214" s="4"/>
      <c r="X214" s="9" t="str">
        <f t="shared" si="26"/>
        <v>a</v>
      </c>
      <c r="Y214" s="9" t="str">
        <f t="shared" si="26"/>
        <v>a</v>
      </c>
      <c r="Z214" s="31">
        <f t="shared" si="24"/>
        <v>976.5625</v>
      </c>
      <c r="AA214" s="31">
        <f t="shared" si="25"/>
        <v>976.5625</v>
      </c>
    </row>
    <row r="215" spans="1:27" ht="13">
      <c r="A215" s="9">
        <v>213</v>
      </c>
      <c r="B215" s="4" t="s">
        <v>1255</v>
      </c>
      <c r="C215" s="51"/>
      <c r="D215" s="8">
        <v>209</v>
      </c>
      <c r="E215" s="8">
        <v>610</v>
      </c>
      <c r="F215" s="8"/>
      <c r="G215" s="5">
        <v>14.2</v>
      </c>
      <c r="H215" s="5">
        <v>14.2</v>
      </c>
      <c r="I215" s="4">
        <v>26600</v>
      </c>
      <c r="J215" s="4">
        <v>1180000000</v>
      </c>
      <c r="K215" s="4">
        <v>3869000</v>
      </c>
      <c r="L215" s="4">
        <v>5042000</v>
      </c>
      <c r="M215" s="4">
        <v>211</v>
      </c>
      <c r="N215" s="4">
        <f t="shared" si="22"/>
        <v>16934.085944977665</v>
      </c>
      <c r="O215" s="4">
        <v>1180000000</v>
      </c>
      <c r="P215" s="4">
        <v>3869000</v>
      </c>
      <c r="Q215" s="4">
        <v>5042000</v>
      </c>
      <c r="R215" s="5">
        <v>211</v>
      </c>
      <c r="S215" s="4"/>
      <c r="T215" s="4">
        <v>2360000000</v>
      </c>
      <c r="V215" s="4">
        <f t="shared" si="23"/>
        <v>16934.085944977665</v>
      </c>
      <c r="W215" s="4"/>
      <c r="X215" s="9" t="str">
        <f t="shared" si="26"/>
        <v>a</v>
      </c>
      <c r="Y215" s="9" t="str">
        <f t="shared" si="26"/>
        <v>a</v>
      </c>
      <c r="Z215" s="31">
        <f t="shared" si="24"/>
        <v>1431.6439999999998</v>
      </c>
      <c r="AA215" s="31">
        <f t="shared" si="25"/>
        <v>1431.6439999999998</v>
      </c>
    </row>
    <row r="216" spans="1:27" ht="13">
      <c r="A216" s="9">
        <v>214</v>
      </c>
      <c r="B216" s="4" t="s">
        <v>1256</v>
      </c>
      <c r="C216" s="51"/>
      <c r="D216" s="8">
        <v>234</v>
      </c>
      <c r="E216" s="8">
        <v>610</v>
      </c>
      <c r="F216" s="8"/>
      <c r="G216" s="5">
        <v>16</v>
      </c>
      <c r="H216" s="5">
        <v>16</v>
      </c>
      <c r="I216" s="4">
        <v>29900</v>
      </c>
      <c r="J216" s="4">
        <v>1318000000</v>
      </c>
      <c r="K216" s="4">
        <v>4321000</v>
      </c>
      <c r="L216" s="4">
        <v>5647000</v>
      </c>
      <c r="M216" s="4">
        <v>210</v>
      </c>
      <c r="N216" s="4">
        <f t="shared" si="22"/>
        <v>19034.931193790682</v>
      </c>
      <c r="O216" s="4">
        <v>1318000000</v>
      </c>
      <c r="P216" s="4">
        <v>4321000</v>
      </c>
      <c r="Q216" s="4">
        <v>5647000</v>
      </c>
      <c r="R216" s="5">
        <v>210</v>
      </c>
      <c r="S216" s="4"/>
      <c r="T216" s="4">
        <v>2636000000</v>
      </c>
      <c r="V216" s="4">
        <f t="shared" si="23"/>
        <v>19034.931193790682</v>
      </c>
      <c r="W216" s="4"/>
      <c r="X216" s="9" t="str">
        <f t="shared" si="26"/>
        <v>a</v>
      </c>
      <c r="Y216" s="9" t="str">
        <f t="shared" si="26"/>
        <v>a</v>
      </c>
      <c r="Z216" s="31">
        <f t="shared" si="24"/>
        <v>2048</v>
      </c>
      <c r="AA216" s="31">
        <f t="shared" si="25"/>
        <v>2048</v>
      </c>
    </row>
    <row r="217" spans="1:27" ht="13">
      <c r="A217" s="9">
        <v>215</v>
      </c>
      <c r="B217" s="4" t="s">
        <v>1257</v>
      </c>
      <c r="C217" s="51"/>
      <c r="D217" s="8">
        <v>291</v>
      </c>
      <c r="E217" s="8">
        <v>610</v>
      </c>
      <c r="F217" s="8"/>
      <c r="G217" s="5">
        <v>20</v>
      </c>
      <c r="H217" s="5">
        <v>20</v>
      </c>
      <c r="I217" s="4">
        <v>37100</v>
      </c>
      <c r="J217" s="4">
        <v>1615000000</v>
      </c>
      <c r="K217" s="4">
        <v>5295000</v>
      </c>
      <c r="L217" s="4">
        <v>6965000</v>
      </c>
      <c r="M217" s="4">
        <v>209</v>
      </c>
      <c r="N217" s="4">
        <f t="shared" si="22"/>
        <v>23618.593554837269</v>
      </c>
      <c r="O217" s="4">
        <v>1615000000</v>
      </c>
      <c r="P217" s="4">
        <v>5295000</v>
      </c>
      <c r="Q217" s="4">
        <v>6965000</v>
      </c>
      <c r="R217" s="5">
        <v>209</v>
      </c>
      <c r="S217" s="4"/>
      <c r="T217" s="4">
        <v>3230000000</v>
      </c>
      <c r="V217" s="4">
        <f t="shared" si="23"/>
        <v>23618.593554837269</v>
      </c>
      <c r="W217" s="4"/>
      <c r="X217" s="9" t="str">
        <f t="shared" si="26"/>
        <v>a</v>
      </c>
      <c r="Y217" s="9" t="str">
        <f t="shared" si="26"/>
        <v>a</v>
      </c>
      <c r="Z217" s="31">
        <f t="shared" si="24"/>
        <v>4000</v>
      </c>
      <c r="AA217" s="31">
        <f t="shared" si="25"/>
        <v>4000</v>
      </c>
    </row>
    <row r="218" spans="1:27" ht="13">
      <c r="A218" s="9">
        <v>216</v>
      </c>
      <c r="B218" s="4" t="s">
        <v>1258</v>
      </c>
      <c r="C218" s="51"/>
      <c r="D218" s="8">
        <v>361</v>
      </c>
      <c r="E218" s="8">
        <v>610</v>
      </c>
      <c r="F218" s="8"/>
      <c r="G218" s="5">
        <v>25</v>
      </c>
      <c r="H218" s="5">
        <v>25</v>
      </c>
      <c r="I218" s="4">
        <v>45900</v>
      </c>
      <c r="J218" s="4">
        <v>1969000000</v>
      </c>
      <c r="K218" s="4">
        <v>6456000</v>
      </c>
      <c r="L218" s="4">
        <v>8561000</v>
      </c>
      <c r="M218" s="4">
        <v>207</v>
      </c>
      <c r="N218" s="4">
        <f t="shared" si="22"/>
        <v>29220.847551671985</v>
      </c>
      <c r="O218" s="4">
        <v>1969000000</v>
      </c>
      <c r="P218" s="4">
        <v>6456000</v>
      </c>
      <c r="Q218" s="4">
        <v>8561000</v>
      </c>
      <c r="R218" s="5">
        <v>207</v>
      </c>
      <c r="S218" s="4"/>
      <c r="T218" s="4">
        <v>3938000000</v>
      </c>
      <c r="V218" s="4">
        <f t="shared" si="23"/>
        <v>29220.847551671985</v>
      </c>
      <c r="W218" s="4"/>
      <c r="X218" s="9" t="str">
        <f t="shared" si="26"/>
        <v>a</v>
      </c>
      <c r="Y218" s="9" t="str">
        <f t="shared" si="26"/>
        <v>a</v>
      </c>
      <c r="Z218" s="31">
        <f t="shared" si="24"/>
        <v>7812.5</v>
      </c>
      <c r="AA218" s="31">
        <f t="shared" si="25"/>
        <v>7812.5</v>
      </c>
    </row>
    <row r="219" spans="1:27" ht="13">
      <c r="A219" s="9">
        <v>217</v>
      </c>
      <c r="B219" s="4" t="s">
        <v>1259</v>
      </c>
      <c r="C219" s="51"/>
      <c r="D219" s="8">
        <v>402</v>
      </c>
      <c r="E219" s="8">
        <v>610</v>
      </c>
      <c r="F219" s="8"/>
      <c r="G219" s="5">
        <v>28</v>
      </c>
      <c r="H219" s="5">
        <v>28</v>
      </c>
      <c r="I219" s="4">
        <v>51200</v>
      </c>
      <c r="J219" s="4">
        <v>2172660000</v>
      </c>
      <c r="K219" s="4">
        <v>7123000</v>
      </c>
      <c r="L219" s="4">
        <v>9492000</v>
      </c>
      <c r="M219" s="4">
        <v>206</v>
      </c>
      <c r="N219" s="4">
        <f t="shared" si="22"/>
        <v>32594.932345220164</v>
      </c>
      <c r="O219" s="4">
        <v>2172660000</v>
      </c>
      <c r="P219" s="4">
        <v>7123000</v>
      </c>
      <c r="Q219" s="4">
        <v>9492000</v>
      </c>
      <c r="R219" s="5">
        <v>206</v>
      </c>
      <c r="S219" s="4"/>
      <c r="T219" s="4">
        <v>4345310000</v>
      </c>
      <c r="V219" s="4">
        <f t="shared" si="23"/>
        <v>32594.932345220164</v>
      </c>
      <c r="W219" s="4"/>
      <c r="X219" s="9" t="str">
        <f t="shared" si="26"/>
        <v>a</v>
      </c>
      <c r="Y219" s="9" t="str">
        <f t="shared" si="26"/>
        <v>a</v>
      </c>
      <c r="Z219" s="31">
        <f t="shared" si="24"/>
        <v>10976</v>
      </c>
      <c r="AA219" s="31">
        <f t="shared" si="25"/>
        <v>10976</v>
      </c>
    </row>
    <row r="220" spans="1:27" ht="13">
      <c r="A220" s="9">
        <v>218</v>
      </c>
      <c r="B220" s="4" t="s">
        <v>1260</v>
      </c>
      <c r="C220" s="51"/>
      <c r="D220" s="8">
        <v>429</v>
      </c>
      <c r="E220" s="8">
        <v>610</v>
      </c>
      <c r="F220" s="8"/>
      <c r="G220" s="5">
        <v>30</v>
      </c>
      <c r="H220" s="5">
        <v>30</v>
      </c>
      <c r="I220" s="4">
        <v>54700</v>
      </c>
      <c r="J220" s="4">
        <v>2305000000</v>
      </c>
      <c r="K220" s="4">
        <v>7557000</v>
      </c>
      <c r="L220" s="4">
        <v>10100000</v>
      </c>
      <c r="M220" s="4">
        <v>205</v>
      </c>
      <c r="N220" s="4">
        <f t="shared" si="22"/>
        <v>34823.101548506704</v>
      </c>
      <c r="O220" s="4">
        <v>2305000000</v>
      </c>
      <c r="P220" s="4">
        <v>7557000</v>
      </c>
      <c r="Q220" s="4">
        <v>10100000</v>
      </c>
      <c r="R220" s="5">
        <v>205</v>
      </c>
      <c r="S220" s="4"/>
      <c r="T220" s="4">
        <v>4609999999.999999</v>
      </c>
      <c r="V220" s="4">
        <f t="shared" si="23"/>
        <v>34823.101548506704</v>
      </c>
      <c r="W220" s="4"/>
      <c r="X220" s="9" t="str">
        <f t="shared" si="26"/>
        <v>a</v>
      </c>
      <c r="Y220" s="9" t="str">
        <f t="shared" si="26"/>
        <v>a</v>
      </c>
      <c r="Z220" s="31">
        <f t="shared" si="24"/>
        <v>13500</v>
      </c>
      <c r="AA220" s="31">
        <f t="shared" si="25"/>
        <v>13500</v>
      </c>
    </row>
    <row r="221" spans="1:27" ht="13">
      <c r="A221" s="9">
        <v>219</v>
      </c>
      <c r="B221" s="4" t="s">
        <v>1261</v>
      </c>
      <c r="C221" s="51"/>
      <c r="D221" s="8">
        <v>456</v>
      </c>
      <c r="E221" s="8">
        <v>610</v>
      </c>
      <c r="F221" s="8"/>
      <c r="G221" s="5">
        <v>32</v>
      </c>
      <c r="H221" s="5">
        <v>32</v>
      </c>
      <c r="I221" s="4">
        <v>58100</v>
      </c>
      <c r="J221" s="4">
        <v>2434010000</v>
      </c>
      <c r="K221" s="4">
        <v>7980000</v>
      </c>
      <c r="L221" s="4">
        <v>10702000</v>
      </c>
      <c r="M221" s="4">
        <v>205</v>
      </c>
      <c r="N221" s="4">
        <f t="shared" si="22"/>
        <v>36987.60877455648</v>
      </c>
      <c r="O221" s="4">
        <v>2434010000</v>
      </c>
      <c r="P221" s="4">
        <v>7980000</v>
      </c>
      <c r="Q221" s="4">
        <v>10702000</v>
      </c>
      <c r="R221" s="5">
        <v>205</v>
      </c>
      <c r="S221" s="4"/>
      <c r="T221" s="4">
        <v>4868020000</v>
      </c>
      <c r="V221" s="4">
        <f t="shared" si="23"/>
        <v>36987.60877455648</v>
      </c>
      <c r="W221" s="4"/>
      <c r="X221" s="9" t="str">
        <f t="shared" si="26"/>
        <v>a</v>
      </c>
      <c r="Y221" s="9" t="str">
        <f t="shared" si="26"/>
        <v>a</v>
      </c>
      <c r="Z221" s="31">
        <f t="shared" si="24"/>
        <v>16384</v>
      </c>
      <c r="AA221" s="31">
        <f t="shared" si="25"/>
        <v>16384</v>
      </c>
    </row>
    <row r="222" spans="1:27" ht="13">
      <c r="A222" s="9">
        <v>220</v>
      </c>
      <c r="B222" s="4" t="s">
        <v>1262</v>
      </c>
      <c r="C222" s="51"/>
      <c r="D222" s="8">
        <v>510</v>
      </c>
      <c r="E222" s="8">
        <v>610</v>
      </c>
      <c r="F222" s="8"/>
      <c r="G222" s="5">
        <v>36</v>
      </c>
      <c r="H222" s="5">
        <v>36</v>
      </c>
      <c r="I222" s="4">
        <v>64900</v>
      </c>
      <c r="J222" s="4">
        <v>2684130000</v>
      </c>
      <c r="K222" s="4">
        <v>8800000</v>
      </c>
      <c r="L222" s="4">
        <v>11877000</v>
      </c>
      <c r="M222" s="4">
        <v>203</v>
      </c>
      <c r="N222" s="4">
        <f t="shared" si="22"/>
        <v>41316.623226656033</v>
      </c>
      <c r="O222" s="4">
        <v>2684130000</v>
      </c>
      <c r="P222" s="4">
        <v>8800000</v>
      </c>
      <c r="Q222" s="4">
        <v>11877000</v>
      </c>
      <c r="R222" s="5">
        <v>203</v>
      </c>
      <c r="S222" s="4"/>
      <c r="T222" s="4">
        <v>5368250000</v>
      </c>
      <c r="V222" s="4">
        <f t="shared" si="23"/>
        <v>41316.623226656033</v>
      </c>
      <c r="W222" s="4"/>
      <c r="X222" s="9" t="str">
        <f t="shared" si="26"/>
        <v>a</v>
      </c>
      <c r="Y222" s="9" t="str">
        <f t="shared" si="26"/>
        <v>a</v>
      </c>
      <c r="Z222" s="31">
        <f t="shared" si="24"/>
        <v>23328</v>
      </c>
      <c r="AA222" s="31">
        <f t="shared" si="25"/>
        <v>23328</v>
      </c>
    </row>
    <row r="223" spans="1:27" ht="13">
      <c r="A223" s="9">
        <v>221</v>
      </c>
      <c r="B223" s="4" t="s">
        <v>1263</v>
      </c>
      <c r="C223" s="51"/>
      <c r="D223" s="8">
        <v>562</v>
      </c>
      <c r="E223" s="8">
        <v>610</v>
      </c>
      <c r="F223" s="8"/>
      <c r="G223" s="5">
        <v>40</v>
      </c>
      <c r="H223" s="5">
        <v>40</v>
      </c>
      <c r="I223" s="4">
        <v>71600</v>
      </c>
      <c r="J223" s="4">
        <v>2923000000</v>
      </c>
      <c r="K223" s="4">
        <v>9585000</v>
      </c>
      <c r="L223" s="4">
        <v>13020000</v>
      </c>
      <c r="M223" s="4">
        <v>202</v>
      </c>
      <c r="N223" s="4">
        <f t="shared" si="22"/>
        <v>45581.975701518822</v>
      </c>
      <c r="O223" s="4">
        <v>2923000000</v>
      </c>
      <c r="P223" s="4">
        <v>9585000</v>
      </c>
      <c r="Q223" s="4">
        <v>13020000</v>
      </c>
      <c r="R223" s="5">
        <v>202</v>
      </c>
      <c r="S223" s="4"/>
      <c r="T223" s="4">
        <v>5850000000</v>
      </c>
      <c r="V223" s="4">
        <f t="shared" si="23"/>
        <v>45581.975701518822</v>
      </c>
      <c r="W223" s="4"/>
      <c r="X223" s="9" t="str">
        <f t="shared" ref="X223:Y242" si="27">IF(fy=460,"a0","a")</f>
        <v>a</v>
      </c>
      <c r="Y223" s="9" t="str">
        <f t="shared" si="27"/>
        <v>a</v>
      </c>
      <c r="Z223" s="31">
        <f t="shared" si="24"/>
        <v>32000</v>
      </c>
      <c r="AA223" s="31">
        <f t="shared" si="25"/>
        <v>32000</v>
      </c>
    </row>
    <row r="224" spans="1:27" ht="13">
      <c r="A224" s="9">
        <v>222</v>
      </c>
      <c r="B224" s="4" t="s">
        <v>1264</v>
      </c>
      <c r="C224" s="51"/>
      <c r="D224" s="8">
        <v>627</v>
      </c>
      <c r="E224" s="8">
        <v>610</v>
      </c>
      <c r="F224" s="8"/>
      <c r="G224" s="5">
        <v>45</v>
      </c>
      <c r="H224" s="5">
        <v>45</v>
      </c>
      <c r="I224" s="4">
        <v>79900</v>
      </c>
      <c r="J224" s="4">
        <v>3207480000</v>
      </c>
      <c r="K224" s="4">
        <v>10516000</v>
      </c>
      <c r="L224" s="4">
        <v>14396000</v>
      </c>
      <c r="M224" s="4">
        <v>200</v>
      </c>
      <c r="N224" s="4">
        <f t="shared" si="22"/>
        <v>50865.919812169748</v>
      </c>
      <c r="O224" s="4">
        <v>3207480000</v>
      </c>
      <c r="P224" s="4">
        <v>10516000</v>
      </c>
      <c r="Q224" s="4">
        <v>14396000</v>
      </c>
      <c r="R224" s="5">
        <v>200</v>
      </c>
      <c r="S224" s="4"/>
      <c r="T224" s="4">
        <v>6414960000</v>
      </c>
      <c r="V224" s="4">
        <f t="shared" si="23"/>
        <v>50865.919812169748</v>
      </c>
      <c r="W224" s="4"/>
      <c r="X224" s="9" t="str">
        <f t="shared" si="27"/>
        <v>a</v>
      </c>
      <c r="Y224" s="9" t="str">
        <f t="shared" si="27"/>
        <v>a</v>
      </c>
      <c r="Z224" s="31">
        <f t="shared" si="24"/>
        <v>45562.5</v>
      </c>
      <c r="AA224" s="31">
        <f t="shared" si="25"/>
        <v>45562.5</v>
      </c>
    </row>
    <row r="225" spans="1:27" ht="13">
      <c r="A225" s="9">
        <v>223</v>
      </c>
      <c r="B225" s="4" t="s">
        <v>1265</v>
      </c>
      <c r="C225" s="51"/>
      <c r="D225" s="8">
        <v>691</v>
      </c>
      <c r="E225" s="8">
        <v>610</v>
      </c>
      <c r="F225" s="8"/>
      <c r="G225" s="5">
        <v>50</v>
      </c>
      <c r="H225" s="5">
        <v>50</v>
      </c>
      <c r="I225" s="4">
        <v>88000</v>
      </c>
      <c r="J225" s="4">
        <v>3476000000</v>
      </c>
      <c r="K225" s="4">
        <v>11400000</v>
      </c>
      <c r="L225" s="4">
        <v>15720000</v>
      </c>
      <c r="M225" s="4">
        <v>199</v>
      </c>
      <c r="N225" s="4">
        <f t="shared" si="22"/>
        <v>56022.539968347162</v>
      </c>
      <c r="O225" s="4">
        <v>3476000000</v>
      </c>
      <c r="P225" s="4">
        <v>11400000</v>
      </c>
      <c r="Q225" s="4">
        <v>15720000</v>
      </c>
      <c r="R225" s="5">
        <v>199</v>
      </c>
      <c r="S225" s="4"/>
      <c r="T225" s="4">
        <v>6950000000</v>
      </c>
      <c r="V225" s="4">
        <f t="shared" si="23"/>
        <v>56022.539968347162</v>
      </c>
      <c r="W225" s="4"/>
      <c r="X225" s="9" t="str">
        <f t="shared" si="27"/>
        <v>a</v>
      </c>
      <c r="Y225" s="9" t="str">
        <f t="shared" si="27"/>
        <v>a</v>
      </c>
      <c r="Z225" s="31">
        <f t="shared" si="24"/>
        <v>62500</v>
      </c>
      <c r="AA225" s="31">
        <f t="shared" si="25"/>
        <v>62500</v>
      </c>
    </row>
    <row r="226" spans="1:27" ht="13">
      <c r="A226" s="9">
        <v>224</v>
      </c>
      <c r="B226" s="4" t="s">
        <v>1266</v>
      </c>
      <c r="C226" s="51"/>
      <c r="D226" s="8">
        <v>753</v>
      </c>
      <c r="E226" s="8">
        <v>610</v>
      </c>
      <c r="F226" s="8"/>
      <c r="G226" s="5">
        <v>55</v>
      </c>
      <c r="H226" s="5">
        <v>55</v>
      </c>
      <c r="I226" s="4">
        <v>95900</v>
      </c>
      <c r="J226" s="4">
        <v>3728600000</v>
      </c>
      <c r="K226" s="4">
        <v>12225000</v>
      </c>
      <c r="L226" s="4">
        <v>16997000</v>
      </c>
      <c r="M226" s="4">
        <v>197</v>
      </c>
      <c r="N226" s="4">
        <f t="shared" si="22"/>
        <v>61051.83617005105</v>
      </c>
      <c r="O226" s="4">
        <v>3728600000</v>
      </c>
      <c r="P226" s="4">
        <v>12225000</v>
      </c>
      <c r="Q226" s="4">
        <v>16997000</v>
      </c>
      <c r="R226" s="5">
        <v>197</v>
      </c>
      <c r="S226" s="4"/>
      <c r="T226" s="4">
        <v>7457200000</v>
      </c>
      <c r="V226" s="4">
        <f t="shared" si="23"/>
        <v>61051.83617005105</v>
      </c>
      <c r="W226" s="4"/>
      <c r="X226" s="9" t="str">
        <f t="shared" si="27"/>
        <v>a</v>
      </c>
      <c r="Y226" s="9" t="str">
        <f t="shared" si="27"/>
        <v>a</v>
      </c>
      <c r="Z226" s="31">
        <f t="shared" si="24"/>
        <v>83187.5</v>
      </c>
      <c r="AA226" s="31">
        <f t="shared" si="25"/>
        <v>83187.5</v>
      </c>
    </row>
    <row r="227" spans="1:27" ht="13">
      <c r="A227" s="9">
        <v>225</v>
      </c>
      <c r="B227" s="4" t="s">
        <v>1267</v>
      </c>
      <c r="C227" s="51"/>
      <c r="D227" s="8">
        <v>814</v>
      </c>
      <c r="E227" s="8">
        <v>610</v>
      </c>
      <c r="F227" s="8"/>
      <c r="G227" s="5">
        <v>60</v>
      </c>
      <c r="H227" s="5">
        <v>60</v>
      </c>
      <c r="I227" s="4">
        <v>103700</v>
      </c>
      <c r="J227" s="4">
        <v>3966770000</v>
      </c>
      <c r="K227" s="4">
        <v>13006000</v>
      </c>
      <c r="L227" s="4">
        <v>18222000</v>
      </c>
      <c r="M227" s="4">
        <v>196</v>
      </c>
      <c r="N227" s="4">
        <f t="shared" si="22"/>
        <v>66017.470394518183</v>
      </c>
      <c r="O227" s="4">
        <v>3966770000</v>
      </c>
      <c r="P227" s="4">
        <v>13006000</v>
      </c>
      <c r="Q227" s="4">
        <v>18222000</v>
      </c>
      <c r="R227" s="5">
        <v>196</v>
      </c>
      <c r="S227" s="4"/>
      <c r="T227" s="4">
        <v>7933539999.999999</v>
      </c>
      <c r="V227" s="4">
        <f t="shared" si="23"/>
        <v>66017.470394518183</v>
      </c>
      <c r="W227" s="4"/>
      <c r="X227" s="9" t="str">
        <f t="shared" si="27"/>
        <v>a</v>
      </c>
      <c r="Y227" s="9" t="str">
        <f t="shared" si="27"/>
        <v>a</v>
      </c>
      <c r="Z227" s="31">
        <f t="shared" si="24"/>
        <v>108000</v>
      </c>
      <c r="AA227" s="31">
        <f t="shared" si="25"/>
        <v>108000</v>
      </c>
    </row>
    <row r="228" spans="1:27" ht="13">
      <c r="A228" s="9">
        <v>226</v>
      </c>
      <c r="B228" s="4" t="s">
        <v>1268</v>
      </c>
      <c r="C228" s="51"/>
      <c r="D228" s="8">
        <v>109</v>
      </c>
      <c r="E228" s="8">
        <v>711</v>
      </c>
      <c r="F228" s="8"/>
      <c r="G228" s="5">
        <v>6.3</v>
      </c>
      <c r="H228" s="5">
        <v>6.3</v>
      </c>
      <c r="I228" s="4">
        <v>13900</v>
      </c>
      <c r="J228" s="4">
        <v>865900000</v>
      </c>
      <c r="K228" s="4">
        <v>2436000</v>
      </c>
      <c r="L228" s="4">
        <v>3129000</v>
      </c>
      <c r="M228" s="4">
        <v>249</v>
      </c>
      <c r="N228" s="4">
        <f t="shared" si="22"/>
        <v>8849.0148359093819</v>
      </c>
      <c r="O228" s="4">
        <v>865900000</v>
      </c>
      <c r="P228" s="4">
        <v>2436000</v>
      </c>
      <c r="Q228" s="4">
        <v>3129000</v>
      </c>
      <c r="R228" s="5">
        <v>249</v>
      </c>
      <c r="S228" s="4"/>
      <c r="T228" s="4">
        <v>1730000000</v>
      </c>
      <c r="V228" s="4">
        <f t="shared" si="23"/>
        <v>8849.0148359093819</v>
      </c>
      <c r="W228" s="4"/>
      <c r="X228" s="9" t="str">
        <f t="shared" si="27"/>
        <v>a</v>
      </c>
      <c r="Y228" s="9" t="str">
        <f t="shared" si="27"/>
        <v>a</v>
      </c>
      <c r="Z228" s="31">
        <f t="shared" si="24"/>
        <v>125.02349999999998</v>
      </c>
      <c r="AA228" s="31">
        <f t="shared" si="25"/>
        <v>125.02349999999998</v>
      </c>
    </row>
    <row r="229" spans="1:27" ht="13">
      <c r="A229" s="9">
        <v>227</v>
      </c>
      <c r="B229" s="4" t="s">
        <v>1269</v>
      </c>
      <c r="C229" s="51"/>
      <c r="D229" s="8">
        <v>139</v>
      </c>
      <c r="E229" s="8">
        <v>711</v>
      </c>
      <c r="F229" s="8"/>
      <c r="G229" s="5">
        <v>8</v>
      </c>
      <c r="H229" s="5">
        <v>8</v>
      </c>
      <c r="I229" s="4">
        <v>17700</v>
      </c>
      <c r="J229" s="4">
        <v>1092000000</v>
      </c>
      <c r="K229" s="4">
        <v>3071000</v>
      </c>
      <c r="L229" s="4">
        <v>3954000</v>
      </c>
      <c r="M229" s="4">
        <v>249</v>
      </c>
      <c r="N229" s="4">
        <f t="shared" si="22"/>
        <v>11268.16997090619</v>
      </c>
      <c r="O229" s="4">
        <v>1092000000</v>
      </c>
      <c r="P229" s="4">
        <v>3071000</v>
      </c>
      <c r="Q229" s="4">
        <v>3954000</v>
      </c>
      <c r="R229" s="5">
        <v>249</v>
      </c>
      <c r="S229" s="4"/>
      <c r="T229" s="4">
        <v>2180000000</v>
      </c>
      <c r="V229" s="4">
        <f t="shared" si="23"/>
        <v>11268.16997090619</v>
      </c>
      <c r="W229" s="4"/>
      <c r="X229" s="9" t="str">
        <f t="shared" si="27"/>
        <v>a</v>
      </c>
      <c r="Y229" s="9" t="str">
        <f t="shared" si="27"/>
        <v>a</v>
      </c>
      <c r="Z229" s="31">
        <f t="shared" si="24"/>
        <v>256</v>
      </c>
      <c r="AA229" s="31">
        <f t="shared" si="25"/>
        <v>256</v>
      </c>
    </row>
    <row r="230" spans="1:27" ht="13">
      <c r="A230" s="9">
        <v>228</v>
      </c>
      <c r="B230" s="4" t="s">
        <v>1270</v>
      </c>
      <c r="C230" s="51"/>
      <c r="D230" s="8">
        <v>173</v>
      </c>
      <c r="E230" s="8">
        <v>711</v>
      </c>
      <c r="F230" s="8"/>
      <c r="G230" s="5">
        <v>10</v>
      </c>
      <c r="H230" s="5">
        <v>10</v>
      </c>
      <c r="I230" s="4">
        <v>22000</v>
      </c>
      <c r="J230" s="4">
        <v>1353000000</v>
      </c>
      <c r="K230" s="4">
        <v>3806000</v>
      </c>
      <c r="L230" s="4">
        <v>4914000</v>
      </c>
      <c r="M230" s="4">
        <v>248</v>
      </c>
      <c r="N230" s="4">
        <f t="shared" si="22"/>
        <v>14005.634992086791</v>
      </c>
      <c r="O230" s="4">
        <v>1353000000</v>
      </c>
      <c r="P230" s="4">
        <v>3806000</v>
      </c>
      <c r="Q230" s="4">
        <v>4914000</v>
      </c>
      <c r="R230" s="5">
        <v>248</v>
      </c>
      <c r="S230" s="4"/>
      <c r="T230" s="4">
        <v>2706000000</v>
      </c>
      <c r="V230" s="4">
        <f t="shared" si="23"/>
        <v>14005.634992086791</v>
      </c>
      <c r="W230" s="4"/>
      <c r="X230" s="9" t="str">
        <f t="shared" si="27"/>
        <v>a</v>
      </c>
      <c r="Y230" s="9" t="str">
        <f t="shared" si="27"/>
        <v>a</v>
      </c>
      <c r="Z230" s="31">
        <f t="shared" si="24"/>
        <v>500</v>
      </c>
      <c r="AA230" s="31">
        <f t="shared" si="25"/>
        <v>500</v>
      </c>
    </row>
    <row r="231" spans="1:27" ht="13">
      <c r="A231" s="9">
        <v>229</v>
      </c>
      <c r="B231" s="4" t="s">
        <v>1271</v>
      </c>
      <c r="C231" s="51"/>
      <c r="D231" s="8">
        <v>215</v>
      </c>
      <c r="E231" s="8">
        <v>711</v>
      </c>
      <c r="F231" s="8"/>
      <c r="G231" s="5">
        <v>12.5</v>
      </c>
      <c r="H231" s="5">
        <v>12.5</v>
      </c>
      <c r="I231" s="4">
        <v>27400</v>
      </c>
      <c r="J231" s="4">
        <v>1673000000</v>
      </c>
      <c r="K231" s="4">
        <v>4707000</v>
      </c>
      <c r="L231" s="4">
        <v>6099000</v>
      </c>
      <c r="M231" s="4">
        <v>247</v>
      </c>
      <c r="N231" s="4">
        <f t="shared" si="22"/>
        <v>17443.38176287173</v>
      </c>
      <c r="O231" s="4">
        <v>1673000000</v>
      </c>
      <c r="P231" s="4">
        <v>4707000</v>
      </c>
      <c r="Q231" s="4">
        <v>6099000</v>
      </c>
      <c r="R231" s="5">
        <v>247</v>
      </c>
      <c r="S231" s="4"/>
      <c r="T231" s="4">
        <v>3347000000</v>
      </c>
      <c r="V231" s="4">
        <f t="shared" si="23"/>
        <v>17443.38176287173</v>
      </c>
      <c r="W231" s="4"/>
      <c r="X231" s="9" t="str">
        <f t="shared" si="27"/>
        <v>a</v>
      </c>
      <c r="Y231" s="9" t="str">
        <f t="shared" si="27"/>
        <v>a</v>
      </c>
      <c r="Z231" s="31">
        <f t="shared" si="24"/>
        <v>976.5625</v>
      </c>
      <c r="AA231" s="31">
        <f t="shared" si="25"/>
        <v>976.5625</v>
      </c>
    </row>
    <row r="232" spans="1:27" ht="13">
      <c r="A232" s="9">
        <v>230</v>
      </c>
      <c r="B232" s="4" t="s">
        <v>1272</v>
      </c>
      <c r="C232" s="51"/>
      <c r="D232" s="8">
        <v>244</v>
      </c>
      <c r="E232" s="8">
        <v>711</v>
      </c>
      <c r="F232" s="8"/>
      <c r="G232" s="5">
        <v>14.2</v>
      </c>
      <c r="H232" s="5">
        <v>14.2</v>
      </c>
      <c r="I232" s="4">
        <v>31100</v>
      </c>
      <c r="J232" s="4">
        <v>1887000000</v>
      </c>
      <c r="K232" s="4">
        <v>5309000</v>
      </c>
      <c r="L232" s="4">
        <v>6895000</v>
      </c>
      <c r="M232" s="4">
        <v>246</v>
      </c>
      <c r="N232" s="4">
        <f t="shared" si="22"/>
        <v>19798.874920631781</v>
      </c>
      <c r="O232" s="4">
        <v>1887000000</v>
      </c>
      <c r="P232" s="4">
        <v>5309000</v>
      </c>
      <c r="Q232" s="4">
        <v>6895000</v>
      </c>
      <c r="R232" s="5">
        <v>246</v>
      </c>
      <c r="S232" s="4"/>
      <c r="T232" s="4">
        <v>3775000000</v>
      </c>
      <c r="V232" s="4">
        <f t="shared" si="23"/>
        <v>19798.874920631781</v>
      </c>
      <c r="W232" s="4"/>
      <c r="X232" s="9" t="str">
        <f t="shared" si="27"/>
        <v>a</v>
      </c>
      <c r="Y232" s="9" t="str">
        <f t="shared" si="27"/>
        <v>a</v>
      </c>
      <c r="Z232" s="31">
        <f t="shared" si="24"/>
        <v>1431.6439999999998</v>
      </c>
      <c r="AA232" s="31">
        <f t="shared" si="25"/>
        <v>1431.6439999999998</v>
      </c>
    </row>
    <row r="233" spans="1:27" ht="13">
      <c r="A233" s="9">
        <v>231</v>
      </c>
      <c r="B233" s="4" t="s">
        <v>1273</v>
      </c>
      <c r="C233" s="51"/>
      <c r="D233" s="8">
        <v>274</v>
      </c>
      <c r="E233" s="8">
        <v>711</v>
      </c>
      <c r="F233" s="8"/>
      <c r="G233" s="5">
        <v>16</v>
      </c>
      <c r="H233" s="5">
        <v>16</v>
      </c>
      <c r="I233" s="4">
        <v>34900</v>
      </c>
      <c r="J233" s="4">
        <v>2110000000</v>
      </c>
      <c r="K233" s="4">
        <v>5936000</v>
      </c>
      <c r="L233" s="4">
        <v>7730000</v>
      </c>
      <c r="M233" s="4">
        <v>246</v>
      </c>
      <c r="N233" s="4">
        <f t="shared" si="22"/>
        <v>22218.030055628591</v>
      </c>
      <c r="O233" s="4">
        <v>2110000000</v>
      </c>
      <c r="P233" s="4">
        <v>5936000</v>
      </c>
      <c r="Q233" s="4">
        <v>7730000</v>
      </c>
      <c r="R233" s="5">
        <v>246</v>
      </c>
      <c r="S233" s="4"/>
      <c r="T233" s="4">
        <v>4221000000</v>
      </c>
      <c r="V233" s="4">
        <f t="shared" si="23"/>
        <v>22218.030055628591</v>
      </c>
      <c r="W233" s="4"/>
      <c r="X233" s="9" t="str">
        <f t="shared" si="27"/>
        <v>a</v>
      </c>
      <c r="Y233" s="9" t="str">
        <f t="shared" si="27"/>
        <v>a</v>
      </c>
      <c r="Z233" s="31">
        <f t="shared" si="24"/>
        <v>2048</v>
      </c>
      <c r="AA233" s="31">
        <f t="shared" si="25"/>
        <v>2048</v>
      </c>
    </row>
    <row r="234" spans="1:27" ht="13">
      <c r="A234" s="9">
        <v>232</v>
      </c>
      <c r="B234" s="4" t="s">
        <v>1274</v>
      </c>
      <c r="C234" s="51"/>
      <c r="D234" s="8">
        <v>341</v>
      </c>
      <c r="E234" s="8">
        <v>711</v>
      </c>
      <c r="F234" s="8"/>
      <c r="G234" s="5">
        <v>20</v>
      </c>
      <c r="H234" s="5">
        <v>20</v>
      </c>
      <c r="I234" s="4">
        <v>43400</v>
      </c>
      <c r="J234" s="4">
        <v>2594000000</v>
      </c>
      <c r="K234" s="4">
        <v>7295000</v>
      </c>
      <c r="L234" s="4">
        <v>9552000</v>
      </c>
      <c r="M234" s="4">
        <v>244</v>
      </c>
      <c r="N234" s="4">
        <f t="shared" si="22"/>
        <v>27629.298120753032</v>
      </c>
      <c r="O234" s="4">
        <v>2594000000</v>
      </c>
      <c r="P234" s="4">
        <v>7295000</v>
      </c>
      <c r="Q234" s="4">
        <v>9552000</v>
      </c>
      <c r="R234" s="5">
        <v>244</v>
      </c>
      <c r="S234" s="4"/>
      <c r="T234" s="4">
        <v>5187000000</v>
      </c>
      <c r="V234" s="4">
        <f t="shared" si="23"/>
        <v>27629.298120753032</v>
      </c>
      <c r="W234" s="4"/>
      <c r="X234" s="9" t="str">
        <f t="shared" si="27"/>
        <v>a</v>
      </c>
      <c r="Y234" s="9" t="str">
        <f t="shared" si="27"/>
        <v>a</v>
      </c>
      <c r="Z234" s="31">
        <f t="shared" si="24"/>
        <v>4000</v>
      </c>
      <c r="AA234" s="31">
        <f t="shared" si="25"/>
        <v>4000</v>
      </c>
    </row>
    <row r="235" spans="1:27" ht="13">
      <c r="A235" s="9">
        <v>233</v>
      </c>
      <c r="B235" s="4" t="s">
        <v>1275</v>
      </c>
      <c r="C235" s="51"/>
      <c r="D235" s="8">
        <v>423</v>
      </c>
      <c r="E235" s="8">
        <v>711</v>
      </c>
      <c r="F235" s="8"/>
      <c r="G235" s="5">
        <v>25</v>
      </c>
      <c r="H235" s="5">
        <v>25</v>
      </c>
      <c r="I235" s="4">
        <v>53900</v>
      </c>
      <c r="J235" s="4">
        <v>3174000000</v>
      </c>
      <c r="K235" s="4">
        <v>8927000</v>
      </c>
      <c r="L235" s="4">
        <v>11770000</v>
      </c>
      <c r="M235" s="4">
        <v>243</v>
      </c>
      <c r="N235" s="4">
        <f t="shared" si="22"/>
        <v>34313.805730612636</v>
      </c>
      <c r="O235" s="4">
        <v>3174000000</v>
      </c>
      <c r="P235" s="4">
        <v>8927000</v>
      </c>
      <c r="Q235" s="4">
        <v>11770000</v>
      </c>
      <c r="R235" s="5">
        <v>243</v>
      </c>
      <c r="S235" s="4"/>
      <c r="T235" s="4">
        <v>6347000000</v>
      </c>
      <c r="V235" s="4">
        <f t="shared" si="23"/>
        <v>34313.805730612636</v>
      </c>
      <c r="W235" s="4"/>
      <c r="X235" s="9" t="str">
        <f t="shared" si="27"/>
        <v>a</v>
      </c>
      <c r="Y235" s="9" t="str">
        <f t="shared" si="27"/>
        <v>a</v>
      </c>
      <c r="Z235" s="31">
        <f t="shared" si="24"/>
        <v>7812.5</v>
      </c>
      <c r="AA235" s="31">
        <f t="shared" si="25"/>
        <v>7812.5</v>
      </c>
    </row>
    <row r="236" spans="1:27" ht="13">
      <c r="A236" s="9">
        <v>234</v>
      </c>
      <c r="B236" s="4" t="s">
        <v>1276</v>
      </c>
      <c r="C236" s="51"/>
      <c r="D236" s="8">
        <v>504</v>
      </c>
      <c r="E236" s="8">
        <v>711</v>
      </c>
      <c r="F236" s="8"/>
      <c r="G236" s="5">
        <v>30</v>
      </c>
      <c r="H236" s="5">
        <v>30</v>
      </c>
      <c r="I236" s="4">
        <v>64200</v>
      </c>
      <c r="J236" s="4">
        <v>3728000000</v>
      </c>
      <c r="K236" s="4">
        <v>10490000</v>
      </c>
      <c r="L236" s="4">
        <v>13920000</v>
      </c>
      <c r="M236" s="4">
        <v>241</v>
      </c>
      <c r="N236" s="4">
        <f t="shared" si="22"/>
        <v>40870.989385998721</v>
      </c>
      <c r="O236" s="4">
        <v>3728000000</v>
      </c>
      <c r="P236" s="4">
        <v>10490000</v>
      </c>
      <c r="Q236" s="4">
        <v>13920000</v>
      </c>
      <c r="R236" s="5">
        <v>241</v>
      </c>
      <c r="S236" s="4"/>
      <c r="T236" s="4">
        <v>7456000000</v>
      </c>
      <c r="V236" s="4">
        <f t="shared" si="23"/>
        <v>40870.989385998721</v>
      </c>
      <c r="W236" s="4"/>
      <c r="X236" s="9" t="str">
        <f t="shared" si="27"/>
        <v>a</v>
      </c>
      <c r="Y236" s="9" t="str">
        <f t="shared" si="27"/>
        <v>a</v>
      </c>
      <c r="Z236" s="31">
        <f t="shared" si="24"/>
        <v>13500</v>
      </c>
      <c r="AA236" s="31">
        <f t="shared" si="25"/>
        <v>13500</v>
      </c>
    </row>
    <row r="237" spans="1:27" ht="13">
      <c r="A237" s="9">
        <v>235</v>
      </c>
      <c r="B237" s="4" t="s">
        <v>1277</v>
      </c>
      <c r="C237" s="51"/>
      <c r="D237" s="8">
        <v>536</v>
      </c>
      <c r="E237" s="8">
        <v>711</v>
      </c>
      <c r="F237" s="8"/>
      <c r="G237" s="5">
        <v>32</v>
      </c>
      <c r="H237" s="5">
        <v>32</v>
      </c>
      <c r="I237" s="4">
        <v>68300</v>
      </c>
      <c r="J237" s="4">
        <v>3942600000</v>
      </c>
      <c r="K237" s="4">
        <v>11090000</v>
      </c>
      <c r="L237" s="4">
        <v>14764000</v>
      </c>
      <c r="M237" s="4">
        <v>240</v>
      </c>
      <c r="N237" s="4">
        <f t="shared" si="22"/>
        <v>43481.130452705809</v>
      </c>
      <c r="O237" s="4">
        <v>3942600000</v>
      </c>
      <c r="P237" s="4">
        <v>11090000</v>
      </c>
      <c r="Q237" s="4">
        <v>14764000</v>
      </c>
      <c r="R237" s="5">
        <v>240</v>
      </c>
      <c r="S237" s="4"/>
      <c r="T237" s="4">
        <v>7885200000</v>
      </c>
      <c r="V237" s="4">
        <f t="shared" si="23"/>
        <v>43481.130452705809</v>
      </c>
      <c r="W237" s="4"/>
      <c r="X237" s="9" t="str">
        <f t="shared" si="27"/>
        <v>a</v>
      </c>
      <c r="Y237" s="9" t="str">
        <f t="shared" si="27"/>
        <v>a</v>
      </c>
      <c r="Z237" s="31">
        <f t="shared" si="24"/>
        <v>16384</v>
      </c>
      <c r="AA237" s="31">
        <f t="shared" si="25"/>
        <v>16384</v>
      </c>
    </row>
    <row r="238" spans="1:27" ht="13">
      <c r="A238" s="9">
        <v>236</v>
      </c>
      <c r="B238" s="4" t="s">
        <v>1278</v>
      </c>
      <c r="C238" s="51"/>
      <c r="D238" s="8">
        <v>599</v>
      </c>
      <c r="E238" s="8">
        <v>711</v>
      </c>
      <c r="F238" s="8"/>
      <c r="G238" s="5">
        <v>36</v>
      </c>
      <c r="H238" s="5">
        <v>36</v>
      </c>
      <c r="I238" s="4">
        <v>76300</v>
      </c>
      <c r="J238" s="4">
        <v>4360210000</v>
      </c>
      <c r="K238" s="4">
        <v>12265000</v>
      </c>
      <c r="L238" s="4">
        <v>16418000</v>
      </c>
      <c r="M238" s="4">
        <v>239</v>
      </c>
      <c r="N238" s="4">
        <f t="shared" si="22"/>
        <v>48574.08863164646</v>
      </c>
      <c r="O238" s="4">
        <v>4360210000</v>
      </c>
      <c r="P238" s="4">
        <v>12265000</v>
      </c>
      <c r="Q238" s="4">
        <v>16418000</v>
      </c>
      <c r="R238" s="5">
        <v>239</v>
      </c>
      <c r="S238" s="4"/>
      <c r="T238" s="4">
        <v>8720420000</v>
      </c>
      <c r="V238" s="4">
        <f t="shared" si="23"/>
        <v>48574.08863164646</v>
      </c>
      <c r="W238" s="4"/>
      <c r="X238" s="9" t="str">
        <f t="shared" si="27"/>
        <v>a</v>
      </c>
      <c r="Y238" s="9" t="str">
        <f t="shared" si="27"/>
        <v>a</v>
      </c>
      <c r="Z238" s="31">
        <f t="shared" si="24"/>
        <v>23328</v>
      </c>
      <c r="AA238" s="31">
        <f t="shared" si="25"/>
        <v>23328</v>
      </c>
    </row>
    <row r="239" spans="1:27" ht="13">
      <c r="A239" s="9">
        <v>237</v>
      </c>
      <c r="B239" s="4" t="s">
        <v>1279</v>
      </c>
      <c r="C239" s="51"/>
      <c r="D239" s="8">
        <v>662</v>
      </c>
      <c r="E239" s="8">
        <v>711</v>
      </c>
      <c r="F239" s="8"/>
      <c r="G239" s="5">
        <v>40</v>
      </c>
      <c r="H239" s="5">
        <v>40</v>
      </c>
      <c r="I239" s="4">
        <v>84300</v>
      </c>
      <c r="J239" s="4">
        <v>4762000000</v>
      </c>
      <c r="K239" s="4">
        <v>13400000</v>
      </c>
      <c r="L239" s="4">
        <v>18030000</v>
      </c>
      <c r="M239" s="4">
        <v>238</v>
      </c>
      <c r="N239" s="4">
        <f t="shared" si="22"/>
        <v>53667.046810587111</v>
      </c>
      <c r="O239" s="4">
        <v>4762000000</v>
      </c>
      <c r="P239" s="4">
        <v>13400000</v>
      </c>
      <c r="Q239" s="4">
        <v>18030000</v>
      </c>
      <c r="R239" s="5">
        <v>238</v>
      </c>
      <c r="S239" s="4"/>
      <c r="T239" s="4">
        <v>9525000000</v>
      </c>
      <c r="V239" s="4">
        <f t="shared" si="23"/>
        <v>53667.046810587111</v>
      </c>
      <c r="W239" s="4"/>
      <c r="X239" s="9" t="str">
        <f t="shared" si="27"/>
        <v>a</v>
      </c>
      <c r="Y239" s="9" t="str">
        <f t="shared" si="27"/>
        <v>a</v>
      </c>
      <c r="Z239" s="31">
        <f t="shared" si="24"/>
        <v>32000</v>
      </c>
      <c r="AA239" s="31">
        <f t="shared" si="25"/>
        <v>32000</v>
      </c>
    </row>
    <row r="240" spans="1:27" ht="13">
      <c r="A240" s="9">
        <v>238</v>
      </c>
      <c r="B240" s="4" t="s">
        <v>1280</v>
      </c>
      <c r="C240" s="51"/>
      <c r="D240" s="8">
        <v>739</v>
      </c>
      <c r="E240" s="8">
        <v>711</v>
      </c>
      <c r="F240" s="8"/>
      <c r="G240" s="5">
        <v>45</v>
      </c>
      <c r="H240" s="5">
        <v>45</v>
      </c>
      <c r="I240" s="4">
        <v>94200</v>
      </c>
      <c r="J240" s="4">
        <v>5244130000</v>
      </c>
      <c r="K240" s="4">
        <v>14751000</v>
      </c>
      <c r="L240" s="4">
        <v>19990000</v>
      </c>
      <c r="M240" s="4">
        <v>236</v>
      </c>
      <c r="N240" s="4">
        <f t="shared" si="22"/>
        <v>59969.582557026166</v>
      </c>
      <c r="O240" s="4">
        <v>5244130000</v>
      </c>
      <c r="P240" s="4">
        <v>14751000</v>
      </c>
      <c r="Q240" s="4">
        <v>19990000</v>
      </c>
      <c r="R240" s="5">
        <v>236</v>
      </c>
      <c r="S240" s="4"/>
      <c r="T240" s="4">
        <v>10488260000</v>
      </c>
      <c r="V240" s="4">
        <f t="shared" si="23"/>
        <v>59969.582557026166</v>
      </c>
      <c r="W240" s="4"/>
      <c r="X240" s="9" t="str">
        <f t="shared" si="27"/>
        <v>a</v>
      </c>
      <c r="Y240" s="9" t="str">
        <f t="shared" si="27"/>
        <v>a</v>
      </c>
      <c r="Z240" s="31">
        <f t="shared" si="24"/>
        <v>45562.5</v>
      </c>
      <c r="AA240" s="31">
        <f t="shared" si="25"/>
        <v>45562.5</v>
      </c>
    </row>
    <row r="241" spans="1:27" ht="13">
      <c r="A241" s="9">
        <v>239</v>
      </c>
      <c r="B241" s="4" t="s">
        <v>1281</v>
      </c>
      <c r="C241" s="51"/>
      <c r="D241" s="8">
        <v>815</v>
      </c>
      <c r="E241" s="8">
        <v>711</v>
      </c>
      <c r="F241" s="8"/>
      <c r="G241" s="5">
        <v>50</v>
      </c>
      <c r="H241" s="5">
        <v>50</v>
      </c>
      <c r="I241" s="4">
        <v>103800</v>
      </c>
      <c r="J241" s="4">
        <v>5703000000</v>
      </c>
      <c r="K241" s="4">
        <v>16040000</v>
      </c>
      <c r="L241" s="4">
        <v>21890000</v>
      </c>
      <c r="M241" s="4">
        <v>234</v>
      </c>
      <c r="N241" s="4">
        <f t="shared" si="22"/>
        <v>66081.132371754953</v>
      </c>
      <c r="O241" s="4">
        <v>5703000000</v>
      </c>
      <c r="P241" s="4">
        <v>16040000</v>
      </c>
      <c r="Q241" s="4">
        <v>21890000</v>
      </c>
      <c r="R241" s="5">
        <v>234</v>
      </c>
      <c r="S241" s="4"/>
      <c r="T241" s="4">
        <v>11410000000</v>
      </c>
      <c r="V241" s="4">
        <f t="shared" si="23"/>
        <v>66081.132371754953</v>
      </c>
      <c r="W241" s="4"/>
      <c r="X241" s="9" t="str">
        <f t="shared" si="27"/>
        <v>a</v>
      </c>
      <c r="Y241" s="9" t="str">
        <f t="shared" si="27"/>
        <v>a</v>
      </c>
      <c r="Z241" s="31">
        <f t="shared" si="24"/>
        <v>62500</v>
      </c>
      <c r="AA241" s="31">
        <f t="shared" si="25"/>
        <v>62500</v>
      </c>
    </row>
    <row r="242" spans="1:27" ht="13">
      <c r="A242" s="9">
        <v>240</v>
      </c>
      <c r="B242" s="4" t="s">
        <v>1282</v>
      </c>
      <c r="C242" s="51"/>
      <c r="D242" s="8">
        <v>890</v>
      </c>
      <c r="E242" s="8">
        <v>711</v>
      </c>
      <c r="F242" s="8"/>
      <c r="G242" s="5">
        <v>55</v>
      </c>
      <c r="H242" s="5">
        <v>55</v>
      </c>
      <c r="I242" s="4">
        <v>113300</v>
      </c>
      <c r="J242" s="4">
        <v>6140110000</v>
      </c>
      <c r="K242" s="4">
        <v>17272000</v>
      </c>
      <c r="L242" s="4">
        <v>23724000</v>
      </c>
      <c r="M242" s="4">
        <v>233</v>
      </c>
      <c r="N242" s="4">
        <f t="shared" si="22"/>
        <v>72129.02020924697</v>
      </c>
      <c r="O242" s="4">
        <v>6140110000</v>
      </c>
      <c r="P242" s="4">
        <v>17272000</v>
      </c>
      <c r="Q242" s="4">
        <v>23724000</v>
      </c>
      <c r="R242" s="5">
        <v>233</v>
      </c>
      <c r="S242" s="4"/>
      <c r="T242" s="4">
        <v>12280220000</v>
      </c>
      <c r="V242" s="4">
        <f t="shared" si="23"/>
        <v>72129.02020924697</v>
      </c>
      <c r="W242" s="4"/>
      <c r="X242" s="9" t="str">
        <f t="shared" si="27"/>
        <v>a</v>
      </c>
      <c r="Y242" s="9" t="str">
        <f t="shared" si="27"/>
        <v>a</v>
      </c>
      <c r="Z242" s="31">
        <f t="shared" si="24"/>
        <v>83187.5</v>
      </c>
      <c r="AA242" s="31">
        <f t="shared" si="25"/>
        <v>83187.5</v>
      </c>
    </row>
    <row r="243" spans="1:27" ht="13">
      <c r="A243" s="9">
        <v>241</v>
      </c>
      <c r="B243" s="4" t="s">
        <v>1283</v>
      </c>
      <c r="C243" s="51"/>
      <c r="D243" s="8">
        <v>963</v>
      </c>
      <c r="E243" s="8">
        <v>711</v>
      </c>
      <c r="F243" s="8"/>
      <c r="G243" s="5">
        <v>60</v>
      </c>
      <c r="H243" s="5">
        <v>60</v>
      </c>
      <c r="I243" s="4">
        <v>122700</v>
      </c>
      <c r="J243" s="4">
        <v>6556000000</v>
      </c>
      <c r="K243" s="4">
        <v>18440000</v>
      </c>
      <c r="L243" s="4">
        <v>25500000</v>
      </c>
      <c r="M243" s="4">
        <v>231</v>
      </c>
      <c r="N243" s="4">
        <f t="shared" si="22"/>
        <v>78113.246069502231</v>
      </c>
      <c r="O243" s="4">
        <v>6556000000</v>
      </c>
      <c r="P243" s="4">
        <v>18440000</v>
      </c>
      <c r="Q243" s="4">
        <v>25500000</v>
      </c>
      <c r="R243" s="5">
        <v>231</v>
      </c>
      <c r="S243" s="4"/>
      <c r="T243" s="4">
        <v>13110000000</v>
      </c>
      <c r="V243" s="4">
        <f t="shared" si="23"/>
        <v>78113.246069502231</v>
      </c>
      <c r="W243" s="4"/>
      <c r="X243" s="9" t="str">
        <f t="shared" ref="X243:Y262" si="28">IF(fy=460,"a0","a")</f>
        <v>a</v>
      </c>
      <c r="Y243" s="9" t="str">
        <f t="shared" si="28"/>
        <v>a</v>
      </c>
      <c r="Z243" s="31">
        <f t="shared" si="24"/>
        <v>108000</v>
      </c>
      <c r="AA243" s="31">
        <f t="shared" si="25"/>
        <v>108000</v>
      </c>
    </row>
    <row r="244" spans="1:27" ht="13">
      <c r="A244" s="9">
        <v>242</v>
      </c>
      <c r="B244" s="4" t="s">
        <v>1284</v>
      </c>
      <c r="C244" s="51"/>
      <c r="D244" s="8">
        <v>1036</v>
      </c>
      <c r="E244" s="8">
        <v>711</v>
      </c>
      <c r="F244" s="8"/>
      <c r="G244" s="5">
        <v>65</v>
      </c>
      <c r="H244" s="5">
        <v>65</v>
      </c>
      <c r="I244" s="4">
        <v>131900</v>
      </c>
      <c r="J244" s="4">
        <v>6950970000</v>
      </c>
      <c r="K244" s="4">
        <v>19553000</v>
      </c>
      <c r="L244" s="4">
        <v>27217000</v>
      </c>
      <c r="M244" s="4">
        <v>230</v>
      </c>
      <c r="N244" s="4">
        <f t="shared" si="22"/>
        <v>83970.14797528398</v>
      </c>
      <c r="O244" s="4">
        <v>6950970000</v>
      </c>
      <c r="P244" s="4">
        <v>19553000</v>
      </c>
      <c r="Q244" s="4">
        <v>27217000</v>
      </c>
      <c r="R244" s="5">
        <v>230</v>
      </c>
      <c r="S244" s="4"/>
      <c r="T244" s="4">
        <v>13901950000</v>
      </c>
      <c r="V244" s="4">
        <f t="shared" si="23"/>
        <v>83970.14797528398</v>
      </c>
      <c r="W244" s="4"/>
      <c r="X244" s="9" t="str">
        <f t="shared" si="28"/>
        <v>a</v>
      </c>
      <c r="Y244" s="9" t="str">
        <f t="shared" si="28"/>
        <v>a</v>
      </c>
      <c r="Z244" s="31">
        <f t="shared" si="24"/>
        <v>137312.5</v>
      </c>
      <c r="AA244" s="31">
        <f t="shared" si="25"/>
        <v>137312.5</v>
      </c>
    </row>
    <row r="245" spans="1:27" ht="13">
      <c r="A245" s="9">
        <v>243</v>
      </c>
      <c r="B245" s="4" t="s">
        <v>1285</v>
      </c>
      <c r="C245" s="51"/>
      <c r="D245" s="8">
        <v>1107</v>
      </c>
      <c r="E245" s="8">
        <v>711</v>
      </c>
      <c r="F245" s="8"/>
      <c r="G245" s="5">
        <v>70</v>
      </c>
      <c r="H245" s="5">
        <v>70</v>
      </c>
      <c r="I245" s="4">
        <v>141000</v>
      </c>
      <c r="J245" s="4">
        <v>7326230000</v>
      </c>
      <c r="K245" s="4">
        <v>20608000</v>
      </c>
      <c r="L245" s="4">
        <v>28876000</v>
      </c>
      <c r="M245" s="4">
        <v>228</v>
      </c>
      <c r="N245" s="4">
        <f t="shared" si="22"/>
        <v>89763.387903828974</v>
      </c>
      <c r="O245" s="4">
        <v>7326230000</v>
      </c>
      <c r="P245" s="4">
        <v>20608000</v>
      </c>
      <c r="Q245" s="4">
        <v>28876000</v>
      </c>
      <c r="R245" s="5">
        <v>228</v>
      </c>
      <c r="S245" s="4"/>
      <c r="T245" s="4">
        <v>14652460000</v>
      </c>
      <c r="V245" s="4">
        <f t="shared" si="23"/>
        <v>89763.387903828974</v>
      </c>
      <c r="W245" s="4"/>
      <c r="X245" s="9" t="str">
        <f t="shared" si="28"/>
        <v>a</v>
      </c>
      <c r="Y245" s="9" t="str">
        <f t="shared" si="28"/>
        <v>a</v>
      </c>
      <c r="Z245" s="31">
        <f t="shared" si="24"/>
        <v>171500</v>
      </c>
      <c r="AA245" s="31">
        <f t="shared" si="25"/>
        <v>171500</v>
      </c>
    </row>
    <row r="246" spans="1:27" ht="13">
      <c r="A246" s="9">
        <v>244</v>
      </c>
      <c r="B246" s="4" t="s">
        <v>1286</v>
      </c>
      <c r="C246" s="51"/>
      <c r="D246" s="8">
        <v>117</v>
      </c>
      <c r="E246" s="8">
        <v>762</v>
      </c>
      <c r="F246" s="8"/>
      <c r="G246" s="5">
        <v>6.3</v>
      </c>
      <c r="H246" s="5">
        <v>6.3</v>
      </c>
      <c r="I246" s="4">
        <v>15000</v>
      </c>
      <c r="J246" s="4">
        <v>1068000000</v>
      </c>
      <c r="K246" s="4">
        <v>2803000</v>
      </c>
      <c r="L246" s="4">
        <v>3598000</v>
      </c>
      <c r="M246" s="4">
        <v>267</v>
      </c>
      <c r="N246" s="4">
        <f t="shared" si="22"/>
        <v>9549.2965855137209</v>
      </c>
      <c r="O246" s="4">
        <v>1068000000</v>
      </c>
      <c r="P246" s="4">
        <v>2803000</v>
      </c>
      <c r="Q246" s="4">
        <v>3598000</v>
      </c>
      <c r="R246" s="5">
        <v>267</v>
      </c>
      <c r="S246" s="4"/>
      <c r="T246" s="4">
        <v>2136000000</v>
      </c>
      <c r="V246" s="4">
        <f t="shared" si="23"/>
        <v>9549.2965855137209</v>
      </c>
      <c r="W246" s="4"/>
      <c r="X246" s="9" t="str">
        <f t="shared" si="28"/>
        <v>a</v>
      </c>
      <c r="Y246" s="9" t="str">
        <f t="shared" si="28"/>
        <v>a</v>
      </c>
      <c r="Z246" s="31">
        <f t="shared" si="24"/>
        <v>125.02349999999998</v>
      </c>
      <c r="AA246" s="31">
        <f t="shared" si="25"/>
        <v>125.02349999999998</v>
      </c>
    </row>
    <row r="247" spans="1:27" ht="13">
      <c r="A247" s="9">
        <v>245</v>
      </c>
      <c r="B247" s="4" t="s">
        <v>1287</v>
      </c>
      <c r="C247" s="51"/>
      <c r="D247" s="8">
        <v>149</v>
      </c>
      <c r="E247" s="8">
        <v>762</v>
      </c>
      <c r="F247" s="8"/>
      <c r="G247" s="5">
        <v>8</v>
      </c>
      <c r="H247" s="5">
        <v>8</v>
      </c>
      <c r="I247" s="4">
        <v>19000</v>
      </c>
      <c r="J247" s="4">
        <v>1347000000</v>
      </c>
      <c r="K247" s="4">
        <v>3535000</v>
      </c>
      <c r="L247" s="4">
        <v>4548000</v>
      </c>
      <c r="M247" s="4">
        <v>267</v>
      </c>
      <c r="N247" s="4">
        <f t="shared" si="22"/>
        <v>12095.775674984046</v>
      </c>
      <c r="O247" s="4">
        <v>1347000000</v>
      </c>
      <c r="P247" s="4">
        <v>3535000</v>
      </c>
      <c r="Q247" s="4">
        <v>4548000</v>
      </c>
      <c r="R247" s="5">
        <v>267</v>
      </c>
      <c r="S247" s="4"/>
      <c r="T247" s="4">
        <v>2694000000</v>
      </c>
      <c r="V247" s="4">
        <f t="shared" si="23"/>
        <v>12095.775674984046</v>
      </c>
      <c r="W247" s="4"/>
      <c r="X247" s="9" t="str">
        <f t="shared" si="28"/>
        <v>a</v>
      </c>
      <c r="Y247" s="9" t="str">
        <f t="shared" si="28"/>
        <v>a</v>
      </c>
      <c r="Z247" s="31">
        <f t="shared" si="24"/>
        <v>256</v>
      </c>
      <c r="AA247" s="31">
        <f t="shared" si="25"/>
        <v>256</v>
      </c>
    </row>
    <row r="248" spans="1:27" ht="13">
      <c r="A248" s="9">
        <v>246</v>
      </c>
      <c r="B248" s="4" t="s">
        <v>1288</v>
      </c>
      <c r="C248" s="51"/>
      <c r="D248" s="8">
        <v>185</v>
      </c>
      <c r="E248" s="8">
        <v>762</v>
      </c>
      <c r="F248" s="8"/>
      <c r="G248" s="5">
        <v>10</v>
      </c>
      <c r="H248" s="5">
        <v>10</v>
      </c>
      <c r="I248" s="4">
        <v>23600</v>
      </c>
      <c r="J248" s="4">
        <v>1670000000</v>
      </c>
      <c r="K248" s="4">
        <v>4384000</v>
      </c>
      <c r="L248" s="4">
        <v>5655000</v>
      </c>
      <c r="M248" s="4">
        <v>266</v>
      </c>
      <c r="N248" s="4">
        <f t="shared" si="22"/>
        <v>15024.226627874921</v>
      </c>
      <c r="O248" s="4">
        <v>1670000000</v>
      </c>
      <c r="P248" s="4">
        <v>4384000</v>
      </c>
      <c r="Q248" s="4">
        <v>5655000</v>
      </c>
      <c r="R248" s="5">
        <v>266</v>
      </c>
      <c r="S248" s="4"/>
      <c r="T248" s="4">
        <v>3341000000</v>
      </c>
      <c r="V248" s="4">
        <f t="shared" si="23"/>
        <v>15024.226627874921</v>
      </c>
      <c r="W248" s="4"/>
      <c r="X248" s="9" t="str">
        <f t="shared" si="28"/>
        <v>a</v>
      </c>
      <c r="Y248" s="9" t="str">
        <f t="shared" si="28"/>
        <v>a</v>
      </c>
      <c r="Z248" s="31">
        <f t="shared" si="24"/>
        <v>500</v>
      </c>
      <c r="AA248" s="31">
        <f t="shared" si="25"/>
        <v>500</v>
      </c>
    </row>
    <row r="249" spans="1:27" ht="13">
      <c r="A249" s="9">
        <v>247</v>
      </c>
      <c r="B249" s="4" t="s">
        <v>1289</v>
      </c>
      <c r="C249" s="51"/>
      <c r="D249" s="8">
        <v>231</v>
      </c>
      <c r="E249" s="8">
        <v>762</v>
      </c>
      <c r="F249" s="8"/>
      <c r="G249" s="5">
        <v>12.5</v>
      </c>
      <c r="H249" s="5">
        <v>12.5</v>
      </c>
      <c r="I249" s="4">
        <v>29400</v>
      </c>
      <c r="J249" s="4">
        <v>2067000000</v>
      </c>
      <c r="K249" s="4">
        <v>5426000</v>
      </c>
      <c r="L249" s="4">
        <v>7023000</v>
      </c>
      <c r="M249" s="4">
        <v>265</v>
      </c>
      <c r="N249" s="4">
        <f t="shared" si="22"/>
        <v>18716.621307606893</v>
      </c>
      <c r="O249" s="4">
        <v>2067000000</v>
      </c>
      <c r="P249" s="4">
        <v>5426000</v>
      </c>
      <c r="Q249" s="4">
        <v>7023000</v>
      </c>
      <c r="R249" s="5">
        <v>265</v>
      </c>
      <c r="S249" s="4"/>
      <c r="T249" s="4">
        <v>4135000000</v>
      </c>
      <c r="V249" s="4">
        <f t="shared" si="23"/>
        <v>18716.621307606893</v>
      </c>
      <c r="W249" s="4"/>
      <c r="X249" s="9" t="str">
        <f t="shared" si="28"/>
        <v>a</v>
      </c>
      <c r="Y249" s="9" t="str">
        <f t="shared" si="28"/>
        <v>a</v>
      </c>
      <c r="Z249" s="31">
        <f t="shared" si="24"/>
        <v>976.5625</v>
      </c>
      <c r="AA249" s="31">
        <f t="shared" si="25"/>
        <v>976.5625</v>
      </c>
    </row>
    <row r="250" spans="1:27" ht="13">
      <c r="A250" s="9">
        <v>248</v>
      </c>
      <c r="B250" s="4" t="s">
        <v>1290</v>
      </c>
      <c r="C250" s="51"/>
      <c r="D250" s="8">
        <v>262</v>
      </c>
      <c r="E250" s="8">
        <v>762</v>
      </c>
      <c r="F250" s="8"/>
      <c r="G250" s="5">
        <v>14.2</v>
      </c>
      <c r="H250" s="5">
        <v>14.2</v>
      </c>
      <c r="I250" s="4">
        <v>33400</v>
      </c>
      <c r="J250" s="4">
        <v>2330000000</v>
      </c>
      <c r="K250" s="4">
        <v>6120000</v>
      </c>
      <c r="L250" s="4">
        <v>7940000</v>
      </c>
      <c r="M250" s="4">
        <v>264</v>
      </c>
      <c r="N250" s="4">
        <f t="shared" si="22"/>
        <v>21263.100397077218</v>
      </c>
      <c r="O250" s="4">
        <v>2330000000</v>
      </c>
      <c r="P250" s="4">
        <v>6120000</v>
      </c>
      <c r="Q250" s="4">
        <v>7940000</v>
      </c>
      <c r="R250" s="5">
        <v>264</v>
      </c>
      <c r="S250" s="4"/>
      <c r="T250" s="4">
        <v>4670000000</v>
      </c>
      <c r="V250" s="4">
        <f t="shared" si="23"/>
        <v>21263.100397077218</v>
      </c>
      <c r="W250" s="4"/>
      <c r="X250" s="9" t="str">
        <f t="shared" si="28"/>
        <v>a</v>
      </c>
      <c r="Y250" s="9" t="str">
        <f t="shared" si="28"/>
        <v>a</v>
      </c>
      <c r="Z250" s="31">
        <f t="shared" si="24"/>
        <v>1431.6439999999998</v>
      </c>
      <c r="AA250" s="31">
        <f t="shared" si="25"/>
        <v>1431.6439999999998</v>
      </c>
    </row>
    <row r="251" spans="1:27" ht="13">
      <c r="A251" s="9">
        <v>249</v>
      </c>
      <c r="B251" s="4" t="s">
        <v>1291</v>
      </c>
      <c r="C251" s="51"/>
      <c r="D251" s="8">
        <v>294</v>
      </c>
      <c r="E251" s="8">
        <v>762</v>
      </c>
      <c r="F251" s="8"/>
      <c r="G251" s="5">
        <v>16</v>
      </c>
      <c r="H251" s="5">
        <v>16</v>
      </c>
      <c r="I251" s="4">
        <v>37500</v>
      </c>
      <c r="J251" s="4">
        <v>2610000000</v>
      </c>
      <c r="K251" s="4">
        <v>6850000</v>
      </c>
      <c r="L251" s="4">
        <v>8906000</v>
      </c>
      <c r="M251" s="4">
        <v>264</v>
      </c>
      <c r="N251" s="4">
        <f t="shared" si="22"/>
        <v>23873.241463784303</v>
      </c>
      <c r="O251" s="4">
        <v>2610000000</v>
      </c>
      <c r="P251" s="4">
        <v>6850000</v>
      </c>
      <c r="Q251" s="4">
        <v>8906000</v>
      </c>
      <c r="R251" s="5">
        <v>264</v>
      </c>
      <c r="S251" s="4"/>
      <c r="T251" s="4">
        <v>5220000000</v>
      </c>
      <c r="V251" s="4">
        <f t="shared" si="23"/>
        <v>23873.241463784303</v>
      </c>
      <c r="W251" s="4"/>
      <c r="X251" s="9" t="str">
        <f t="shared" si="28"/>
        <v>a</v>
      </c>
      <c r="Y251" s="9" t="str">
        <f t="shared" si="28"/>
        <v>a</v>
      </c>
      <c r="Z251" s="31">
        <f t="shared" si="24"/>
        <v>2048</v>
      </c>
      <c r="AA251" s="31">
        <f t="shared" si="25"/>
        <v>2048</v>
      </c>
    </row>
    <row r="252" spans="1:27" ht="13">
      <c r="A252" s="9">
        <v>250</v>
      </c>
      <c r="B252" s="4" t="s">
        <v>1292</v>
      </c>
      <c r="C252" s="51"/>
      <c r="D252" s="8">
        <v>366</v>
      </c>
      <c r="E252" s="8">
        <v>762</v>
      </c>
      <c r="F252" s="8"/>
      <c r="G252" s="5">
        <v>20</v>
      </c>
      <c r="H252" s="5">
        <v>20</v>
      </c>
      <c r="I252" s="4">
        <v>46600</v>
      </c>
      <c r="J252" s="4">
        <v>3211000000</v>
      </c>
      <c r="K252" s="4">
        <v>8427000</v>
      </c>
      <c r="L252" s="4">
        <v>11010000</v>
      </c>
      <c r="M252" s="4">
        <v>262</v>
      </c>
      <c r="N252" s="4">
        <f t="shared" si="22"/>
        <v>29666.481392329293</v>
      </c>
      <c r="O252" s="4">
        <v>3211000000</v>
      </c>
      <c r="P252" s="4">
        <v>8427000</v>
      </c>
      <c r="Q252" s="4">
        <v>11010000</v>
      </c>
      <c r="R252" s="5">
        <v>262</v>
      </c>
      <c r="S252" s="4"/>
      <c r="T252" s="4">
        <v>6422000000</v>
      </c>
      <c r="V252" s="4">
        <f t="shared" si="23"/>
        <v>29666.481392329293</v>
      </c>
      <c r="W252" s="4"/>
      <c r="X252" s="9" t="str">
        <f t="shared" si="28"/>
        <v>a</v>
      </c>
      <c r="Y252" s="9" t="str">
        <f t="shared" si="28"/>
        <v>a</v>
      </c>
      <c r="Z252" s="31">
        <f t="shared" si="24"/>
        <v>4000</v>
      </c>
      <c r="AA252" s="31">
        <f t="shared" si="25"/>
        <v>4000</v>
      </c>
    </row>
    <row r="253" spans="1:27" ht="13">
      <c r="A253" s="9">
        <v>251</v>
      </c>
      <c r="B253" s="4" t="s">
        <v>1293</v>
      </c>
      <c r="C253" s="51"/>
      <c r="D253" s="8">
        <v>454</v>
      </c>
      <c r="E253" s="8">
        <v>762</v>
      </c>
      <c r="F253" s="8"/>
      <c r="G253" s="5">
        <v>25</v>
      </c>
      <c r="H253" s="5">
        <v>25</v>
      </c>
      <c r="I253" s="4">
        <v>57900</v>
      </c>
      <c r="J253" s="4">
        <v>3935000000</v>
      </c>
      <c r="K253" s="4">
        <v>10330000</v>
      </c>
      <c r="L253" s="4">
        <v>13580000</v>
      </c>
      <c r="M253" s="4">
        <v>261</v>
      </c>
      <c r="N253" s="4">
        <f t="shared" si="22"/>
        <v>36860.284820082961</v>
      </c>
      <c r="O253" s="4">
        <v>3935000000</v>
      </c>
      <c r="P253" s="4">
        <v>10330000</v>
      </c>
      <c r="Q253" s="4">
        <v>13580000</v>
      </c>
      <c r="R253" s="5">
        <v>261</v>
      </c>
      <c r="S253" s="4"/>
      <c r="T253" s="4">
        <v>7868999999.999999</v>
      </c>
      <c r="V253" s="4">
        <f t="shared" si="23"/>
        <v>36860.284820082961</v>
      </c>
      <c r="W253" s="4"/>
      <c r="X253" s="9" t="str">
        <f t="shared" si="28"/>
        <v>a</v>
      </c>
      <c r="Y253" s="9" t="str">
        <f t="shared" si="28"/>
        <v>a</v>
      </c>
      <c r="Z253" s="31">
        <f t="shared" si="24"/>
        <v>7812.5</v>
      </c>
      <c r="AA253" s="31">
        <f t="shared" si="25"/>
        <v>7812.5</v>
      </c>
    </row>
    <row r="254" spans="1:27" ht="13">
      <c r="A254" s="9">
        <v>252</v>
      </c>
      <c r="B254" s="4" t="s">
        <v>1294</v>
      </c>
      <c r="C254" s="51"/>
      <c r="D254" s="8">
        <v>542</v>
      </c>
      <c r="E254" s="8">
        <v>762</v>
      </c>
      <c r="F254" s="8"/>
      <c r="G254" s="5">
        <v>30</v>
      </c>
      <c r="H254" s="5">
        <v>30</v>
      </c>
      <c r="I254" s="4">
        <v>69000</v>
      </c>
      <c r="J254" s="4">
        <v>4629000000</v>
      </c>
      <c r="K254" s="4">
        <v>12150000</v>
      </c>
      <c r="L254" s="4">
        <v>16080000</v>
      </c>
      <c r="M254" s="4">
        <v>259</v>
      </c>
      <c r="N254" s="4">
        <f t="shared" si="22"/>
        <v>43926.764293363114</v>
      </c>
      <c r="O254" s="4">
        <v>4629000000</v>
      </c>
      <c r="P254" s="4">
        <v>12150000</v>
      </c>
      <c r="Q254" s="4">
        <v>16080000</v>
      </c>
      <c r="R254" s="5">
        <v>259</v>
      </c>
      <c r="S254" s="4"/>
      <c r="T254" s="4">
        <v>9257000000</v>
      </c>
      <c r="V254" s="4">
        <f t="shared" si="23"/>
        <v>43926.764293363114</v>
      </c>
      <c r="W254" s="4"/>
      <c r="X254" s="9" t="str">
        <f t="shared" si="28"/>
        <v>a</v>
      </c>
      <c r="Y254" s="9" t="str">
        <f t="shared" si="28"/>
        <v>a</v>
      </c>
      <c r="Z254" s="31">
        <f t="shared" si="24"/>
        <v>13500</v>
      </c>
      <c r="AA254" s="31">
        <f t="shared" si="25"/>
        <v>13500</v>
      </c>
    </row>
    <row r="255" spans="1:27" ht="13">
      <c r="A255" s="9">
        <v>253</v>
      </c>
      <c r="B255" s="4" t="s">
        <v>1295</v>
      </c>
      <c r="C255" s="51"/>
      <c r="D255" s="8">
        <v>576</v>
      </c>
      <c r="E255" s="8">
        <v>762</v>
      </c>
      <c r="F255" s="8"/>
      <c r="G255" s="5">
        <v>32</v>
      </c>
      <c r="H255" s="5">
        <v>32</v>
      </c>
      <c r="I255" s="4">
        <v>73400</v>
      </c>
      <c r="J255" s="4">
        <v>4897930000</v>
      </c>
      <c r="K255" s="4">
        <v>12855000</v>
      </c>
      <c r="L255" s="4">
        <v>17064000</v>
      </c>
      <c r="M255" s="4">
        <v>258</v>
      </c>
      <c r="N255" s="4">
        <f t="shared" si="22"/>
        <v>46727.89129178047</v>
      </c>
      <c r="O255" s="4">
        <v>4897930000</v>
      </c>
      <c r="P255" s="4">
        <v>12855000</v>
      </c>
      <c r="Q255" s="4">
        <v>17064000</v>
      </c>
      <c r="R255" s="5">
        <v>258</v>
      </c>
      <c r="S255" s="4"/>
      <c r="T255" s="4">
        <v>9795850000</v>
      </c>
      <c r="V255" s="4">
        <f t="shared" si="23"/>
        <v>46727.89129178047</v>
      </c>
      <c r="W255" s="4"/>
      <c r="X255" s="9" t="str">
        <f t="shared" si="28"/>
        <v>a</v>
      </c>
      <c r="Y255" s="9" t="str">
        <f t="shared" si="28"/>
        <v>a</v>
      </c>
      <c r="Z255" s="31">
        <f t="shared" si="24"/>
        <v>16384</v>
      </c>
      <c r="AA255" s="31">
        <f t="shared" si="25"/>
        <v>16384</v>
      </c>
    </row>
    <row r="256" spans="1:27" ht="13">
      <c r="A256" s="9">
        <v>254</v>
      </c>
      <c r="B256" s="4" t="s">
        <v>1296</v>
      </c>
      <c r="C256" s="51"/>
      <c r="D256" s="8">
        <v>645</v>
      </c>
      <c r="E256" s="8">
        <v>762</v>
      </c>
      <c r="F256" s="8"/>
      <c r="G256" s="5">
        <v>36</v>
      </c>
      <c r="H256" s="5">
        <v>36</v>
      </c>
      <c r="I256" s="4">
        <v>82100</v>
      </c>
      <c r="J256" s="4">
        <v>5422990000</v>
      </c>
      <c r="K256" s="4">
        <v>14234000</v>
      </c>
      <c r="L256" s="4">
        <v>18990000</v>
      </c>
      <c r="M256" s="4">
        <v>257</v>
      </c>
      <c r="N256" s="4">
        <f t="shared" si="22"/>
        <v>52266.483311378433</v>
      </c>
      <c r="O256" s="4">
        <v>5422990000</v>
      </c>
      <c r="P256" s="4">
        <v>14234000</v>
      </c>
      <c r="Q256" s="4">
        <v>18990000</v>
      </c>
      <c r="R256" s="5">
        <v>257</v>
      </c>
      <c r="S256" s="4"/>
      <c r="T256" s="4">
        <v>10845980000</v>
      </c>
      <c r="V256" s="4">
        <f t="shared" si="23"/>
        <v>52266.483311378433</v>
      </c>
      <c r="W256" s="4"/>
      <c r="X256" s="9" t="str">
        <f t="shared" si="28"/>
        <v>a</v>
      </c>
      <c r="Y256" s="9" t="str">
        <f t="shared" si="28"/>
        <v>a</v>
      </c>
      <c r="Z256" s="31">
        <f t="shared" si="24"/>
        <v>23328</v>
      </c>
      <c r="AA256" s="31">
        <f t="shared" si="25"/>
        <v>23328</v>
      </c>
    </row>
    <row r="257" spans="1:27" ht="13">
      <c r="A257" s="9">
        <v>255</v>
      </c>
      <c r="B257" s="4" t="s">
        <v>1297</v>
      </c>
      <c r="C257" s="51"/>
      <c r="D257" s="8">
        <v>712</v>
      </c>
      <c r="E257" s="8">
        <v>762</v>
      </c>
      <c r="F257" s="8"/>
      <c r="G257" s="5">
        <v>40</v>
      </c>
      <c r="H257" s="5">
        <v>40</v>
      </c>
      <c r="I257" s="4">
        <v>90700</v>
      </c>
      <c r="J257" s="4">
        <v>5929999999.999999</v>
      </c>
      <c r="K257" s="4">
        <v>15570000</v>
      </c>
      <c r="L257" s="4">
        <v>20870000</v>
      </c>
      <c r="M257" s="4">
        <v>256</v>
      </c>
      <c r="N257" s="4">
        <f t="shared" si="22"/>
        <v>57741.413353739626</v>
      </c>
      <c r="O257" s="4">
        <v>5929999999.999999</v>
      </c>
      <c r="P257" s="4">
        <v>15570000</v>
      </c>
      <c r="Q257" s="4">
        <v>20870000</v>
      </c>
      <c r="R257" s="5">
        <v>256</v>
      </c>
      <c r="S257" s="4"/>
      <c r="T257" s="4">
        <v>11859999999.999998</v>
      </c>
      <c r="V257" s="4">
        <f t="shared" si="23"/>
        <v>57741.413353739626</v>
      </c>
      <c r="W257" s="4"/>
      <c r="X257" s="9" t="str">
        <f t="shared" si="28"/>
        <v>a</v>
      </c>
      <c r="Y257" s="9" t="str">
        <f t="shared" si="28"/>
        <v>a</v>
      </c>
      <c r="Z257" s="31">
        <f t="shared" si="24"/>
        <v>32000</v>
      </c>
      <c r="AA257" s="31">
        <f t="shared" si="25"/>
        <v>32000</v>
      </c>
    </row>
    <row r="258" spans="1:27" ht="13">
      <c r="A258" s="9">
        <v>256</v>
      </c>
      <c r="B258" s="4" t="s">
        <v>1298</v>
      </c>
      <c r="C258" s="51"/>
      <c r="D258" s="8">
        <v>796</v>
      </c>
      <c r="E258" s="8">
        <v>762</v>
      </c>
      <c r="F258" s="8"/>
      <c r="G258" s="5">
        <v>45</v>
      </c>
      <c r="H258" s="5">
        <v>45</v>
      </c>
      <c r="I258" s="4">
        <v>101400</v>
      </c>
      <c r="J258" s="4">
        <v>6539390000</v>
      </c>
      <c r="K258" s="4">
        <v>17164000</v>
      </c>
      <c r="L258" s="4">
        <v>23164000</v>
      </c>
      <c r="M258" s="4">
        <v>254</v>
      </c>
      <c r="N258" s="4">
        <f t="shared" si="22"/>
        <v>64553.244918072749</v>
      </c>
      <c r="O258" s="4">
        <v>6539390000</v>
      </c>
      <c r="P258" s="4">
        <v>17164000</v>
      </c>
      <c r="Q258" s="4">
        <v>23164000</v>
      </c>
      <c r="R258" s="5">
        <v>254</v>
      </c>
      <c r="S258" s="4"/>
      <c r="T258" s="4">
        <v>13078780000</v>
      </c>
      <c r="V258" s="4">
        <f t="shared" si="23"/>
        <v>64553.244918072749</v>
      </c>
      <c r="W258" s="4"/>
      <c r="X258" s="9" t="str">
        <f t="shared" si="28"/>
        <v>a</v>
      </c>
      <c r="Y258" s="9" t="str">
        <f t="shared" si="28"/>
        <v>a</v>
      </c>
      <c r="Z258" s="31">
        <f t="shared" si="24"/>
        <v>45562.5</v>
      </c>
      <c r="AA258" s="31">
        <f t="shared" si="25"/>
        <v>45562.5</v>
      </c>
    </row>
    <row r="259" spans="1:27" ht="13">
      <c r="A259" s="9">
        <v>257</v>
      </c>
      <c r="B259" s="4" t="s">
        <v>1299</v>
      </c>
      <c r="C259" s="51"/>
      <c r="D259" s="8">
        <v>878</v>
      </c>
      <c r="E259" s="8">
        <v>762</v>
      </c>
      <c r="F259" s="8"/>
      <c r="G259" s="5">
        <v>50</v>
      </c>
      <c r="H259" s="5">
        <v>50</v>
      </c>
      <c r="I259" s="4">
        <v>111800</v>
      </c>
      <c r="J259" s="4">
        <v>7122000000</v>
      </c>
      <c r="K259" s="4">
        <v>18690000</v>
      </c>
      <c r="L259" s="4">
        <v>25390000</v>
      </c>
      <c r="M259" s="4">
        <v>252</v>
      </c>
      <c r="N259" s="4">
        <f t="shared" ref="N259:N322" si="29">2*I259/PI()</f>
        <v>71174.090550695604</v>
      </c>
      <c r="O259" s="4">
        <v>7122000000</v>
      </c>
      <c r="P259" s="4">
        <v>18690000</v>
      </c>
      <c r="Q259" s="4">
        <v>25390000</v>
      </c>
      <c r="R259" s="5">
        <v>252</v>
      </c>
      <c r="S259" s="4"/>
      <c r="T259" s="4">
        <v>14240000000</v>
      </c>
      <c r="V259" s="4">
        <f t="shared" ref="V259:V322" si="30">N259</f>
        <v>71174.090550695604</v>
      </c>
      <c r="W259" s="4"/>
      <c r="X259" s="9" t="str">
        <f t="shared" si="28"/>
        <v>a</v>
      </c>
      <c r="Y259" s="9" t="str">
        <f t="shared" si="28"/>
        <v>a</v>
      </c>
      <c r="Z259" s="31">
        <f t="shared" ref="Z259:Z322" si="31">2*(F259/2-G259/2)^2*G259</f>
        <v>62500</v>
      </c>
      <c r="AA259" s="31">
        <f t="shared" ref="AA259:AA322" si="32">Z259</f>
        <v>62500</v>
      </c>
    </row>
    <row r="260" spans="1:27" ht="13">
      <c r="A260" s="9">
        <v>258</v>
      </c>
      <c r="B260" s="4" t="s">
        <v>1300</v>
      </c>
      <c r="C260" s="51"/>
      <c r="D260" s="8">
        <v>959</v>
      </c>
      <c r="E260" s="8">
        <v>762</v>
      </c>
      <c r="F260" s="8"/>
      <c r="G260" s="5">
        <v>55</v>
      </c>
      <c r="H260" s="5">
        <v>55</v>
      </c>
      <c r="I260" s="4">
        <v>122200</v>
      </c>
      <c r="J260" s="4">
        <v>7678940000</v>
      </c>
      <c r="K260" s="4">
        <v>20155000</v>
      </c>
      <c r="L260" s="4">
        <v>27547000</v>
      </c>
      <c r="M260" s="4">
        <v>251</v>
      </c>
      <c r="N260" s="4">
        <f t="shared" si="29"/>
        <v>77794.936183318438</v>
      </c>
      <c r="O260" s="4">
        <v>7678940000</v>
      </c>
      <c r="P260" s="4">
        <v>20155000</v>
      </c>
      <c r="Q260" s="4">
        <v>27547000</v>
      </c>
      <c r="R260" s="5">
        <v>251</v>
      </c>
      <c r="S260" s="4"/>
      <c r="T260" s="4">
        <v>15357880000</v>
      </c>
      <c r="V260" s="4">
        <f t="shared" si="30"/>
        <v>77794.936183318438</v>
      </c>
      <c r="W260" s="4"/>
      <c r="X260" s="9" t="str">
        <f t="shared" si="28"/>
        <v>a</v>
      </c>
      <c r="Y260" s="9" t="str">
        <f t="shared" si="28"/>
        <v>a</v>
      </c>
      <c r="Z260" s="31">
        <f t="shared" si="31"/>
        <v>83187.5</v>
      </c>
      <c r="AA260" s="31">
        <f t="shared" si="32"/>
        <v>83187.5</v>
      </c>
    </row>
    <row r="261" spans="1:27" ht="13">
      <c r="A261" s="9">
        <v>259</v>
      </c>
      <c r="B261" s="4" t="s">
        <v>1301</v>
      </c>
      <c r="C261" s="51"/>
      <c r="D261" s="8">
        <v>1039</v>
      </c>
      <c r="E261" s="8">
        <v>762</v>
      </c>
      <c r="F261" s="8"/>
      <c r="G261" s="5">
        <v>60</v>
      </c>
      <c r="H261" s="5">
        <v>60</v>
      </c>
      <c r="I261" s="4">
        <v>132300</v>
      </c>
      <c r="J261" s="4">
        <v>8210759999.999999</v>
      </c>
      <c r="K261" s="4">
        <v>21551000</v>
      </c>
      <c r="L261" s="4">
        <v>29640000</v>
      </c>
      <c r="M261" s="4">
        <v>249</v>
      </c>
      <c r="N261" s="4">
        <f t="shared" si="29"/>
        <v>84224.795884231018</v>
      </c>
      <c r="O261" s="4">
        <v>8210759999.999999</v>
      </c>
      <c r="P261" s="4">
        <v>21551000</v>
      </c>
      <c r="Q261" s="4">
        <v>29640000</v>
      </c>
      <c r="R261" s="5">
        <v>249</v>
      </c>
      <c r="S261" s="4"/>
      <c r="T261" s="4">
        <v>16421530000</v>
      </c>
      <c r="V261" s="4">
        <f t="shared" si="30"/>
        <v>84224.795884231018</v>
      </c>
      <c r="W261" s="4"/>
      <c r="X261" s="9" t="str">
        <f t="shared" si="28"/>
        <v>a</v>
      </c>
      <c r="Y261" s="9" t="str">
        <f t="shared" si="28"/>
        <v>a</v>
      </c>
      <c r="Z261" s="31">
        <f t="shared" si="31"/>
        <v>108000</v>
      </c>
      <c r="AA261" s="31">
        <f t="shared" si="32"/>
        <v>108000</v>
      </c>
    </row>
    <row r="262" spans="1:27" ht="13">
      <c r="A262" s="9">
        <v>260</v>
      </c>
      <c r="B262" s="4" t="s">
        <v>1302</v>
      </c>
      <c r="C262" s="51"/>
      <c r="D262" s="8">
        <v>1117</v>
      </c>
      <c r="E262" s="8">
        <v>762</v>
      </c>
      <c r="F262" s="8"/>
      <c r="G262" s="5">
        <v>65</v>
      </c>
      <c r="H262" s="5">
        <v>65</v>
      </c>
      <c r="I262" s="4">
        <v>142300</v>
      </c>
      <c r="J262" s="4">
        <v>8718310000</v>
      </c>
      <c r="K262" s="4">
        <v>22883000</v>
      </c>
      <c r="L262" s="4">
        <v>31669000</v>
      </c>
      <c r="M262" s="4">
        <v>247</v>
      </c>
      <c r="N262" s="4">
        <f t="shared" si="29"/>
        <v>90590.993607906828</v>
      </c>
      <c r="O262" s="4">
        <v>8718310000</v>
      </c>
      <c r="P262" s="4">
        <v>22883000</v>
      </c>
      <c r="Q262" s="4">
        <v>31669000</v>
      </c>
      <c r="R262" s="5">
        <v>247</v>
      </c>
      <c r="S262" s="4"/>
      <c r="T262" s="4">
        <v>17436620000</v>
      </c>
      <c r="V262" s="4">
        <f t="shared" si="30"/>
        <v>90590.993607906828</v>
      </c>
      <c r="W262" s="4"/>
      <c r="X262" s="9" t="str">
        <f t="shared" si="28"/>
        <v>a</v>
      </c>
      <c r="Y262" s="9" t="str">
        <f t="shared" si="28"/>
        <v>a</v>
      </c>
      <c r="Z262" s="31">
        <f t="shared" si="31"/>
        <v>137312.5</v>
      </c>
      <c r="AA262" s="31">
        <f t="shared" si="32"/>
        <v>137312.5</v>
      </c>
    </row>
    <row r="263" spans="1:27" ht="13">
      <c r="A263" s="9">
        <v>261</v>
      </c>
      <c r="B263" s="4" t="s">
        <v>1303</v>
      </c>
      <c r="C263" s="51"/>
      <c r="D263" s="8">
        <v>1195</v>
      </c>
      <c r="E263" s="8">
        <v>762</v>
      </c>
      <c r="F263" s="8"/>
      <c r="G263" s="5">
        <v>70</v>
      </c>
      <c r="H263" s="5">
        <v>70</v>
      </c>
      <c r="I263" s="4">
        <v>152200</v>
      </c>
      <c r="J263" s="4">
        <v>9202320000</v>
      </c>
      <c r="K263" s="4">
        <v>24153000</v>
      </c>
      <c r="L263" s="4">
        <v>33635000</v>
      </c>
      <c r="M263" s="4">
        <v>246</v>
      </c>
      <c r="N263" s="4">
        <f t="shared" si="29"/>
        <v>96893.529354345883</v>
      </c>
      <c r="O263" s="4">
        <v>9202320000</v>
      </c>
      <c r="P263" s="4">
        <v>24153000</v>
      </c>
      <c r="Q263" s="4">
        <v>33635000</v>
      </c>
      <c r="R263" s="5">
        <v>246</v>
      </c>
      <c r="S263" s="4"/>
      <c r="T263" s="4">
        <v>18404650000</v>
      </c>
      <c r="V263" s="4">
        <f t="shared" si="30"/>
        <v>96893.529354345883</v>
      </c>
      <c r="W263" s="4"/>
      <c r="X263" s="9" t="str">
        <f t="shared" ref="X263:Y282" si="33">IF(fy=460,"a0","a")</f>
        <v>a</v>
      </c>
      <c r="Y263" s="9" t="str">
        <f t="shared" si="33"/>
        <v>a</v>
      </c>
      <c r="Z263" s="31">
        <f t="shared" si="31"/>
        <v>171500</v>
      </c>
      <c r="AA263" s="31">
        <f t="shared" si="32"/>
        <v>171500</v>
      </c>
    </row>
    <row r="264" spans="1:27" ht="13">
      <c r="A264" s="9">
        <v>262</v>
      </c>
      <c r="B264" s="4" t="s">
        <v>1304</v>
      </c>
      <c r="C264" s="51"/>
      <c r="D264" s="8">
        <v>159</v>
      </c>
      <c r="E264" s="8">
        <v>813</v>
      </c>
      <c r="F264" s="8"/>
      <c r="G264" s="5">
        <v>8</v>
      </c>
      <c r="H264" s="5">
        <v>8</v>
      </c>
      <c r="I264" s="4">
        <v>20200</v>
      </c>
      <c r="J264" s="4">
        <v>1639000000</v>
      </c>
      <c r="K264" s="4">
        <v>4032000</v>
      </c>
      <c r="L264" s="4">
        <v>5184000</v>
      </c>
      <c r="M264" s="4">
        <v>285</v>
      </c>
      <c r="N264" s="4">
        <f t="shared" si="29"/>
        <v>12859.719401825143</v>
      </c>
      <c r="O264" s="4">
        <v>1639000000</v>
      </c>
      <c r="P264" s="4">
        <v>4032000</v>
      </c>
      <c r="Q264" s="4">
        <v>5184000</v>
      </c>
      <c r="R264" s="5">
        <v>285</v>
      </c>
      <c r="S264" s="4"/>
      <c r="T264" s="4">
        <v>3278000000</v>
      </c>
      <c r="V264" s="4">
        <f t="shared" si="30"/>
        <v>12859.719401825143</v>
      </c>
      <c r="W264" s="4"/>
      <c r="X264" s="9" t="str">
        <f t="shared" si="33"/>
        <v>a</v>
      </c>
      <c r="Y264" s="9" t="str">
        <f t="shared" si="33"/>
        <v>a</v>
      </c>
      <c r="Z264" s="31">
        <f t="shared" si="31"/>
        <v>256</v>
      </c>
      <c r="AA264" s="31">
        <f t="shared" si="32"/>
        <v>256</v>
      </c>
    </row>
    <row r="265" spans="1:27" ht="13">
      <c r="A265" s="9">
        <v>263</v>
      </c>
      <c r="B265" s="4" t="s">
        <v>1305</v>
      </c>
      <c r="C265" s="51"/>
      <c r="D265" s="8">
        <v>198</v>
      </c>
      <c r="E265" s="8">
        <v>813</v>
      </c>
      <c r="F265" s="8"/>
      <c r="G265" s="5">
        <v>10</v>
      </c>
      <c r="H265" s="5">
        <v>10</v>
      </c>
      <c r="I265" s="4">
        <v>25200</v>
      </c>
      <c r="J265" s="4">
        <v>2034000000</v>
      </c>
      <c r="K265" s="4">
        <v>5003000</v>
      </c>
      <c r="L265" s="4">
        <v>6448000</v>
      </c>
      <c r="M265" s="4">
        <v>284</v>
      </c>
      <c r="N265" s="4">
        <f t="shared" si="29"/>
        <v>16042.81826366305</v>
      </c>
      <c r="O265" s="4">
        <v>2034000000</v>
      </c>
      <c r="P265" s="4">
        <v>5003000</v>
      </c>
      <c r="Q265" s="4">
        <v>6448000</v>
      </c>
      <c r="R265" s="5">
        <v>284</v>
      </c>
      <c r="S265" s="4"/>
      <c r="T265" s="4">
        <v>4068000000</v>
      </c>
      <c r="V265" s="4">
        <f t="shared" si="30"/>
        <v>16042.81826366305</v>
      </c>
      <c r="W265" s="4"/>
      <c r="X265" s="9" t="str">
        <f t="shared" si="33"/>
        <v>a</v>
      </c>
      <c r="Y265" s="9" t="str">
        <f t="shared" si="33"/>
        <v>a</v>
      </c>
      <c r="Z265" s="31">
        <f t="shared" si="31"/>
        <v>500</v>
      </c>
      <c r="AA265" s="31">
        <f t="shared" si="32"/>
        <v>500</v>
      </c>
    </row>
    <row r="266" spans="1:27" ht="13">
      <c r="A266" s="9">
        <v>264</v>
      </c>
      <c r="B266" s="4" t="s">
        <v>1306</v>
      </c>
      <c r="C266" s="51"/>
      <c r="D266" s="8">
        <v>247</v>
      </c>
      <c r="E266" s="8">
        <v>813</v>
      </c>
      <c r="F266" s="8"/>
      <c r="G266" s="5">
        <v>12.5</v>
      </c>
      <c r="H266" s="5">
        <v>12.5</v>
      </c>
      <c r="I266" s="4">
        <v>31400</v>
      </c>
      <c r="J266" s="4">
        <v>2519000000</v>
      </c>
      <c r="K266" s="4">
        <v>6196000</v>
      </c>
      <c r="L266" s="4">
        <v>8011000</v>
      </c>
      <c r="M266" s="4">
        <v>283</v>
      </c>
      <c r="N266" s="4">
        <f t="shared" si="29"/>
        <v>19989.860852342055</v>
      </c>
      <c r="O266" s="4">
        <v>2519000000</v>
      </c>
      <c r="P266" s="4">
        <v>6196000</v>
      </c>
      <c r="Q266" s="4">
        <v>8011000</v>
      </c>
      <c r="R266" s="5">
        <v>283</v>
      </c>
      <c r="S266" s="4"/>
      <c r="T266" s="4">
        <v>5037000000</v>
      </c>
      <c r="V266" s="4">
        <f t="shared" si="30"/>
        <v>19989.860852342055</v>
      </c>
      <c r="W266" s="4"/>
      <c r="X266" s="9" t="str">
        <f t="shared" si="33"/>
        <v>a</v>
      </c>
      <c r="Y266" s="9" t="str">
        <f t="shared" si="33"/>
        <v>a</v>
      </c>
      <c r="Z266" s="31">
        <f t="shared" si="31"/>
        <v>976.5625</v>
      </c>
      <c r="AA266" s="31">
        <f t="shared" si="32"/>
        <v>976.5625</v>
      </c>
    </row>
    <row r="267" spans="1:27" ht="13">
      <c r="A267" s="9">
        <v>265</v>
      </c>
      <c r="B267" s="4" t="s">
        <v>1307</v>
      </c>
      <c r="C267" s="51"/>
      <c r="D267" s="8">
        <v>280</v>
      </c>
      <c r="E267" s="8">
        <v>813</v>
      </c>
      <c r="F267" s="8"/>
      <c r="G267" s="5">
        <v>14.2</v>
      </c>
      <c r="H267" s="5">
        <v>14.2</v>
      </c>
      <c r="I267" s="4">
        <v>35600</v>
      </c>
      <c r="J267" s="4">
        <v>2840000000</v>
      </c>
      <c r="K267" s="4">
        <v>6990000</v>
      </c>
      <c r="L267" s="4">
        <v>9060000</v>
      </c>
      <c r="M267" s="4">
        <v>282</v>
      </c>
      <c r="N267" s="4">
        <f t="shared" si="29"/>
        <v>22663.663896285896</v>
      </c>
      <c r="O267" s="4">
        <v>2840000000</v>
      </c>
      <c r="P267" s="4">
        <v>6990000</v>
      </c>
      <c r="Q267" s="4">
        <v>9060000</v>
      </c>
      <c r="R267" s="5">
        <v>282</v>
      </c>
      <c r="S267" s="4"/>
      <c r="T267" s="4">
        <v>5690000000</v>
      </c>
      <c r="V267" s="4">
        <f t="shared" si="30"/>
        <v>22663.663896285896</v>
      </c>
      <c r="W267" s="4"/>
      <c r="X267" s="9" t="str">
        <f t="shared" si="33"/>
        <v>a</v>
      </c>
      <c r="Y267" s="9" t="str">
        <f t="shared" si="33"/>
        <v>a</v>
      </c>
      <c r="Z267" s="31">
        <f t="shared" si="31"/>
        <v>1431.6439999999998</v>
      </c>
      <c r="AA267" s="31">
        <f t="shared" si="32"/>
        <v>1431.6439999999998</v>
      </c>
    </row>
    <row r="268" spans="1:27" ht="13">
      <c r="A268" s="9">
        <v>266</v>
      </c>
      <c r="B268" s="4" t="s">
        <v>1308</v>
      </c>
      <c r="C268" s="51"/>
      <c r="D268" s="8">
        <v>314</v>
      </c>
      <c r="E268" s="8">
        <v>813</v>
      </c>
      <c r="F268" s="8"/>
      <c r="G268" s="5">
        <v>16</v>
      </c>
      <c r="H268" s="5">
        <v>16</v>
      </c>
      <c r="I268" s="4">
        <v>40100</v>
      </c>
      <c r="J268" s="4">
        <v>3182000000</v>
      </c>
      <c r="K268" s="4">
        <v>7828000</v>
      </c>
      <c r="L268" s="4">
        <v>10170000</v>
      </c>
      <c r="M268" s="4">
        <v>282</v>
      </c>
      <c r="N268" s="4">
        <f t="shared" si="29"/>
        <v>25528.452871940011</v>
      </c>
      <c r="O268" s="4">
        <v>3182000000</v>
      </c>
      <c r="P268" s="4">
        <v>7828000</v>
      </c>
      <c r="Q268" s="4">
        <v>10170000</v>
      </c>
      <c r="R268" s="5">
        <v>282</v>
      </c>
      <c r="S268" s="4"/>
      <c r="T268" s="4">
        <v>6364000000</v>
      </c>
      <c r="V268" s="4">
        <f t="shared" si="30"/>
        <v>25528.452871940011</v>
      </c>
      <c r="W268" s="4"/>
      <c r="X268" s="9" t="str">
        <f t="shared" si="33"/>
        <v>a</v>
      </c>
      <c r="Y268" s="9" t="str">
        <f t="shared" si="33"/>
        <v>a</v>
      </c>
      <c r="Z268" s="31">
        <f t="shared" si="31"/>
        <v>2048</v>
      </c>
      <c r="AA268" s="31">
        <f t="shared" si="32"/>
        <v>2048</v>
      </c>
    </row>
    <row r="269" spans="1:27" ht="13">
      <c r="A269" s="9">
        <v>267</v>
      </c>
      <c r="B269" s="4" t="s">
        <v>1309</v>
      </c>
      <c r="C269" s="51"/>
      <c r="D269" s="8">
        <v>391</v>
      </c>
      <c r="E269" s="8">
        <v>813</v>
      </c>
      <c r="F269" s="8"/>
      <c r="G269" s="5">
        <v>20</v>
      </c>
      <c r="H269" s="5">
        <v>20</v>
      </c>
      <c r="I269" s="4">
        <v>49800</v>
      </c>
      <c r="J269" s="4">
        <v>3919000000</v>
      </c>
      <c r="K269" s="4">
        <v>9641000</v>
      </c>
      <c r="L269" s="4">
        <v>12580000</v>
      </c>
      <c r="M269" s="4">
        <v>280</v>
      </c>
      <c r="N269" s="4">
        <f t="shared" si="29"/>
        <v>31703.664663905551</v>
      </c>
      <c r="O269" s="4">
        <v>3919000000</v>
      </c>
      <c r="P269" s="4">
        <v>9641000</v>
      </c>
      <c r="Q269" s="4">
        <v>12580000</v>
      </c>
      <c r="R269" s="5">
        <v>280</v>
      </c>
      <c r="S269" s="4"/>
      <c r="T269" s="4">
        <v>7837999999.999999</v>
      </c>
      <c r="V269" s="4">
        <f t="shared" si="30"/>
        <v>31703.664663905551</v>
      </c>
      <c r="W269" s="4"/>
      <c r="X269" s="9" t="str">
        <f t="shared" si="33"/>
        <v>a</v>
      </c>
      <c r="Y269" s="9" t="str">
        <f t="shared" si="33"/>
        <v>a</v>
      </c>
      <c r="Z269" s="31">
        <f t="shared" si="31"/>
        <v>4000</v>
      </c>
      <c r="AA269" s="31">
        <f t="shared" si="32"/>
        <v>4000</v>
      </c>
    </row>
    <row r="270" spans="1:27" ht="13">
      <c r="A270" s="9">
        <v>268</v>
      </c>
      <c r="B270" s="4" t="s">
        <v>1310</v>
      </c>
      <c r="C270" s="51"/>
      <c r="D270" s="8">
        <v>486</v>
      </c>
      <c r="E270" s="8">
        <v>813</v>
      </c>
      <c r="F270" s="8"/>
      <c r="G270" s="5">
        <v>25</v>
      </c>
      <c r="H270" s="5">
        <v>25</v>
      </c>
      <c r="I270" s="4">
        <v>61900</v>
      </c>
      <c r="J270" s="4">
        <v>4809000000</v>
      </c>
      <c r="K270" s="4">
        <v>11830000</v>
      </c>
      <c r="L270" s="4">
        <v>15530000</v>
      </c>
      <c r="M270" s="4">
        <v>279</v>
      </c>
      <c r="N270" s="4">
        <f t="shared" si="29"/>
        <v>39406.763909553287</v>
      </c>
      <c r="O270" s="4">
        <v>4809000000</v>
      </c>
      <c r="P270" s="4">
        <v>11830000</v>
      </c>
      <c r="Q270" s="4">
        <v>15530000</v>
      </c>
      <c r="R270" s="5">
        <v>279</v>
      </c>
      <c r="S270" s="4"/>
      <c r="T270" s="4">
        <v>9617000000</v>
      </c>
      <c r="V270" s="4">
        <f t="shared" si="30"/>
        <v>39406.763909553287</v>
      </c>
      <c r="W270" s="4"/>
      <c r="X270" s="9" t="str">
        <f t="shared" si="33"/>
        <v>a</v>
      </c>
      <c r="Y270" s="9" t="str">
        <f t="shared" si="33"/>
        <v>a</v>
      </c>
      <c r="Z270" s="31">
        <f t="shared" si="31"/>
        <v>7812.5</v>
      </c>
      <c r="AA270" s="31">
        <f t="shared" si="32"/>
        <v>7812.5</v>
      </c>
    </row>
    <row r="271" spans="1:27" ht="13">
      <c r="A271" s="9">
        <v>269</v>
      </c>
      <c r="B271" s="4" t="s">
        <v>1311</v>
      </c>
      <c r="C271" s="51"/>
      <c r="D271" s="8">
        <v>579</v>
      </c>
      <c r="E271" s="8">
        <v>813</v>
      </c>
      <c r="F271" s="8"/>
      <c r="G271" s="5">
        <v>30</v>
      </c>
      <c r="H271" s="5">
        <v>30</v>
      </c>
      <c r="I271" s="4">
        <v>73800</v>
      </c>
      <c r="J271" s="4">
        <v>5664000000</v>
      </c>
      <c r="K271" s="4">
        <v>13930000</v>
      </c>
      <c r="L271" s="4">
        <v>18400000</v>
      </c>
      <c r="M271" s="4">
        <v>277</v>
      </c>
      <c r="N271" s="4">
        <f t="shared" si="29"/>
        <v>46982.539200727508</v>
      </c>
      <c r="O271" s="4">
        <v>5664000000</v>
      </c>
      <c r="P271" s="4">
        <v>13930000</v>
      </c>
      <c r="Q271" s="4">
        <v>18400000</v>
      </c>
      <c r="R271" s="5">
        <v>277</v>
      </c>
      <c r="S271" s="4"/>
      <c r="T271" s="4">
        <v>11328000000</v>
      </c>
      <c r="V271" s="4">
        <f t="shared" si="30"/>
        <v>46982.539200727508</v>
      </c>
      <c r="W271" s="4"/>
      <c r="X271" s="9" t="str">
        <f t="shared" si="33"/>
        <v>a</v>
      </c>
      <c r="Y271" s="9" t="str">
        <f t="shared" si="33"/>
        <v>a</v>
      </c>
      <c r="Z271" s="31">
        <f t="shared" si="31"/>
        <v>13500</v>
      </c>
      <c r="AA271" s="31">
        <f t="shared" si="32"/>
        <v>13500</v>
      </c>
    </row>
    <row r="272" spans="1:27" ht="13">
      <c r="A272" s="9">
        <v>270</v>
      </c>
      <c r="B272" s="4" t="s">
        <v>1312</v>
      </c>
      <c r="C272" s="51"/>
      <c r="D272" s="8">
        <v>616</v>
      </c>
      <c r="E272" s="8">
        <v>813</v>
      </c>
      <c r="F272" s="8"/>
      <c r="G272" s="5">
        <v>32</v>
      </c>
      <c r="H272" s="5">
        <v>32</v>
      </c>
      <c r="I272" s="4">
        <v>78500</v>
      </c>
      <c r="J272" s="4">
        <v>5996410000</v>
      </c>
      <c r="K272" s="4">
        <v>14751000</v>
      </c>
      <c r="L272" s="4">
        <v>19530000</v>
      </c>
      <c r="M272" s="4">
        <v>276</v>
      </c>
      <c r="N272" s="4">
        <f t="shared" si="29"/>
        <v>49974.652130855138</v>
      </c>
      <c r="O272" s="4">
        <v>5996410000</v>
      </c>
      <c r="P272" s="4">
        <v>14751000</v>
      </c>
      <c r="Q272" s="4">
        <v>19530000</v>
      </c>
      <c r="R272" s="5">
        <v>276</v>
      </c>
      <c r="S272" s="4"/>
      <c r="T272" s="4">
        <v>11992820000</v>
      </c>
      <c r="V272" s="4">
        <f t="shared" si="30"/>
        <v>49974.652130855138</v>
      </c>
      <c r="W272" s="4"/>
      <c r="X272" s="9" t="str">
        <f t="shared" si="33"/>
        <v>a</v>
      </c>
      <c r="Y272" s="9" t="str">
        <f t="shared" si="33"/>
        <v>a</v>
      </c>
      <c r="Z272" s="31">
        <f t="shared" si="31"/>
        <v>16384</v>
      </c>
      <c r="AA272" s="31">
        <f t="shared" si="32"/>
        <v>16384</v>
      </c>
    </row>
    <row r="273" spans="1:27" ht="13">
      <c r="A273" s="9">
        <v>271</v>
      </c>
      <c r="B273" s="4" t="s">
        <v>1313</v>
      </c>
      <c r="C273" s="51"/>
      <c r="D273" s="8">
        <v>690</v>
      </c>
      <c r="E273" s="8">
        <v>813</v>
      </c>
      <c r="F273" s="8"/>
      <c r="G273" s="5">
        <v>36</v>
      </c>
      <c r="H273" s="5">
        <v>36</v>
      </c>
      <c r="I273" s="4">
        <v>87900</v>
      </c>
      <c r="J273" s="4">
        <v>6645939999.999999</v>
      </c>
      <c r="K273" s="4">
        <v>16349000</v>
      </c>
      <c r="L273" s="4">
        <v>21750000</v>
      </c>
      <c r="M273" s="4">
        <v>275</v>
      </c>
      <c r="N273" s="4">
        <f t="shared" si="29"/>
        <v>55958.877991110399</v>
      </c>
      <c r="O273" s="4">
        <v>6645939999.999999</v>
      </c>
      <c r="P273" s="4">
        <v>16349000</v>
      </c>
      <c r="Q273" s="4">
        <v>21750000</v>
      </c>
      <c r="R273" s="5">
        <v>275</v>
      </c>
      <c r="S273" s="4"/>
      <c r="T273" s="4">
        <v>13291889999.999998</v>
      </c>
      <c r="V273" s="4">
        <f t="shared" si="30"/>
        <v>55958.877991110399</v>
      </c>
      <c r="W273" s="4"/>
      <c r="X273" s="9" t="str">
        <f t="shared" si="33"/>
        <v>a</v>
      </c>
      <c r="Y273" s="9" t="str">
        <f t="shared" si="33"/>
        <v>a</v>
      </c>
      <c r="Z273" s="31">
        <f t="shared" si="31"/>
        <v>23328</v>
      </c>
      <c r="AA273" s="31">
        <f t="shared" si="32"/>
        <v>23328</v>
      </c>
    </row>
    <row r="274" spans="1:27" ht="13">
      <c r="A274" s="9">
        <v>272</v>
      </c>
      <c r="B274" s="4" t="s">
        <v>1314</v>
      </c>
      <c r="C274" s="51"/>
      <c r="D274" s="8">
        <v>763</v>
      </c>
      <c r="E274" s="8">
        <v>813</v>
      </c>
      <c r="F274" s="8"/>
      <c r="G274" s="5">
        <v>40</v>
      </c>
      <c r="H274" s="5">
        <v>40</v>
      </c>
      <c r="I274" s="4">
        <v>97100</v>
      </c>
      <c r="J274" s="4">
        <v>7274780000</v>
      </c>
      <c r="K274" s="4">
        <v>17896000</v>
      </c>
      <c r="L274" s="4">
        <v>23922000</v>
      </c>
      <c r="M274" s="4">
        <v>274</v>
      </c>
      <c r="N274" s="4">
        <f t="shared" si="29"/>
        <v>61815.779896892149</v>
      </c>
      <c r="O274" s="4">
        <v>7274780000</v>
      </c>
      <c r="P274" s="4">
        <v>17896000</v>
      </c>
      <c r="Q274" s="4">
        <v>23922000</v>
      </c>
      <c r="R274" s="5">
        <v>274</v>
      </c>
      <c r="S274" s="4"/>
      <c r="T274" s="4">
        <v>14549550000</v>
      </c>
      <c r="V274" s="4">
        <f t="shared" si="30"/>
        <v>61815.779896892149</v>
      </c>
      <c r="W274" s="4"/>
      <c r="X274" s="9" t="str">
        <f t="shared" si="33"/>
        <v>a</v>
      </c>
      <c r="Y274" s="9" t="str">
        <f t="shared" si="33"/>
        <v>a</v>
      </c>
      <c r="Z274" s="31">
        <f t="shared" si="31"/>
        <v>32000</v>
      </c>
      <c r="AA274" s="31">
        <f t="shared" si="32"/>
        <v>32000</v>
      </c>
    </row>
    <row r="275" spans="1:27" ht="13">
      <c r="A275" s="9">
        <v>273</v>
      </c>
      <c r="B275" s="4" t="s">
        <v>1315</v>
      </c>
      <c r="C275" s="51"/>
      <c r="D275" s="8">
        <v>852</v>
      </c>
      <c r="E275" s="8">
        <v>813</v>
      </c>
      <c r="F275" s="8"/>
      <c r="G275" s="5">
        <v>45</v>
      </c>
      <c r="H275" s="5">
        <v>45</v>
      </c>
      <c r="I275" s="4">
        <v>108600</v>
      </c>
      <c r="J275" s="4">
        <v>8032390000</v>
      </c>
      <c r="K275" s="4">
        <v>19760000</v>
      </c>
      <c r="L275" s="4">
        <v>26572000</v>
      </c>
      <c r="M275" s="4">
        <v>272</v>
      </c>
      <c r="N275" s="4">
        <f t="shared" si="29"/>
        <v>69136.907279119332</v>
      </c>
      <c r="O275" s="4">
        <v>8032390000</v>
      </c>
      <c r="P275" s="4">
        <v>19760000</v>
      </c>
      <c r="Q275" s="4">
        <v>26572000</v>
      </c>
      <c r="R275" s="5">
        <v>272</v>
      </c>
      <c r="S275" s="4"/>
      <c r="T275" s="4">
        <v>16064770000</v>
      </c>
      <c r="V275" s="4">
        <f t="shared" si="30"/>
        <v>69136.907279119332</v>
      </c>
      <c r="W275" s="4"/>
      <c r="X275" s="9" t="str">
        <f t="shared" si="33"/>
        <v>a</v>
      </c>
      <c r="Y275" s="9" t="str">
        <f t="shared" si="33"/>
        <v>a</v>
      </c>
      <c r="Z275" s="31">
        <f t="shared" si="31"/>
        <v>45562.5</v>
      </c>
      <c r="AA275" s="31">
        <f t="shared" si="32"/>
        <v>45562.5</v>
      </c>
    </row>
    <row r="276" spans="1:27" ht="13">
      <c r="A276" s="9">
        <v>274</v>
      </c>
      <c r="B276" s="4" t="s">
        <v>1316</v>
      </c>
      <c r="C276" s="51"/>
      <c r="D276" s="8">
        <v>941</v>
      </c>
      <c r="E276" s="8">
        <v>813</v>
      </c>
      <c r="F276" s="8"/>
      <c r="G276" s="5">
        <v>50</v>
      </c>
      <c r="H276" s="5">
        <v>50</v>
      </c>
      <c r="I276" s="4">
        <v>119900</v>
      </c>
      <c r="J276" s="4">
        <v>8759200000</v>
      </c>
      <c r="K276" s="4">
        <v>21548000</v>
      </c>
      <c r="L276" s="4">
        <v>29150000</v>
      </c>
      <c r="M276" s="4">
        <v>270</v>
      </c>
      <c r="N276" s="4">
        <f t="shared" si="29"/>
        <v>76330.710706873011</v>
      </c>
      <c r="O276" s="4">
        <v>8759200000</v>
      </c>
      <c r="P276" s="4">
        <v>21548000</v>
      </c>
      <c r="Q276" s="4">
        <v>29150000</v>
      </c>
      <c r="R276" s="5">
        <v>270</v>
      </c>
      <c r="S276" s="4"/>
      <c r="T276" s="4">
        <v>17518400000</v>
      </c>
      <c r="V276" s="4">
        <f t="shared" si="30"/>
        <v>76330.710706873011</v>
      </c>
      <c r="W276" s="4"/>
      <c r="X276" s="9" t="str">
        <f t="shared" si="33"/>
        <v>a</v>
      </c>
      <c r="Y276" s="9" t="str">
        <f t="shared" si="33"/>
        <v>a</v>
      </c>
      <c r="Z276" s="31">
        <f t="shared" si="31"/>
        <v>62500</v>
      </c>
      <c r="AA276" s="31">
        <f t="shared" si="32"/>
        <v>62500</v>
      </c>
    </row>
    <row r="277" spans="1:27" ht="13">
      <c r="A277" s="9">
        <v>275</v>
      </c>
      <c r="B277" s="4" t="s">
        <v>1317</v>
      </c>
      <c r="C277" s="51"/>
      <c r="D277" s="8">
        <v>1028</v>
      </c>
      <c r="E277" s="8">
        <v>813</v>
      </c>
      <c r="F277" s="8"/>
      <c r="G277" s="5">
        <v>55</v>
      </c>
      <c r="H277" s="5">
        <v>55</v>
      </c>
      <c r="I277" s="4">
        <v>131000</v>
      </c>
      <c r="J277" s="4">
        <v>9456070000</v>
      </c>
      <c r="K277" s="4">
        <v>23262000</v>
      </c>
      <c r="L277" s="4">
        <v>31656000</v>
      </c>
      <c r="M277" s="4">
        <v>269</v>
      </c>
      <c r="N277" s="4">
        <f t="shared" si="29"/>
        <v>83397.190180153164</v>
      </c>
      <c r="O277" s="4">
        <v>9456070000</v>
      </c>
      <c r="P277" s="4">
        <v>23262000</v>
      </c>
      <c r="Q277" s="4">
        <v>31656000</v>
      </c>
      <c r="R277" s="5">
        <v>269</v>
      </c>
      <c r="S277" s="4"/>
      <c r="T277" s="4">
        <v>18912140000</v>
      </c>
      <c r="V277" s="4">
        <f t="shared" si="30"/>
        <v>83397.190180153164</v>
      </c>
      <c r="W277" s="4"/>
      <c r="X277" s="9" t="str">
        <f t="shared" si="33"/>
        <v>a</v>
      </c>
      <c r="Y277" s="9" t="str">
        <f t="shared" si="33"/>
        <v>a</v>
      </c>
      <c r="Z277" s="31">
        <f t="shared" si="31"/>
        <v>83187.5</v>
      </c>
      <c r="AA277" s="31">
        <f t="shared" si="32"/>
        <v>83187.5</v>
      </c>
    </row>
    <row r="278" spans="1:27" ht="13">
      <c r="A278" s="9">
        <v>276</v>
      </c>
      <c r="B278" s="4" t="s">
        <v>1318</v>
      </c>
      <c r="C278" s="51"/>
      <c r="D278" s="8">
        <v>1114</v>
      </c>
      <c r="E278" s="8">
        <v>813</v>
      </c>
      <c r="F278" s="8"/>
      <c r="G278" s="5">
        <v>60</v>
      </c>
      <c r="H278" s="5">
        <v>60</v>
      </c>
      <c r="I278" s="4">
        <v>141900</v>
      </c>
      <c r="J278" s="4">
        <v>10123830000</v>
      </c>
      <c r="K278" s="4">
        <v>24905000</v>
      </c>
      <c r="L278" s="4">
        <v>34093000</v>
      </c>
      <c r="M278" s="4">
        <v>267</v>
      </c>
      <c r="N278" s="4">
        <f t="shared" si="29"/>
        <v>90336.345698959791</v>
      </c>
      <c r="O278" s="4">
        <v>10123830000</v>
      </c>
      <c r="P278" s="4">
        <v>24905000</v>
      </c>
      <c r="Q278" s="4">
        <v>34093000</v>
      </c>
      <c r="R278" s="5">
        <v>267</v>
      </c>
      <c r="S278" s="4"/>
      <c r="T278" s="4">
        <v>29247650000</v>
      </c>
      <c r="V278" s="4">
        <f t="shared" si="30"/>
        <v>90336.345698959791</v>
      </c>
      <c r="W278" s="4"/>
      <c r="X278" s="9" t="str">
        <f t="shared" si="33"/>
        <v>a</v>
      </c>
      <c r="Y278" s="9" t="str">
        <f t="shared" si="33"/>
        <v>a</v>
      </c>
      <c r="Z278" s="31">
        <f t="shared" si="31"/>
        <v>108000</v>
      </c>
      <c r="AA278" s="31">
        <f t="shared" si="32"/>
        <v>108000</v>
      </c>
    </row>
    <row r="279" spans="1:27" ht="13">
      <c r="A279" s="9">
        <v>277</v>
      </c>
      <c r="B279" s="4" t="s">
        <v>1319</v>
      </c>
      <c r="C279" s="51"/>
      <c r="D279" s="8">
        <v>1199</v>
      </c>
      <c r="E279" s="8">
        <v>813</v>
      </c>
      <c r="F279" s="8"/>
      <c r="G279" s="5">
        <v>65</v>
      </c>
      <c r="H279" s="5">
        <v>65</v>
      </c>
      <c r="I279" s="4">
        <v>152700</v>
      </c>
      <c r="J279" s="4">
        <v>10763290000</v>
      </c>
      <c r="K279" s="4">
        <v>26478000</v>
      </c>
      <c r="L279" s="4">
        <v>36459000</v>
      </c>
      <c r="M279" s="4">
        <v>265</v>
      </c>
      <c r="N279" s="4">
        <f t="shared" si="29"/>
        <v>97211.839240529676</v>
      </c>
      <c r="O279" s="4">
        <v>10763290000</v>
      </c>
      <c r="P279" s="4">
        <v>26478000</v>
      </c>
      <c r="Q279" s="4">
        <v>36459000</v>
      </c>
      <c r="R279" s="5">
        <v>265</v>
      </c>
      <c r="S279" s="4"/>
      <c r="T279" s="4">
        <v>21526590000</v>
      </c>
      <c r="V279" s="4">
        <f t="shared" si="30"/>
        <v>97211.839240529676</v>
      </c>
      <c r="W279" s="4"/>
      <c r="X279" s="9" t="str">
        <f t="shared" si="33"/>
        <v>a</v>
      </c>
      <c r="Y279" s="9" t="str">
        <f t="shared" si="33"/>
        <v>a</v>
      </c>
      <c r="Z279" s="31">
        <f t="shared" si="31"/>
        <v>137312.5</v>
      </c>
      <c r="AA279" s="31">
        <f t="shared" si="32"/>
        <v>137312.5</v>
      </c>
    </row>
    <row r="280" spans="1:27" ht="13">
      <c r="A280" s="9">
        <v>278</v>
      </c>
      <c r="B280" s="4" t="s">
        <v>1320</v>
      </c>
      <c r="C280" s="51"/>
      <c r="D280" s="8">
        <v>1283</v>
      </c>
      <c r="E280" s="8">
        <v>813</v>
      </c>
      <c r="F280" s="8"/>
      <c r="G280" s="5">
        <v>70</v>
      </c>
      <c r="H280" s="5">
        <v>70</v>
      </c>
      <c r="I280" s="4">
        <v>163400</v>
      </c>
      <c r="J280" s="4">
        <v>11375280000</v>
      </c>
      <c r="K280" s="4">
        <v>27983000</v>
      </c>
      <c r="L280" s="4">
        <v>38758000</v>
      </c>
      <c r="M280" s="4">
        <v>264</v>
      </c>
      <c r="N280" s="4">
        <f t="shared" si="29"/>
        <v>104023.67080486279</v>
      </c>
      <c r="O280" s="4">
        <v>11375280000</v>
      </c>
      <c r="P280" s="4">
        <v>27983000</v>
      </c>
      <c r="Q280" s="4">
        <v>38758000</v>
      </c>
      <c r="R280" s="5">
        <v>264</v>
      </c>
      <c r="S280" s="4"/>
      <c r="T280" s="4">
        <v>22750560000</v>
      </c>
      <c r="V280" s="4">
        <f t="shared" si="30"/>
        <v>104023.67080486279</v>
      </c>
      <c r="W280" s="4"/>
      <c r="X280" s="9" t="str">
        <f t="shared" si="33"/>
        <v>a</v>
      </c>
      <c r="Y280" s="9" t="str">
        <f t="shared" si="33"/>
        <v>a</v>
      </c>
      <c r="Z280" s="31">
        <f t="shared" si="31"/>
        <v>171500</v>
      </c>
      <c r="AA280" s="31">
        <f t="shared" si="32"/>
        <v>171500</v>
      </c>
    </row>
    <row r="281" spans="1:27" ht="13">
      <c r="A281" s="9">
        <v>279</v>
      </c>
      <c r="B281" s="4" t="s">
        <v>1321</v>
      </c>
      <c r="C281" s="51"/>
      <c r="D281" s="8">
        <v>179</v>
      </c>
      <c r="E281" s="8">
        <v>914</v>
      </c>
      <c r="F281" s="8"/>
      <c r="G281" s="5">
        <v>8</v>
      </c>
      <c r="H281" s="5">
        <v>8</v>
      </c>
      <c r="I281" s="4">
        <v>22800</v>
      </c>
      <c r="J281" s="4">
        <v>2337000000</v>
      </c>
      <c r="K281" s="4">
        <v>5113000</v>
      </c>
      <c r="L281" s="4">
        <v>6567000</v>
      </c>
      <c r="M281" s="4">
        <v>320</v>
      </c>
      <c r="N281" s="4">
        <f t="shared" si="29"/>
        <v>14514.930809980855</v>
      </c>
      <c r="O281" s="4">
        <v>2337000000</v>
      </c>
      <c r="P281" s="4">
        <v>5113000</v>
      </c>
      <c r="Q281" s="4">
        <v>6567000</v>
      </c>
      <c r="R281" s="5">
        <v>320</v>
      </c>
      <c r="S281" s="4"/>
      <c r="T281" s="4">
        <v>4673000000</v>
      </c>
      <c r="V281" s="4">
        <f t="shared" si="30"/>
        <v>14514.930809980855</v>
      </c>
      <c r="W281" s="4"/>
      <c r="X281" s="9" t="str">
        <f t="shared" si="33"/>
        <v>a</v>
      </c>
      <c r="Y281" s="9" t="str">
        <f t="shared" si="33"/>
        <v>a</v>
      </c>
      <c r="Z281" s="31">
        <f t="shared" si="31"/>
        <v>256</v>
      </c>
      <c r="AA281" s="31">
        <f t="shared" si="32"/>
        <v>256</v>
      </c>
    </row>
    <row r="282" spans="1:27" ht="13">
      <c r="A282" s="9">
        <v>280</v>
      </c>
      <c r="B282" s="4" t="s">
        <v>1322</v>
      </c>
      <c r="C282" s="51"/>
      <c r="D282" s="8">
        <v>223</v>
      </c>
      <c r="E282" s="8">
        <v>914</v>
      </c>
      <c r="F282" s="8"/>
      <c r="G282" s="5">
        <v>10</v>
      </c>
      <c r="H282" s="5">
        <v>10</v>
      </c>
      <c r="I282" s="4">
        <v>28400</v>
      </c>
      <c r="J282" s="4">
        <v>2905000000</v>
      </c>
      <c r="K282" s="4">
        <v>6349000</v>
      </c>
      <c r="L282" s="4">
        <v>8172000</v>
      </c>
      <c r="M282" s="4">
        <v>320</v>
      </c>
      <c r="N282" s="4">
        <f t="shared" si="29"/>
        <v>18080.001535239309</v>
      </c>
      <c r="O282" s="4">
        <v>2905000000</v>
      </c>
      <c r="P282" s="4">
        <v>6349000</v>
      </c>
      <c r="Q282" s="4">
        <v>8172000</v>
      </c>
      <c r="R282" s="5">
        <v>320</v>
      </c>
      <c r="S282" s="4"/>
      <c r="T282" s="4">
        <v>5803000000</v>
      </c>
      <c r="V282" s="4">
        <f t="shared" si="30"/>
        <v>18080.001535239309</v>
      </c>
      <c r="W282" s="4"/>
      <c r="X282" s="9" t="str">
        <f t="shared" si="33"/>
        <v>a</v>
      </c>
      <c r="Y282" s="9" t="str">
        <f t="shared" si="33"/>
        <v>a</v>
      </c>
      <c r="Z282" s="31">
        <f t="shared" si="31"/>
        <v>500</v>
      </c>
      <c r="AA282" s="31">
        <f t="shared" si="32"/>
        <v>500</v>
      </c>
    </row>
    <row r="283" spans="1:27" ht="13">
      <c r="A283" s="9">
        <v>281</v>
      </c>
      <c r="B283" s="4" t="s">
        <v>1323</v>
      </c>
      <c r="C283" s="51"/>
      <c r="D283" s="8">
        <v>278</v>
      </c>
      <c r="E283" s="8">
        <v>914</v>
      </c>
      <c r="F283" s="8"/>
      <c r="G283" s="5">
        <v>12.5</v>
      </c>
      <c r="H283" s="5">
        <v>12.5</v>
      </c>
      <c r="I283" s="4">
        <v>35400</v>
      </c>
      <c r="J283" s="4">
        <v>3597000000</v>
      </c>
      <c r="K283" s="4">
        <v>7871000</v>
      </c>
      <c r="L283" s="4">
        <v>10160000</v>
      </c>
      <c r="M283" s="4">
        <v>319</v>
      </c>
      <c r="N283" s="4">
        <f t="shared" si="29"/>
        <v>22536.339941812381</v>
      </c>
      <c r="O283" s="4">
        <v>3597000000</v>
      </c>
      <c r="P283" s="4">
        <v>7871000</v>
      </c>
      <c r="Q283" s="4">
        <v>10160000</v>
      </c>
      <c r="R283" s="5">
        <v>319</v>
      </c>
      <c r="S283" s="4"/>
      <c r="T283" s="4">
        <v>7194000000</v>
      </c>
      <c r="V283" s="4">
        <f t="shared" si="30"/>
        <v>22536.339941812381</v>
      </c>
      <c r="W283" s="4"/>
      <c r="X283" s="9" t="str">
        <f t="shared" ref="X283:Y302" si="34">IF(fy=460,"a0","a")</f>
        <v>a</v>
      </c>
      <c r="Y283" s="9" t="str">
        <f t="shared" si="34"/>
        <v>a</v>
      </c>
      <c r="Z283" s="31">
        <f t="shared" si="31"/>
        <v>976.5625</v>
      </c>
      <c r="AA283" s="31">
        <f t="shared" si="32"/>
        <v>976.5625</v>
      </c>
    </row>
    <row r="284" spans="1:27" ht="13">
      <c r="A284" s="9">
        <v>282</v>
      </c>
      <c r="B284" s="4" t="s">
        <v>1324</v>
      </c>
      <c r="C284" s="51"/>
      <c r="D284" s="8">
        <v>315</v>
      </c>
      <c r="E284" s="8">
        <v>914</v>
      </c>
      <c r="F284" s="8"/>
      <c r="G284" s="5">
        <v>14.2</v>
      </c>
      <c r="H284" s="5">
        <v>14.2</v>
      </c>
      <c r="I284" s="4">
        <v>40100</v>
      </c>
      <c r="J284" s="4">
        <v>4060000000</v>
      </c>
      <c r="K284" s="4">
        <v>8890000</v>
      </c>
      <c r="L284" s="4">
        <v>11500000</v>
      </c>
      <c r="M284" s="4">
        <v>318</v>
      </c>
      <c r="N284" s="4">
        <f t="shared" si="29"/>
        <v>25528.452871940011</v>
      </c>
      <c r="O284" s="4">
        <v>4060000000</v>
      </c>
      <c r="P284" s="4">
        <v>8890000</v>
      </c>
      <c r="Q284" s="4">
        <v>11500000</v>
      </c>
      <c r="R284" s="5">
        <v>318</v>
      </c>
      <c r="S284" s="4"/>
      <c r="T284" s="4">
        <v>8130000000</v>
      </c>
      <c r="V284" s="4">
        <f t="shared" si="30"/>
        <v>25528.452871940011</v>
      </c>
      <c r="W284" s="4"/>
      <c r="X284" s="9" t="str">
        <f t="shared" si="34"/>
        <v>a</v>
      </c>
      <c r="Y284" s="9" t="str">
        <f t="shared" si="34"/>
        <v>a</v>
      </c>
      <c r="Z284" s="31">
        <f t="shared" si="31"/>
        <v>1431.6439999999998</v>
      </c>
      <c r="AA284" s="31">
        <f t="shared" si="32"/>
        <v>1431.6439999999998</v>
      </c>
    </row>
    <row r="285" spans="1:27" ht="13">
      <c r="A285" s="9">
        <v>283</v>
      </c>
      <c r="B285" s="4" t="s">
        <v>1325</v>
      </c>
      <c r="C285" s="51"/>
      <c r="D285" s="8">
        <v>354</v>
      </c>
      <c r="E285" s="8">
        <v>914</v>
      </c>
      <c r="F285" s="8"/>
      <c r="G285" s="5">
        <v>16</v>
      </c>
      <c r="H285" s="5">
        <v>16</v>
      </c>
      <c r="I285" s="4">
        <v>45100</v>
      </c>
      <c r="J285" s="4">
        <v>4550999999.999999</v>
      </c>
      <c r="K285" s="4">
        <v>9959000</v>
      </c>
      <c r="L285" s="4">
        <v>12900000</v>
      </c>
      <c r="M285" s="4">
        <v>318</v>
      </c>
      <c r="N285" s="4">
        <f t="shared" si="29"/>
        <v>28711.55173377792</v>
      </c>
      <c r="O285" s="4">
        <v>4550999999.999999</v>
      </c>
      <c r="P285" s="4">
        <v>9959000</v>
      </c>
      <c r="Q285" s="4">
        <v>12900000</v>
      </c>
      <c r="R285" s="5">
        <v>318</v>
      </c>
      <c r="S285" s="4"/>
      <c r="T285" s="4">
        <v>9103000000</v>
      </c>
      <c r="V285" s="4">
        <f t="shared" si="30"/>
        <v>28711.55173377792</v>
      </c>
      <c r="W285" s="4"/>
      <c r="X285" s="9" t="str">
        <f t="shared" si="34"/>
        <v>a</v>
      </c>
      <c r="Y285" s="9" t="str">
        <f t="shared" si="34"/>
        <v>a</v>
      </c>
      <c r="Z285" s="31">
        <f t="shared" si="31"/>
        <v>2048</v>
      </c>
      <c r="AA285" s="31">
        <f t="shared" si="32"/>
        <v>2048</v>
      </c>
    </row>
    <row r="286" spans="1:27" ht="13">
      <c r="A286" s="9">
        <v>284</v>
      </c>
      <c r="B286" s="4" t="s">
        <v>1326</v>
      </c>
      <c r="C286" s="51"/>
      <c r="D286" s="8">
        <v>441</v>
      </c>
      <c r="E286" s="8">
        <v>914</v>
      </c>
      <c r="F286" s="8"/>
      <c r="G286" s="5">
        <v>20</v>
      </c>
      <c r="H286" s="5">
        <v>20</v>
      </c>
      <c r="I286" s="4">
        <v>56200</v>
      </c>
      <c r="J286" s="4">
        <v>5615000000</v>
      </c>
      <c r="K286" s="4">
        <v>12290000</v>
      </c>
      <c r="L286" s="4">
        <v>15990000</v>
      </c>
      <c r="M286" s="4">
        <v>316</v>
      </c>
      <c r="N286" s="4">
        <f t="shared" si="29"/>
        <v>35778.031207058069</v>
      </c>
      <c r="O286" s="4">
        <v>5615000000</v>
      </c>
      <c r="P286" s="4">
        <v>12290000</v>
      </c>
      <c r="Q286" s="4">
        <v>15990000</v>
      </c>
      <c r="R286" s="5">
        <v>316</v>
      </c>
      <c r="S286" s="4"/>
      <c r="T286" s="4">
        <v>11230000000</v>
      </c>
      <c r="V286" s="4">
        <f t="shared" si="30"/>
        <v>35778.031207058069</v>
      </c>
      <c r="W286" s="4"/>
      <c r="X286" s="9" t="str">
        <f t="shared" si="34"/>
        <v>a</v>
      </c>
      <c r="Y286" s="9" t="str">
        <f t="shared" si="34"/>
        <v>a</v>
      </c>
      <c r="Z286" s="31">
        <f t="shared" si="31"/>
        <v>4000</v>
      </c>
      <c r="AA286" s="31">
        <f t="shared" si="32"/>
        <v>4000</v>
      </c>
    </row>
    <row r="287" spans="1:27" ht="13">
      <c r="A287" s="9">
        <v>285</v>
      </c>
      <c r="B287" s="4" t="s">
        <v>1327</v>
      </c>
      <c r="C287" s="51"/>
      <c r="D287" s="8">
        <v>548</v>
      </c>
      <c r="E287" s="8">
        <v>914</v>
      </c>
      <c r="F287" s="8"/>
      <c r="G287" s="5">
        <v>25</v>
      </c>
      <c r="H287" s="5">
        <v>25</v>
      </c>
      <c r="I287" s="4">
        <v>69800</v>
      </c>
      <c r="J287" s="4">
        <v>6903200000</v>
      </c>
      <c r="K287" s="4">
        <v>15100000</v>
      </c>
      <c r="L287" s="4">
        <v>19760000</v>
      </c>
      <c r="M287" s="4">
        <v>314</v>
      </c>
      <c r="N287" s="4">
        <f t="shared" si="29"/>
        <v>44436.060111257182</v>
      </c>
      <c r="O287" s="4">
        <v>6903200000</v>
      </c>
      <c r="P287" s="4">
        <v>15100000</v>
      </c>
      <c r="Q287" s="4">
        <v>19760000</v>
      </c>
      <c r="R287" s="5">
        <v>314</v>
      </c>
      <c r="S287" s="4"/>
      <c r="T287" s="4">
        <v>13810000000</v>
      </c>
      <c r="V287" s="4">
        <f t="shared" si="30"/>
        <v>44436.060111257182</v>
      </c>
      <c r="W287" s="4"/>
      <c r="X287" s="9" t="str">
        <f t="shared" si="34"/>
        <v>a</v>
      </c>
      <c r="Y287" s="9" t="str">
        <f t="shared" si="34"/>
        <v>a</v>
      </c>
      <c r="Z287" s="31">
        <f t="shared" si="31"/>
        <v>7812.5</v>
      </c>
      <c r="AA287" s="31">
        <f t="shared" si="32"/>
        <v>7812.5</v>
      </c>
    </row>
    <row r="288" spans="1:27" ht="13">
      <c r="A288" s="9">
        <v>286</v>
      </c>
      <c r="B288" s="4" t="s">
        <v>1328</v>
      </c>
      <c r="C288" s="51"/>
      <c r="D288" s="8">
        <v>654</v>
      </c>
      <c r="E288" s="8">
        <v>914</v>
      </c>
      <c r="F288" s="8"/>
      <c r="G288" s="5">
        <v>30</v>
      </c>
      <c r="H288" s="5">
        <v>30</v>
      </c>
      <c r="I288" s="4">
        <v>83300</v>
      </c>
      <c r="J288" s="4">
        <v>8148000000.000001</v>
      </c>
      <c r="K288" s="4">
        <v>17830000</v>
      </c>
      <c r="L288" s="4">
        <v>23450000</v>
      </c>
      <c r="M288" s="4">
        <v>313</v>
      </c>
      <c r="N288" s="4">
        <f t="shared" si="29"/>
        <v>53030.427038219525</v>
      </c>
      <c r="O288" s="4">
        <v>8148000000.000001</v>
      </c>
      <c r="P288" s="4">
        <v>17830000</v>
      </c>
      <c r="Q288" s="4">
        <v>23450000</v>
      </c>
      <c r="R288" s="5">
        <v>313</v>
      </c>
      <c r="S288" s="4"/>
      <c r="T288" s="4">
        <v>16299999999.999998</v>
      </c>
      <c r="V288" s="4">
        <f t="shared" si="30"/>
        <v>53030.427038219525</v>
      </c>
      <c r="W288" s="4"/>
      <c r="X288" s="9" t="str">
        <f t="shared" si="34"/>
        <v>a</v>
      </c>
      <c r="Y288" s="9" t="str">
        <f t="shared" si="34"/>
        <v>a</v>
      </c>
      <c r="Z288" s="31">
        <f t="shared" si="31"/>
        <v>13500</v>
      </c>
      <c r="AA288" s="31">
        <f t="shared" si="32"/>
        <v>13500</v>
      </c>
    </row>
    <row r="289" spans="1:27" ht="13">
      <c r="A289" s="9">
        <v>287</v>
      </c>
      <c r="B289" s="4" t="s">
        <v>1329</v>
      </c>
      <c r="C289" s="51"/>
      <c r="D289" s="8">
        <v>199</v>
      </c>
      <c r="E289" s="8">
        <v>1016</v>
      </c>
      <c r="F289" s="8"/>
      <c r="G289" s="5">
        <v>8</v>
      </c>
      <c r="H289" s="5">
        <v>8</v>
      </c>
      <c r="I289" s="4">
        <v>25300</v>
      </c>
      <c r="J289" s="4">
        <v>3218000000</v>
      </c>
      <c r="K289" s="4">
        <v>6334000</v>
      </c>
      <c r="L289" s="4">
        <v>8129000</v>
      </c>
      <c r="M289" s="4">
        <v>356</v>
      </c>
      <c r="N289" s="4">
        <f t="shared" si="29"/>
        <v>16106.480240899809</v>
      </c>
      <c r="O289" s="4">
        <v>3218000000</v>
      </c>
      <c r="P289" s="4">
        <v>6334000</v>
      </c>
      <c r="Q289" s="4">
        <v>8129000</v>
      </c>
      <c r="R289" s="5">
        <v>356</v>
      </c>
      <c r="S289" s="4"/>
      <c r="T289" s="4">
        <v>6436000000</v>
      </c>
      <c r="V289" s="4">
        <f t="shared" si="30"/>
        <v>16106.480240899809</v>
      </c>
      <c r="W289" s="4"/>
      <c r="X289" s="9" t="str">
        <f t="shared" si="34"/>
        <v>a</v>
      </c>
      <c r="Y289" s="9" t="str">
        <f t="shared" si="34"/>
        <v>a</v>
      </c>
      <c r="Z289" s="31">
        <f t="shared" si="31"/>
        <v>256</v>
      </c>
      <c r="AA289" s="31">
        <f t="shared" si="32"/>
        <v>256</v>
      </c>
    </row>
    <row r="290" spans="1:27" ht="13">
      <c r="A290" s="9">
        <v>288</v>
      </c>
      <c r="B290" s="4" t="s">
        <v>1330</v>
      </c>
      <c r="C290" s="51"/>
      <c r="D290" s="8">
        <v>248</v>
      </c>
      <c r="E290" s="8">
        <v>1016</v>
      </c>
      <c r="F290" s="8"/>
      <c r="G290" s="5">
        <v>10</v>
      </c>
      <c r="H290" s="5">
        <v>10</v>
      </c>
      <c r="I290" s="4">
        <v>31600</v>
      </c>
      <c r="J290" s="4">
        <v>3999000000</v>
      </c>
      <c r="K290" s="4">
        <v>7871000</v>
      </c>
      <c r="L290" s="4">
        <v>10120000</v>
      </c>
      <c r="M290" s="4">
        <v>356</v>
      </c>
      <c r="N290" s="4">
        <f t="shared" si="29"/>
        <v>20117.18480681557</v>
      </c>
      <c r="O290" s="4">
        <v>3999000000</v>
      </c>
      <c r="P290" s="4">
        <v>7871000</v>
      </c>
      <c r="Q290" s="4">
        <v>10120000</v>
      </c>
      <c r="R290" s="5">
        <v>356</v>
      </c>
      <c r="S290" s="4"/>
      <c r="T290" s="4">
        <v>7997000000.000001</v>
      </c>
      <c r="V290" s="4">
        <f t="shared" si="30"/>
        <v>20117.18480681557</v>
      </c>
      <c r="W290" s="4"/>
      <c r="X290" s="9" t="str">
        <f t="shared" si="34"/>
        <v>a</v>
      </c>
      <c r="Y290" s="9" t="str">
        <f t="shared" si="34"/>
        <v>a</v>
      </c>
      <c r="Z290" s="31">
        <f t="shared" si="31"/>
        <v>500</v>
      </c>
      <c r="AA290" s="31">
        <f t="shared" si="32"/>
        <v>500</v>
      </c>
    </row>
    <row r="291" spans="1:27" ht="13">
      <c r="A291" s="9">
        <v>289</v>
      </c>
      <c r="B291" s="4" t="s">
        <v>1331</v>
      </c>
      <c r="C291" s="51"/>
      <c r="D291" s="8">
        <v>309</v>
      </c>
      <c r="E291" s="8">
        <v>1016</v>
      </c>
      <c r="F291" s="8"/>
      <c r="G291" s="5">
        <v>12.5</v>
      </c>
      <c r="H291" s="5">
        <v>12.5</v>
      </c>
      <c r="I291" s="4">
        <v>39400</v>
      </c>
      <c r="J291" s="4">
        <v>4961000000</v>
      </c>
      <c r="K291" s="4">
        <v>9766000</v>
      </c>
      <c r="L291" s="4">
        <v>12590000</v>
      </c>
      <c r="M291" s="4">
        <v>355</v>
      </c>
      <c r="N291" s="4">
        <f t="shared" si="29"/>
        <v>25082.819031282706</v>
      </c>
      <c r="O291" s="4">
        <v>4961000000</v>
      </c>
      <c r="P291" s="4">
        <v>9766000</v>
      </c>
      <c r="Q291" s="4">
        <v>12590000</v>
      </c>
      <c r="R291" s="5">
        <v>355</v>
      </c>
      <c r="S291" s="4"/>
      <c r="T291" s="4">
        <v>9922499999.9999981</v>
      </c>
      <c r="V291" s="4">
        <f t="shared" si="30"/>
        <v>25082.819031282706</v>
      </c>
      <c r="W291" s="4"/>
      <c r="X291" s="9" t="str">
        <f t="shared" si="34"/>
        <v>a</v>
      </c>
      <c r="Y291" s="9" t="str">
        <f t="shared" si="34"/>
        <v>a</v>
      </c>
      <c r="Z291" s="31">
        <f t="shared" si="31"/>
        <v>976.5625</v>
      </c>
      <c r="AA291" s="31">
        <f t="shared" si="32"/>
        <v>976.5625</v>
      </c>
    </row>
    <row r="292" spans="1:27" ht="13">
      <c r="A292" s="9">
        <v>290</v>
      </c>
      <c r="B292" s="4" t="s">
        <v>1332</v>
      </c>
      <c r="C292" s="51"/>
      <c r="D292" s="8">
        <v>351</v>
      </c>
      <c r="E292" s="8">
        <v>1016</v>
      </c>
      <c r="F292" s="8"/>
      <c r="G292" s="5">
        <v>14.2</v>
      </c>
      <c r="H292" s="5">
        <v>14.2</v>
      </c>
      <c r="I292" s="4">
        <v>44700</v>
      </c>
      <c r="J292" s="4">
        <v>5610000000</v>
      </c>
      <c r="K292" s="4">
        <v>11000000</v>
      </c>
      <c r="L292" s="4">
        <v>14300000</v>
      </c>
      <c r="M292" s="4">
        <v>354</v>
      </c>
      <c r="N292" s="4">
        <f t="shared" si="29"/>
        <v>28456.903824830886</v>
      </c>
      <c r="O292" s="4">
        <v>5610000000</v>
      </c>
      <c r="P292" s="4">
        <v>11000000</v>
      </c>
      <c r="Q292" s="4">
        <v>14300000</v>
      </c>
      <c r="R292" s="5">
        <v>354</v>
      </c>
      <c r="S292" s="4"/>
      <c r="T292" s="4">
        <v>11200000000</v>
      </c>
      <c r="V292" s="4">
        <f t="shared" si="30"/>
        <v>28456.903824830886</v>
      </c>
      <c r="W292" s="4"/>
      <c r="X292" s="9" t="str">
        <f t="shared" si="34"/>
        <v>a</v>
      </c>
      <c r="Y292" s="9" t="str">
        <f t="shared" si="34"/>
        <v>a</v>
      </c>
      <c r="Z292" s="31">
        <f t="shared" si="31"/>
        <v>1431.6439999999998</v>
      </c>
      <c r="AA292" s="31">
        <f t="shared" si="32"/>
        <v>1431.6439999999998</v>
      </c>
    </row>
    <row r="293" spans="1:27" ht="13">
      <c r="A293" s="9">
        <v>291</v>
      </c>
      <c r="B293" s="4" t="s">
        <v>1333</v>
      </c>
      <c r="C293" s="51"/>
      <c r="D293" s="8">
        <v>395</v>
      </c>
      <c r="E293" s="8">
        <v>1016</v>
      </c>
      <c r="F293" s="8"/>
      <c r="G293" s="5">
        <v>16</v>
      </c>
      <c r="H293" s="5">
        <v>16</v>
      </c>
      <c r="I293" s="4">
        <v>50300</v>
      </c>
      <c r="J293" s="4">
        <v>6284800000</v>
      </c>
      <c r="K293" s="4">
        <v>12370000</v>
      </c>
      <c r="L293" s="4">
        <v>16000000</v>
      </c>
      <c r="M293" s="4">
        <v>354</v>
      </c>
      <c r="N293" s="4">
        <f t="shared" si="29"/>
        <v>32021.974550089344</v>
      </c>
      <c r="O293" s="4">
        <v>6284800000</v>
      </c>
      <c r="P293" s="4">
        <v>12370000</v>
      </c>
      <c r="Q293" s="4">
        <v>16000000</v>
      </c>
      <c r="R293" s="5">
        <v>354</v>
      </c>
      <c r="S293" s="4"/>
      <c r="T293" s="4">
        <v>12570000000</v>
      </c>
      <c r="V293" s="4">
        <f t="shared" si="30"/>
        <v>32021.974550089344</v>
      </c>
      <c r="W293" s="4"/>
      <c r="X293" s="9" t="str">
        <f t="shared" si="34"/>
        <v>a</v>
      </c>
      <c r="Y293" s="9" t="str">
        <f t="shared" si="34"/>
        <v>a</v>
      </c>
      <c r="Z293" s="31">
        <f t="shared" si="31"/>
        <v>2048</v>
      </c>
      <c r="AA293" s="31">
        <f t="shared" si="32"/>
        <v>2048</v>
      </c>
    </row>
    <row r="294" spans="1:27" ht="13">
      <c r="A294" s="9">
        <v>292</v>
      </c>
      <c r="B294" s="4" t="s">
        <v>1334</v>
      </c>
      <c r="C294" s="51"/>
      <c r="D294" s="8">
        <v>491</v>
      </c>
      <c r="E294" s="8">
        <v>1016</v>
      </c>
      <c r="F294" s="8"/>
      <c r="G294" s="5">
        <v>20</v>
      </c>
      <c r="H294" s="5">
        <v>20</v>
      </c>
      <c r="I294" s="4">
        <v>62600</v>
      </c>
      <c r="J294" s="4">
        <v>7763000000</v>
      </c>
      <c r="K294" s="4">
        <v>15280000</v>
      </c>
      <c r="L294" s="4">
        <v>19840000</v>
      </c>
      <c r="M294" s="4">
        <v>352</v>
      </c>
      <c r="N294" s="4">
        <f t="shared" si="29"/>
        <v>39852.397750210592</v>
      </c>
      <c r="O294" s="4">
        <v>7763000000</v>
      </c>
      <c r="P294" s="4">
        <v>15280000</v>
      </c>
      <c r="Q294" s="4">
        <v>19840000</v>
      </c>
      <c r="R294" s="5">
        <v>352</v>
      </c>
      <c r="S294" s="4"/>
      <c r="T294" s="4">
        <v>15530000000</v>
      </c>
      <c r="V294" s="4">
        <f t="shared" si="30"/>
        <v>39852.397750210592</v>
      </c>
      <c r="W294" s="4"/>
      <c r="X294" s="9" t="str">
        <f t="shared" si="34"/>
        <v>a</v>
      </c>
      <c r="Y294" s="9" t="str">
        <f t="shared" si="34"/>
        <v>a</v>
      </c>
      <c r="Z294" s="31">
        <f t="shared" si="31"/>
        <v>4000</v>
      </c>
      <c r="AA294" s="31">
        <f t="shared" si="32"/>
        <v>4000</v>
      </c>
    </row>
    <row r="295" spans="1:27" ht="13">
      <c r="A295" s="9">
        <v>293</v>
      </c>
      <c r="B295" s="4" t="s">
        <v>1335</v>
      </c>
      <c r="C295" s="51"/>
      <c r="D295" s="8">
        <v>611</v>
      </c>
      <c r="E295" s="8">
        <v>1016</v>
      </c>
      <c r="F295" s="8"/>
      <c r="G295" s="5">
        <v>25</v>
      </c>
      <c r="H295" s="5">
        <v>25</v>
      </c>
      <c r="I295" s="4">
        <v>77800</v>
      </c>
      <c r="J295" s="4">
        <v>9561000000</v>
      </c>
      <c r="K295" s="4">
        <v>18820000</v>
      </c>
      <c r="L295" s="4">
        <v>24560000</v>
      </c>
      <c r="M295" s="4">
        <v>350</v>
      </c>
      <c r="N295" s="4">
        <f t="shared" si="29"/>
        <v>49529.018290197833</v>
      </c>
      <c r="O295" s="4">
        <v>9561000000</v>
      </c>
      <c r="P295" s="4">
        <v>18820000</v>
      </c>
      <c r="Q295" s="4">
        <v>24560000</v>
      </c>
      <c r="R295" s="5">
        <v>350</v>
      </c>
      <c r="S295" s="4"/>
      <c r="T295" s="4">
        <v>19120000000</v>
      </c>
      <c r="V295" s="4">
        <f t="shared" si="30"/>
        <v>49529.018290197833</v>
      </c>
      <c r="W295" s="4"/>
      <c r="X295" s="9" t="str">
        <f t="shared" si="34"/>
        <v>a</v>
      </c>
      <c r="Y295" s="9" t="str">
        <f t="shared" si="34"/>
        <v>a</v>
      </c>
      <c r="Z295" s="31">
        <f t="shared" si="31"/>
        <v>7812.5</v>
      </c>
      <c r="AA295" s="31">
        <f t="shared" si="32"/>
        <v>7812.5</v>
      </c>
    </row>
    <row r="296" spans="1:27" ht="13">
      <c r="A296" s="9">
        <v>294</v>
      </c>
      <c r="B296" s="4" t="s">
        <v>1336</v>
      </c>
      <c r="C296" s="51"/>
      <c r="D296" s="8">
        <v>729</v>
      </c>
      <c r="E296" s="8">
        <v>1016</v>
      </c>
      <c r="F296" s="8"/>
      <c r="G296" s="5">
        <v>30</v>
      </c>
      <c r="H296" s="5">
        <v>30</v>
      </c>
      <c r="I296" s="4">
        <v>92900</v>
      </c>
      <c r="J296" s="4">
        <v>11300000000</v>
      </c>
      <c r="K296" s="4">
        <v>22250000</v>
      </c>
      <c r="L296" s="4">
        <v>29180000</v>
      </c>
      <c r="M296" s="4">
        <v>349</v>
      </c>
      <c r="N296" s="4">
        <f t="shared" si="29"/>
        <v>59141.976852948312</v>
      </c>
      <c r="O296" s="4">
        <v>11300000000</v>
      </c>
      <c r="P296" s="4">
        <v>22250000</v>
      </c>
      <c r="Q296" s="4">
        <v>29180000</v>
      </c>
      <c r="R296" s="5">
        <v>349</v>
      </c>
      <c r="S296" s="4"/>
      <c r="T296" s="4">
        <v>22610000000</v>
      </c>
      <c r="V296" s="4">
        <f t="shared" si="30"/>
        <v>59141.976852948312</v>
      </c>
      <c r="W296" s="4"/>
      <c r="X296" s="9" t="str">
        <f t="shared" si="34"/>
        <v>a</v>
      </c>
      <c r="Y296" s="9" t="str">
        <f t="shared" si="34"/>
        <v>a</v>
      </c>
      <c r="Z296" s="31">
        <f t="shared" si="31"/>
        <v>13500</v>
      </c>
      <c r="AA296" s="31">
        <f t="shared" si="32"/>
        <v>13500</v>
      </c>
    </row>
    <row r="297" spans="1:27" ht="13">
      <c r="A297" s="9">
        <v>295</v>
      </c>
      <c r="B297" s="4" t="s">
        <v>1337</v>
      </c>
      <c r="C297" s="51"/>
      <c r="D297" s="8">
        <v>261</v>
      </c>
      <c r="E297" s="8">
        <v>1067</v>
      </c>
      <c r="F297" s="8"/>
      <c r="G297" s="5">
        <v>10</v>
      </c>
      <c r="H297" s="5">
        <v>10</v>
      </c>
      <c r="I297" s="4">
        <v>33200</v>
      </c>
      <c r="J297" s="4">
        <v>4638000000</v>
      </c>
      <c r="K297" s="4">
        <v>8693000</v>
      </c>
      <c r="L297" s="4">
        <v>11170000</v>
      </c>
      <c r="M297" s="4">
        <v>374</v>
      </c>
      <c r="N297" s="4">
        <f t="shared" si="29"/>
        <v>21135.776442603703</v>
      </c>
      <c r="O297" s="4">
        <v>4638000000</v>
      </c>
      <c r="P297" s="4">
        <v>8693000</v>
      </c>
      <c r="Q297" s="4">
        <v>11170000</v>
      </c>
      <c r="R297" s="5">
        <v>374</v>
      </c>
      <c r="S297" s="4"/>
      <c r="T297" s="4">
        <v>9275000000</v>
      </c>
      <c r="V297" s="4">
        <f t="shared" si="30"/>
        <v>21135.776442603703</v>
      </c>
      <c r="W297" s="4"/>
      <c r="X297" s="9" t="str">
        <f t="shared" si="34"/>
        <v>a</v>
      </c>
      <c r="Y297" s="9" t="str">
        <f t="shared" si="34"/>
        <v>a</v>
      </c>
      <c r="Z297" s="31">
        <f t="shared" si="31"/>
        <v>500</v>
      </c>
      <c r="AA297" s="31">
        <f t="shared" si="32"/>
        <v>500</v>
      </c>
    </row>
    <row r="298" spans="1:27" ht="13">
      <c r="A298" s="9">
        <v>296</v>
      </c>
      <c r="B298" s="4" t="s">
        <v>1338</v>
      </c>
      <c r="C298" s="51"/>
      <c r="D298" s="8">
        <v>325</v>
      </c>
      <c r="E298" s="8">
        <v>1067</v>
      </c>
      <c r="F298" s="8"/>
      <c r="G298" s="5">
        <v>12.5</v>
      </c>
      <c r="H298" s="5">
        <v>12.5</v>
      </c>
      <c r="I298" s="4">
        <v>41400</v>
      </c>
      <c r="J298" s="4">
        <v>5756700000</v>
      </c>
      <c r="K298" s="4">
        <v>10790000</v>
      </c>
      <c r="L298" s="4">
        <v>13900000</v>
      </c>
      <c r="M298" s="4">
        <v>373</v>
      </c>
      <c r="N298" s="4">
        <f t="shared" si="29"/>
        <v>26356.058576017869</v>
      </c>
      <c r="O298" s="4">
        <v>5756700000</v>
      </c>
      <c r="P298" s="4">
        <v>10790000</v>
      </c>
      <c r="Q298" s="4">
        <v>13900000</v>
      </c>
      <c r="R298" s="5">
        <v>373</v>
      </c>
      <c r="S298" s="4"/>
      <c r="T298" s="4">
        <v>11510000000</v>
      </c>
      <c r="V298" s="4">
        <f t="shared" si="30"/>
        <v>26356.058576017869</v>
      </c>
      <c r="W298" s="4"/>
      <c r="X298" s="9" t="str">
        <f t="shared" si="34"/>
        <v>a</v>
      </c>
      <c r="Y298" s="9" t="str">
        <f t="shared" si="34"/>
        <v>a</v>
      </c>
      <c r="Z298" s="31">
        <f t="shared" si="31"/>
        <v>976.5625</v>
      </c>
      <c r="AA298" s="31">
        <f t="shared" si="32"/>
        <v>976.5625</v>
      </c>
    </row>
    <row r="299" spans="1:27" ht="13">
      <c r="A299" s="9">
        <v>297</v>
      </c>
      <c r="B299" s="4" t="s">
        <v>1339</v>
      </c>
      <c r="C299" s="51"/>
      <c r="D299" s="8">
        <v>369</v>
      </c>
      <c r="E299" s="8">
        <v>1067</v>
      </c>
      <c r="F299" s="8"/>
      <c r="G299" s="5">
        <v>14.2</v>
      </c>
      <c r="H299" s="5">
        <v>14.2</v>
      </c>
      <c r="I299" s="4">
        <v>47000</v>
      </c>
      <c r="J299" s="4">
        <v>6510000000</v>
      </c>
      <c r="K299" s="4">
        <v>12200000</v>
      </c>
      <c r="L299" s="4">
        <v>15700000</v>
      </c>
      <c r="M299" s="4">
        <v>372</v>
      </c>
      <c r="N299" s="4">
        <f t="shared" si="29"/>
        <v>29921.129301276324</v>
      </c>
      <c r="O299" s="4">
        <v>6510000000</v>
      </c>
      <c r="P299" s="4">
        <v>12200000</v>
      </c>
      <c r="Q299" s="4">
        <v>15700000</v>
      </c>
      <c r="R299" s="5">
        <v>372</v>
      </c>
      <c r="S299" s="4"/>
      <c r="T299" s="4">
        <v>13000000000</v>
      </c>
      <c r="V299" s="4">
        <f t="shared" si="30"/>
        <v>29921.129301276324</v>
      </c>
      <c r="W299" s="4"/>
      <c r="X299" s="9" t="str">
        <f t="shared" si="34"/>
        <v>a</v>
      </c>
      <c r="Y299" s="9" t="str">
        <f t="shared" si="34"/>
        <v>a</v>
      </c>
      <c r="Z299" s="31">
        <f t="shared" si="31"/>
        <v>1431.6439999999998</v>
      </c>
      <c r="AA299" s="31">
        <f t="shared" si="32"/>
        <v>1431.6439999999998</v>
      </c>
    </row>
    <row r="300" spans="1:27" ht="13">
      <c r="A300" s="9">
        <v>298</v>
      </c>
      <c r="B300" s="4" t="s">
        <v>1340</v>
      </c>
      <c r="C300" s="51"/>
      <c r="D300" s="8">
        <v>415</v>
      </c>
      <c r="E300" s="8">
        <v>1067</v>
      </c>
      <c r="F300" s="8"/>
      <c r="G300" s="5">
        <v>16</v>
      </c>
      <c r="H300" s="5">
        <v>16</v>
      </c>
      <c r="I300" s="4">
        <v>52800</v>
      </c>
      <c r="J300" s="4">
        <v>7296100000</v>
      </c>
      <c r="K300" s="4">
        <v>13680000</v>
      </c>
      <c r="L300" s="4">
        <v>17680000</v>
      </c>
      <c r="M300" s="4">
        <v>372</v>
      </c>
      <c r="N300" s="4">
        <f t="shared" si="29"/>
        <v>33613.523981008293</v>
      </c>
      <c r="O300" s="4">
        <v>7296100000</v>
      </c>
      <c r="P300" s="4">
        <v>13680000</v>
      </c>
      <c r="Q300" s="4">
        <v>17680000</v>
      </c>
      <c r="R300" s="5">
        <v>372</v>
      </c>
      <c r="S300" s="4"/>
      <c r="T300" s="4">
        <v>14590000000</v>
      </c>
      <c r="V300" s="4">
        <f t="shared" si="30"/>
        <v>33613.523981008293</v>
      </c>
      <c r="W300" s="4"/>
      <c r="X300" s="9" t="str">
        <f t="shared" si="34"/>
        <v>a</v>
      </c>
      <c r="Y300" s="9" t="str">
        <f t="shared" si="34"/>
        <v>a</v>
      </c>
      <c r="Z300" s="31">
        <f t="shared" si="31"/>
        <v>2048</v>
      </c>
      <c r="AA300" s="31">
        <f t="shared" si="32"/>
        <v>2048</v>
      </c>
    </row>
    <row r="301" spans="1:27" ht="13">
      <c r="A301" s="9">
        <v>299</v>
      </c>
      <c r="B301" s="4" t="s">
        <v>1341</v>
      </c>
      <c r="C301" s="51"/>
      <c r="D301" s="8">
        <v>516</v>
      </c>
      <c r="E301" s="8">
        <v>1067</v>
      </c>
      <c r="F301" s="8"/>
      <c r="G301" s="5">
        <v>20</v>
      </c>
      <c r="H301" s="5">
        <v>20</v>
      </c>
      <c r="I301" s="4">
        <v>65800</v>
      </c>
      <c r="J301" s="4">
        <v>9018000000</v>
      </c>
      <c r="K301" s="4">
        <v>16900000</v>
      </c>
      <c r="L301" s="4">
        <v>21930000</v>
      </c>
      <c r="M301" s="4">
        <v>370</v>
      </c>
      <c r="N301" s="4">
        <f t="shared" si="29"/>
        <v>41889.581021786857</v>
      </c>
      <c r="O301" s="4">
        <v>9018000000</v>
      </c>
      <c r="P301" s="4">
        <v>16900000</v>
      </c>
      <c r="Q301" s="4">
        <v>21930000</v>
      </c>
      <c r="R301" s="5">
        <v>370</v>
      </c>
      <c r="S301" s="4"/>
      <c r="T301" s="4">
        <v>18040000000</v>
      </c>
      <c r="V301" s="4">
        <f t="shared" si="30"/>
        <v>41889.581021786857</v>
      </c>
      <c r="W301" s="4"/>
      <c r="X301" s="9" t="str">
        <f t="shared" si="34"/>
        <v>a</v>
      </c>
      <c r="Y301" s="9" t="str">
        <f t="shared" si="34"/>
        <v>a</v>
      </c>
      <c r="Z301" s="31">
        <f t="shared" si="31"/>
        <v>4000</v>
      </c>
      <c r="AA301" s="31">
        <f t="shared" si="32"/>
        <v>4000</v>
      </c>
    </row>
    <row r="302" spans="1:27" ht="13">
      <c r="A302" s="9">
        <v>300</v>
      </c>
      <c r="B302" s="4" t="s">
        <v>1342</v>
      </c>
      <c r="C302" s="51"/>
      <c r="D302" s="8">
        <v>642</v>
      </c>
      <c r="E302" s="8">
        <v>1067</v>
      </c>
      <c r="F302" s="8"/>
      <c r="G302" s="5">
        <v>25</v>
      </c>
      <c r="H302" s="5">
        <v>25</v>
      </c>
      <c r="I302" s="4">
        <v>81800</v>
      </c>
      <c r="J302" s="4">
        <v>11110000000</v>
      </c>
      <c r="K302" s="4">
        <v>20830000</v>
      </c>
      <c r="L302" s="4">
        <v>27150000</v>
      </c>
      <c r="M302" s="4">
        <v>369</v>
      </c>
      <c r="N302" s="4">
        <f t="shared" si="29"/>
        <v>52075.497379668159</v>
      </c>
      <c r="O302" s="4">
        <v>11110000000</v>
      </c>
      <c r="P302" s="4">
        <v>20830000</v>
      </c>
      <c r="Q302" s="4">
        <v>27150000</v>
      </c>
      <c r="R302" s="5">
        <v>369</v>
      </c>
      <c r="S302" s="4"/>
      <c r="T302" s="4">
        <v>22230000000</v>
      </c>
      <c r="V302" s="4">
        <f t="shared" si="30"/>
        <v>52075.497379668159</v>
      </c>
      <c r="W302" s="4"/>
      <c r="X302" s="9" t="str">
        <f t="shared" si="34"/>
        <v>a</v>
      </c>
      <c r="Y302" s="9" t="str">
        <f t="shared" si="34"/>
        <v>a</v>
      </c>
      <c r="Z302" s="31">
        <f t="shared" si="31"/>
        <v>7812.5</v>
      </c>
      <c r="AA302" s="31">
        <f t="shared" si="32"/>
        <v>7812.5</v>
      </c>
    </row>
    <row r="303" spans="1:27" ht="13">
      <c r="A303" s="9">
        <v>301</v>
      </c>
      <c r="B303" s="4" t="s">
        <v>1343</v>
      </c>
      <c r="C303" s="51"/>
      <c r="D303" s="8">
        <v>767</v>
      </c>
      <c r="E303" s="8">
        <v>1067</v>
      </c>
      <c r="F303" s="8"/>
      <c r="G303" s="5">
        <v>30</v>
      </c>
      <c r="H303" s="5">
        <v>30</v>
      </c>
      <c r="I303" s="4">
        <v>97700</v>
      </c>
      <c r="J303" s="4">
        <v>13150000000</v>
      </c>
      <c r="K303" s="4">
        <v>24650000</v>
      </c>
      <c r="L303" s="4">
        <v>32270000</v>
      </c>
      <c r="M303" s="4">
        <v>367</v>
      </c>
      <c r="N303" s="4">
        <f t="shared" si="29"/>
        <v>62197.751760312698</v>
      </c>
      <c r="O303" s="4">
        <v>13150000000</v>
      </c>
      <c r="P303" s="4">
        <v>24650000</v>
      </c>
      <c r="Q303" s="4">
        <v>32270000</v>
      </c>
      <c r="R303" s="5">
        <v>367</v>
      </c>
      <c r="S303" s="4"/>
      <c r="T303" s="4">
        <v>26300000000</v>
      </c>
      <c r="V303" s="4">
        <f t="shared" si="30"/>
        <v>62197.751760312698</v>
      </c>
      <c r="W303" s="4"/>
      <c r="X303" s="9" t="str">
        <f t="shared" ref="X303:Y322" si="35">IF(fy=460,"a0","a")</f>
        <v>a</v>
      </c>
      <c r="Y303" s="9" t="str">
        <f t="shared" si="35"/>
        <v>a</v>
      </c>
      <c r="Z303" s="31">
        <f t="shared" si="31"/>
        <v>13500</v>
      </c>
      <c r="AA303" s="31">
        <f t="shared" si="32"/>
        <v>13500</v>
      </c>
    </row>
    <row r="304" spans="1:27" ht="13">
      <c r="A304" s="9">
        <v>302</v>
      </c>
      <c r="B304" s="4" t="s">
        <v>1344</v>
      </c>
      <c r="C304" s="51"/>
      <c r="D304" s="8">
        <v>286</v>
      </c>
      <c r="E304" s="8">
        <v>1168</v>
      </c>
      <c r="F304" s="8"/>
      <c r="G304" s="5">
        <v>10</v>
      </c>
      <c r="H304" s="5">
        <v>10</v>
      </c>
      <c r="I304" s="4">
        <v>36400</v>
      </c>
      <c r="J304" s="4">
        <v>6098000000</v>
      </c>
      <c r="K304" s="4">
        <v>10440000</v>
      </c>
      <c r="L304" s="4">
        <v>13410000</v>
      </c>
      <c r="M304" s="4">
        <v>409</v>
      </c>
      <c r="N304" s="4">
        <f t="shared" si="29"/>
        <v>23172.95971417996</v>
      </c>
      <c r="O304" s="4">
        <v>6098000000</v>
      </c>
      <c r="P304" s="4">
        <v>10440000</v>
      </c>
      <c r="Q304" s="4">
        <v>13410000</v>
      </c>
      <c r="R304" s="5">
        <v>409</v>
      </c>
      <c r="S304" s="4"/>
      <c r="T304" s="4">
        <v>12199999999.999998</v>
      </c>
      <c r="V304" s="4">
        <f t="shared" si="30"/>
        <v>23172.95971417996</v>
      </c>
      <c r="W304" s="4"/>
      <c r="X304" s="9" t="str">
        <f t="shared" si="35"/>
        <v>a</v>
      </c>
      <c r="Y304" s="9" t="str">
        <f t="shared" si="35"/>
        <v>a</v>
      </c>
      <c r="Z304" s="31">
        <f t="shared" si="31"/>
        <v>500</v>
      </c>
      <c r="AA304" s="31">
        <f t="shared" si="32"/>
        <v>500</v>
      </c>
    </row>
    <row r="305" spans="1:34" ht="13">
      <c r="A305" s="9">
        <v>303</v>
      </c>
      <c r="B305" s="4" t="s">
        <v>1345</v>
      </c>
      <c r="C305" s="51"/>
      <c r="D305" s="8">
        <v>356</v>
      </c>
      <c r="E305" s="8">
        <v>1168</v>
      </c>
      <c r="F305" s="8"/>
      <c r="G305" s="5">
        <v>12.5</v>
      </c>
      <c r="H305" s="5">
        <v>12.5</v>
      </c>
      <c r="I305" s="4">
        <v>45400</v>
      </c>
      <c r="J305" s="4">
        <v>7574000000</v>
      </c>
      <c r="K305" s="4">
        <v>12970000</v>
      </c>
      <c r="L305" s="4">
        <v>16690000</v>
      </c>
      <c r="M305" s="4">
        <v>409</v>
      </c>
      <c r="N305" s="4">
        <f t="shared" si="29"/>
        <v>28902.537665488195</v>
      </c>
      <c r="O305" s="4">
        <v>7574000000</v>
      </c>
      <c r="P305" s="4">
        <v>12970000</v>
      </c>
      <c r="Q305" s="4">
        <v>16690000</v>
      </c>
      <c r="R305" s="5">
        <v>409</v>
      </c>
      <c r="S305" s="4"/>
      <c r="T305" s="4">
        <v>15150000000</v>
      </c>
      <c r="V305" s="4">
        <f t="shared" si="30"/>
        <v>28902.537665488195</v>
      </c>
      <c r="W305" s="4"/>
      <c r="X305" s="9" t="str">
        <f t="shared" si="35"/>
        <v>a</v>
      </c>
      <c r="Y305" s="9" t="str">
        <f t="shared" si="35"/>
        <v>a</v>
      </c>
      <c r="Z305" s="31">
        <f t="shared" si="31"/>
        <v>976.5625</v>
      </c>
      <c r="AA305" s="31">
        <f t="shared" si="32"/>
        <v>976.5625</v>
      </c>
    </row>
    <row r="306" spans="1:34" ht="13">
      <c r="A306" s="9">
        <v>304</v>
      </c>
      <c r="B306" s="4" t="s">
        <v>1346</v>
      </c>
      <c r="C306" s="51"/>
      <c r="D306" s="8">
        <v>404</v>
      </c>
      <c r="E306" s="8">
        <v>1168</v>
      </c>
      <c r="F306" s="8"/>
      <c r="G306" s="5">
        <v>14.2</v>
      </c>
      <c r="H306" s="5">
        <v>14.2</v>
      </c>
      <c r="I306" s="4">
        <v>51500</v>
      </c>
      <c r="J306" s="4">
        <v>8567000000</v>
      </c>
      <c r="K306" s="4">
        <v>14670000</v>
      </c>
      <c r="L306" s="4">
        <v>18910000</v>
      </c>
      <c r="M306" s="4">
        <v>408</v>
      </c>
      <c r="N306" s="4">
        <f t="shared" si="29"/>
        <v>32785.918276930439</v>
      </c>
      <c r="O306" s="4">
        <v>8567000000</v>
      </c>
      <c r="P306" s="4">
        <v>14670000</v>
      </c>
      <c r="Q306" s="4">
        <v>18910000</v>
      </c>
      <c r="R306" s="5">
        <v>408</v>
      </c>
      <c r="S306" s="4"/>
      <c r="T306" s="4">
        <v>17130000000</v>
      </c>
      <c r="V306" s="4">
        <f t="shared" si="30"/>
        <v>32785.918276930439</v>
      </c>
      <c r="W306" s="4"/>
      <c r="X306" s="9" t="str">
        <f t="shared" si="35"/>
        <v>a</v>
      </c>
      <c r="Y306" s="9" t="str">
        <f t="shared" si="35"/>
        <v>a</v>
      </c>
      <c r="Z306" s="31">
        <f t="shared" si="31"/>
        <v>1431.6439999999998</v>
      </c>
      <c r="AA306" s="31">
        <f t="shared" si="32"/>
        <v>1431.6439999999998</v>
      </c>
    </row>
    <row r="307" spans="1:34" ht="13">
      <c r="A307" s="9">
        <v>305</v>
      </c>
      <c r="B307" s="4" t="s">
        <v>1347</v>
      </c>
      <c r="C307" s="51"/>
      <c r="D307" s="8">
        <v>455</v>
      </c>
      <c r="E307" s="8">
        <v>1168</v>
      </c>
      <c r="F307" s="8"/>
      <c r="G307" s="5">
        <v>16</v>
      </c>
      <c r="H307" s="5">
        <v>16</v>
      </c>
      <c r="I307" s="4">
        <v>57900</v>
      </c>
      <c r="J307" s="4">
        <v>9608000000</v>
      </c>
      <c r="K307" s="4">
        <v>16450000</v>
      </c>
      <c r="L307" s="4">
        <v>21240000</v>
      </c>
      <c r="M307" s="4">
        <v>407</v>
      </c>
      <c r="N307" s="4">
        <f t="shared" si="29"/>
        <v>36860.284820082961</v>
      </c>
      <c r="O307" s="4">
        <v>9608000000</v>
      </c>
      <c r="P307" s="4">
        <v>16450000</v>
      </c>
      <c r="Q307" s="4">
        <v>21240000</v>
      </c>
      <c r="R307" s="5">
        <v>407</v>
      </c>
      <c r="S307" s="4"/>
      <c r="T307" s="4">
        <v>19220000000</v>
      </c>
      <c r="V307" s="4">
        <f t="shared" si="30"/>
        <v>36860.284820082961</v>
      </c>
      <c r="W307" s="4"/>
      <c r="X307" s="9" t="str">
        <f t="shared" si="35"/>
        <v>a</v>
      </c>
      <c r="Y307" s="9" t="str">
        <f t="shared" si="35"/>
        <v>a</v>
      </c>
      <c r="Z307" s="31">
        <f t="shared" si="31"/>
        <v>2048</v>
      </c>
      <c r="AA307" s="31">
        <f t="shared" si="32"/>
        <v>2048</v>
      </c>
    </row>
    <row r="308" spans="1:34" ht="13">
      <c r="A308" s="9">
        <v>306</v>
      </c>
      <c r="B308" s="4" t="s">
        <v>1348</v>
      </c>
      <c r="C308" s="51"/>
      <c r="D308" s="8">
        <v>566</v>
      </c>
      <c r="E308" s="8">
        <v>1168</v>
      </c>
      <c r="F308" s="8"/>
      <c r="G308" s="5">
        <v>20</v>
      </c>
      <c r="H308" s="5">
        <v>20</v>
      </c>
      <c r="I308" s="4">
        <v>72100</v>
      </c>
      <c r="J308" s="4">
        <v>11890000000</v>
      </c>
      <c r="K308" s="4">
        <v>20350000</v>
      </c>
      <c r="L308" s="4">
        <v>26360000</v>
      </c>
      <c r="M308" s="4">
        <v>406</v>
      </c>
      <c r="N308" s="4">
        <f t="shared" si="29"/>
        <v>45900.285587702616</v>
      </c>
      <c r="O308" s="4">
        <v>11890000000</v>
      </c>
      <c r="P308" s="4">
        <v>20350000</v>
      </c>
      <c r="Q308" s="4">
        <v>26360000</v>
      </c>
      <c r="R308" s="5">
        <v>406</v>
      </c>
      <c r="S308" s="4"/>
      <c r="T308" s="4">
        <v>23770000000</v>
      </c>
      <c r="V308" s="4">
        <f t="shared" si="30"/>
        <v>45900.285587702616</v>
      </c>
      <c r="W308" s="4"/>
      <c r="X308" s="9" t="str">
        <f t="shared" si="35"/>
        <v>a</v>
      </c>
      <c r="Y308" s="9" t="str">
        <f t="shared" si="35"/>
        <v>a</v>
      </c>
      <c r="Z308" s="31">
        <f t="shared" si="31"/>
        <v>4000</v>
      </c>
      <c r="AA308" s="31">
        <f t="shared" si="32"/>
        <v>4000</v>
      </c>
    </row>
    <row r="309" spans="1:34" ht="13">
      <c r="A309" s="9">
        <v>307</v>
      </c>
      <c r="B309" s="4" t="s">
        <v>1349</v>
      </c>
      <c r="C309" s="51"/>
      <c r="D309" s="8">
        <v>705</v>
      </c>
      <c r="E309" s="8">
        <v>1168</v>
      </c>
      <c r="F309" s="8"/>
      <c r="G309" s="5">
        <v>25</v>
      </c>
      <c r="H309" s="5">
        <v>25</v>
      </c>
      <c r="I309" s="4">
        <v>89800</v>
      </c>
      <c r="J309" s="4">
        <v>14669999999.999998</v>
      </c>
      <c r="K309" s="4">
        <v>25120000</v>
      </c>
      <c r="L309" s="4">
        <v>32670000</v>
      </c>
      <c r="M309" s="4">
        <v>404</v>
      </c>
      <c r="N309" s="4">
        <f t="shared" si="29"/>
        <v>57168.45555860881</v>
      </c>
      <c r="O309" s="4">
        <v>14669999999.999998</v>
      </c>
      <c r="P309" s="4">
        <v>25120000</v>
      </c>
      <c r="Q309" s="4">
        <v>32670000</v>
      </c>
      <c r="R309" s="5">
        <v>404</v>
      </c>
      <c r="S309" s="4"/>
      <c r="T309" s="4">
        <v>29330000000</v>
      </c>
      <c r="V309" s="4">
        <f t="shared" si="30"/>
        <v>57168.45555860881</v>
      </c>
      <c r="W309" s="4"/>
      <c r="X309" s="9" t="str">
        <f t="shared" si="35"/>
        <v>a</v>
      </c>
      <c r="Y309" s="9" t="str">
        <f t="shared" si="35"/>
        <v>a</v>
      </c>
      <c r="Z309" s="31">
        <f t="shared" si="31"/>
        <v>7812.5</v>
      </c>
      <c r="AA309" s="31">
        <f t="shared" si="32"/>
        <v>7812.5</v>
      </c>
    </row>
    <row r="310" spans="1:34" ht="13">
      <c r="A310" s="9">
        <v>308</v>
      </c>
      <c r="B310" s="4" t="s">
        <v>1350</v>
      </c>
      <c r="C310" s="51"/>
      <c r="D310" s="8">
        <v>298</v>
      </c>
      <c r="E310" s="8">
        <v>1219</v>
      </c>
      <c r="F310" s="8"/>
      <c r="G310" s="5">
        <v>10</v>
      </c>
      <c r="H310" s="5">
        <v>10</v>
      </c>
      <c r="I310" s="4">
        <v>38000</v>
      </c>
      <c r="J310" s="4">
        <v>6940000000</v>
      </c>
      <c r="K310" s="4">
        <v>11390000</v>
      </c>
      <c r="L310" s="4">
        <v>14620000</v>
      </c>
      <c r="M310" s="4">
        <v>427</v>
      </c>
      <c r="N310" s="4">
        <f t="shared" si="29"/>
        <v>24191.551349968093</v>
      </c>
      <c r="O310" s="4">
        <v>6940000000</v>
      </c>
      <c r="P310" s="4">
        <v>11390000</v>
      </c>
      <c r="Q310" s="4">
        <v>14620000</v>
      </c>
      <c r="R310" s="5">
        <v>427</v>
      </c>
      <c r="S310" s="4"/>
      <c r="T310" s="4">
        <v>13880000000</v>
      </c>
      <c r="V310" s="4">
        <f t="shared" si="30"/>
        <v>24191.551349968093</v>
      </c>
      <c r="W310" s="4"/>
      <c r="X310" s="9" t="str">
        <f t="shared" si="35"/>
        <v>a</v>
      </c>
      <c r="Y310" s="9" t="str">
        <f t="shared" si="35"/>
        <v>a</v>
      </c>
      <c r="Z310" s="31">
        <f t="shared" si="31"/>
        <v>500</v>
      </c>
      <c r="AA310" s="31">
        <f t="shared" si="32"/>
        <v>500</v>
      </c>
    </row>
    <row r="311" spans="1:34" ht="13">
      <c r="A311" s="9">
        <v>309</v>
      </c>
      <c r="B311" s="4" t="s">
        <v>1351</v>
      </c>
      <c r="C311" s="51"/>
      <c r="D311" s="8">
        <v>372</v>
      </c>
      <c r="E311" s="8">
        <v>1219</v>
      </c>
      <c r="F311" s="8"/>
      <c r="G311" s="5">
        <v>12.5</v>
      </c>
      <c r="H311" s="5">
        <v>12.5</v>
      </c>
      <c r="I311" s="4">
        <v>47400</v>
      </c>
      <c r="J311" s="4">
        <v>8622000000</v>
      </c>
      <c r="K311" s="4">
        <v>14150000</v>
      </c>
      <c r="L311" s="4">
        <v>18200000</v>
      </c>
      <c r="M311" s="4">
        <v>427</v>
      </c>
      <c r="N311" s="4">
        <f t="shared" si="29"/>
        <v>30175.777210223358</v>
      </c>
      <c r="O311" s="4">
        <v>8622000000</v>
      </c>
      <c r="P311" s="4">
        <v>14150000</v>
      </c>
      <c r="Q311" s="4">
        <v>18200000</v>
      </c>
      <c r="R311" s="5">
        <v>427</v>
      </c>
      <c r="S311" s="4"/>
      <c r="T311" s="4">
        <v>17240000000</v>
      </c>
      <c r="V311" s="4">
        <f t="shared" si="30"/>
        <v>30175.777210223358</v>
      </c>
      <c r="W311" s="4"/>
      <c r="X311" s="9" t="str">
        <f t="shared" si="35"/>
        <v>a</v>
      </c>
      <c r="Y311" s="9" t="str">
        <f t="shared" si="35"/>
        <v>a</v>
      </c>
      <c r="Z311" s="31">
        <f t="shared" si="31"/>
        <v>976.5625</v>
      </c>
      <c r="AA311" s="31">
        <f t="shared" si="32"/>
        <v>976.5625</v>
      </c>
    </row>
    <row r="312" spans="1:34" ht="13">
      <c r="A312" s="9">
        <v>310</v>
      </c>
      <c r="B312" s="4" t="s">
        <v>1352</v>
      </c>
      <c r="C312" s="51"/>
      <c r="D312" s="8">
        <v>422</v>
      </c>
      <c r="E312" s="8">
        <v>1219</v>
      </c>
      <c r="F312" s="8"/>
      <c r="G312" s="5">
        <v>14.2</v>
      </c>
      <c r="H312" s="5">
        <v>14.2</v>
      </c>
      <c r="I312" s="4">
        <v>53700</v>
      </c>
      <c r="J312" s="4">
        <v>9753000000</v>
      </c>
      <c r="K312" s="4">
        <v>16000000</v>
      </c>
      <c r="L312" s="4">
        <v>20610000</v>
      </c>
      <c r="M312" s="4">
        <v>426</v>
      </c>
      <c r="N312" s="4">
        <f t="shared" si="29"/>
        <v>34186.481776139117</v>
      </c>
      <c r="O312" s="4">
        <v>9753000000</v>
      </c>
      <c r="P312" s="4">
        <v>16000000</v>
      </c>
      <c r="Q312" s="4">
        <v>20610000</v>
      </c>
      <c r="R312" s="5">
        <v>426</v>
      </c>
      <c r="S312" s="4"/>
      <c r="T312" s="4">
        <v>19510000000</v>
      </c>
      <c r="V312" s="4">
        <f t="shared" si="30"/>
        <v>34186.481776139117</v>
      </c>
      <c r="W312" s="4"/>
      <c r="X312" s="9" t="str">
        <f t="shared" si="35"/>
        <v>a</v>
      </c>
      <c r="Y312" s="9" t="str">
        <f t="shared" si="35"/>
        <v>a</v>
      </c>
      <c r="Z312" s="31">
        <f t="shared" si="31"/>
        <v>1431.6439999999998</v>
      </c>
      <c r="AA312" s="31">
        <f t="shared" si="32"/>
        <v>1431.6439999999998</v>
      </c>
    </row>
    <row r="313" spans="1:34" ht="13">
      <c r="A313" s="9">
        <v>311</v>
      </c>
      <c r="B313" s="4" t="s">
        <v>1353</v>
      </c>
      <c r="C313" s="51"/>
      <c r="D313" s="8">
        <v>475</v>
      </c>
      <c r="E313" s="8">
        <v>1219</v>
      </c>
      <c r="F313" s="8"/>
      <c r="G313" s="5">
        <v>16</v>
      </c>
      <c r="H313" s="5">
        <v>16</v>
      </c>
      <c r="I313" s="4">
        <v>60500</v>
      </c>
      <c r="J313" s="4">
        <v>10940000000</v>
      </c>
      <c r="K313" s="4">
        <v>17950000</v>
      </c>
      <c r="L313" s="4">
        <v>23160000</v>
      </c>
      <c r="M313" s="4">
        <v>425</v>
      </c>
      <c r="N313" s="4">
        <f t="shared" si="29"/>
        <v>38515.49622823867</v>
      </c>
      <c r="O313" s="4">
        <v>10940000000</v>
      </c>
      <c r="P313" s="4">
        <v>17950000</v>
      </c>
      <c r="Q313" s="4">
        <v>23160000</v>
      </c>
      <c r="R313" s="5">
        <v>425</v>
      </c>
      <c r="S313" s="4"/>
      <c r="T313" s="4">
        <v>21880000000</v>
      </c>
      <c r="V313" s="4">
        <f t="shared" si="30"/>
        <v>38515.49622823867</v>
      </c>
      <c r="W313" s="4"/>
      <c r="X313" s="9" t="str">
        <f t="shared" si="35"/>
        <v>a</v>
      </c>
      <c r="Y313" s="9" t="str">
        <f t="shared" si="35"/>
        <v>a</v>
      </c>
      <c r="Z313" s="31">
        <f t="shared" si="31"/>
        <v>2048</v>
      </c>
      <c r="AA313" s="31">
        <f t="shared" si="32"/>
        <v>2048</v>
      </c>
    </row>
    <row r="314" spans="1:34" ht="13">
      <c r="A314" s="9">
        <v>312</v>
      </c>
      <c r="B314" s="4" t="s">
        <v>1354</v>
      </c>
      <c r="C314" s="51"/>
      <c r="D314" s="8">
        <v>591</v>
      </c>
      <c r="E314" s="8">
        <v>1219</v>
      </c>
      <c r="F314" s="8"/>
      <c r="G314" s="5">
        <v>20</v>
      </c>
      <c r="H314" s="5">
        <v>20</v>
      </c>
      <c r="I314" s="4">
        <v>75300</v>
      </c>
      <c r="J314" s="4">
        <v>13540000000</v>
      </c>
      <c r="K314" s="4">
        <v>22220000</v>
      </c>
      <c r="L314" s="4">
        <v>28760000</v>
      </c>
      <c r="M314" s="4">
        <v>424</v>
      </c>
      <c r="N314" s="4">
        <f t="shared" si="29"/>
        <v>47937.468859278873</v>
      </c>
      <c r="O314" s="4">
        <v>13540000000</v>
      </c>
      <c r="P314" s="4">
        <v>22220000</v>
      </c>
      <c r="Q314" s="4">
        <v>28760000</v>
      </c>
      <c r="R314" s="5">
        <v>424</v>
      </c>
      <c r="S314" s="4"/>
      <c r="T314" s="4">
        <v>27080000000</v>
      </c>
      <c r="V314" s="4">
        <f t="shared" si="30"/>
        <v>47937.468859278873</v>
      </c>
      <c r="W314" s="4"/>
      <c r="X314" s="9" t="str">
        <f t="shared" si="35"/>
        <v>a</v>
      </c>
      <c r="Y314" s="9" t="str">
        <f t="shared" si="35"/>
        <v>a</v>
      </c>
      <c r="Z314" s="31">
        <f t="shared" si="31"/>
        <v>4000</v>
      </c>
      <c r="AA314" s="31">
        <f t="shared" si="32"/>
        <v>4000</v>
      </c>
    </row>
    <row r="315" spans="1:34" ht="13">
      <c r="A315" s="9">
        <v>313</v>
      </c>
      <c r="B315" s="4" t="s">
        <v>1355</v>
      </c>
      <c r="C315" s="51"/>
      <c r="D315" s="8">
        <v>736</v>
      </c>
      <c r="E315" s="8">
        <v>1219</v>
      </c>
      <c r="F315" s="8"/>
      <c r="G315" s="5">
        <v>25</v>
      </c>
      <c r="H315" s="5">
        <v>25</v>
      </c>
      <c r="I315" s="4">
        <v>93800</v>
      </c>
      <c r="J315" s="4">
        <v>16719999999.999998</v>
      </c>
      <c r="K315" s="4">
        <v>27430000</v>
      </c>
      <c r="L315" s="4">
        <v>35650000</v>
      </c>
      <c r="M315" s="4">
        <v>422</v>
      </c>
      <c r="N315" s="4">
        <f t="shared" si="29"/>
        <v>59714.934648079136</v>
      </c>
      <c r="O315" s="4">
        <v>16719999999.999998</v>
      </c>
      <c r="P315" s="4">
        <v>27430000</v>
      </c>
      <c r="Q315" s="4">
        <v>35650000</v>
      </c>
      <c r="R315" s="5">
        <v>422</v>
      </c>
      <c r="S315" s="4"/>
      <c r="T315" s="4">
        <v>33439999999.999996</v>
      </c>
      <c r="V315" s="4">
        <f t="shared" si="30"/>
        <v>59714.934648079136</v>
      </c>
      <c r="W315" s="4"/>
      <c r="X315" s="9" t="str">
        <f t="shared" si="35"/>
        <v>a</v>
      </c>
      <c r="Y315" s="9" t="str">
        <f t="shared" si="35"/>
        <v>a</v>
      </c>
      <c r="Z315" s="31">
        <f t="shared" si="31"/>
        <v>7812.5</v>
      </c>
      <c r="AA315" s="31">
        <f t="shared" si="32"/>
        <v>7812.5</v>
      </c>
    </row>
    <row r="316" spans="1:34" ht="13">
      <c r="C316" t="s">
        <v>384</v>
      </c>
      <c r="D316" s="8">
        <f t="shared" ref="D316:D333" si="36">I316/1000000*7850</f>
        <v>298.4041782012265</v>
      </c>
      <c r="E316" s="8">
        <f t="shared" ref="E316:E333" si="37">VALUE(LEFT(C316,(FIND("x",C316,1)-1)))</f>
        <v>1220</v>
      </c>
      <c r="F316" s="8">
        <f t="shared" ref="F316:F333" si="38">E316</f>
        <v>1220</v>
      </c>
      <c r="G316" s="5">
        <f t="shared" ref="G316:G333" si="39">VALUE(RIGHT(C316,(LEN(C316)-(FIND("x",C316,1)-1)-1)))</f>
        <v>10</v>
      </c>
      <c r="H316" s="5">
        <f t="shared" ref="H316:H333" si="40">G316</f>
        <v>10</v>
      </c>
      <c r="I316" s="4">
        <f t="shared" ref="I316:I333" si="41">0.25*PI()*(E316^2-(E316-2*G316)^2)</f>
        <v>38013.2711084365</v>
      </c>
      <c r="J316" s="4">
        <f t="shared" ref="J316:J333" si="42">PI()*(E316^4-(E316-2*G316)^4)/64</f>
        <v>6957378944.6215897</v>
      </c>
      <c r="K316" s="4">
        <f t="shared" ref="K316:K333" si="43">PI()*(E316^4-(E316-2*G316)^4)/(32*E316)</f>
        <v>11405539.253478017</v>
      </c>
      <c r="L316" s="4">
        <f t="shared" ref="L316:L333" si="44">(E316^3-(E316-2*G316)^3)/6</f>
        <v>14641333.333333334</v>
      </c>
      <c r="M316" s="4">
        <f t="shared" ref="M316:M333" si="45">SQRT(J316/I316)</f>
        <v>427.81421201264453</v>
      </c>
      <c r="N316" s="4">
        <f t="shared" si="29"/>
        <v>24200.000000000004</v>
      </c>
      <c r="O316" s="4">
        <f t="shared" ref="O316:O333" si="46">J316</f>
        <v>6957378944.6215897</v>
      </c>
      <c r="P316" s="4">
        <f t="shared" ref="P316:P333" si="47">K316</f>
        <v>11405539.253478017</v>
      </c>
      <c r="Q316" s="4">
        <f t="shared" ref="Q316:Q333" si="48">L316</f>
        <v>14641333.333333334</v>
      </c>
      <c r="R316" s="5">
        <f t="shared" ref="R316:R333" si="49">M316</f>
        <v>427.81421201264453</v>
      </c>
      <c r="S316" s="4"/>
      <c r="T316" s="4">
        <f t="shared" ref="T316:T333" si="50">PI()*(E316^4-(E316-2*G316)^4)/32</f>
        <v>13914757889.243179</v>
      </c>
      <c r="V316" s="4">
        <f t="shared" si="30"/>
        <v>24200.000000000004</v>
      </c>
      <c r="W316" s="4"/>
      <c r="X316" s="9" t="str">
        <f t="shared" si="35"/>
        <v>a</v>
      </c>
      <c r="Y316" s="9" t="str">
        <f t="shared" si="35"/>
        <v>a</v>
      </c>
      <c r="Z316" s="31">
        <f t="shared" si="31"/>
        <v>7320500</v>
      </c>
      <c r="AA316" s="31">
        <f t="shared" si="32"/>
        <v>7320500</v>
      </c>
      <c r="AB316" s="4"/>
      <c r="AC316" s="4"/>
      <c r="AD316" s="4"/>
      <c r="AE316" s="4"/>
      <c r="AF316" s="4"/>
      <c r="AG316" s="4"/>
      <c r="AH316" s="4"/>
    </row>
    <row r="317" spans="1:34" ht="13">
      <c r="C317" t="s">
        <v>385</v>
      </c>
      <c r="D317" s="8" t="e">
        <f t="shared" si="36"/>
        <v>#VALUE!</v>
      </c>
      <c r="E317" s="8">
        <f t="shared" si="37"/>
        <v>1220</v>
      </c>
      <c r="F317" s="8">
        <f t="shared" si="38"/>
        <v>1220</v>
      </c>
      <c r="G317" s="5" t="e">
        <f t="shared" si="39"/>
        <v>#VALUE!</v>
      </c>
      <c r="H317" s="5" t="e">
        <f t="shared" si="40"/>
        <v>#VALUE!</v>
      </c>
      <c r="I317" s="4" t="e">
        <f t="shared" si="41"/>
        <v>#VALUE!</v>
      </c>
      <c r="J317" s="4" t="e">
        <f t="shared" si="42"/>
        <v>#VALUE!</v>
      </c>
      <c r="K317" s="4" t="e">
        <f t="shared" si="43"/>
        <v>#VALUE!</v>
      </c>
      <c r="L317" s="4" t="e">
        <f t="shared" si="44"/>
        <v>#VALUE!</v>
      </c>
      <c r="M317" s="4" t="e">
        <f t="shared" si="45"/>
        <v>#VALUE!</v>
      </c>
      <c r="N317" s="4" t="e">
        <f t="shared" si="29"/>
        <v>#VALUE!</v>
      </c>
      <c r="O317" s="4" t="e">
        <f t="shared" si="46"/>
        <v>#VALUE!</v>
      </c>
      <c r="P317" s="4" t="e">
        <f t="shared" si="47"/>
        <v>#VALUE!</v>
      </c>
      <c r="Q317" s="4" t="e">
        <f t="shared" si="48"/>
        <v>#VALUE!</v>
      </c>
      <c r="R317" s="5" t="e">
        <f t="shared" si="49"/>
        <v>#VALUE!</v>
      </c>
      <c r="S317" s="4"/>
      <c r="T317" s="4" t="e">
        <f t="shared" si="50"/>
        <v>#VALUE!</v>
      </c>
      <c r="V317" s="4" t="e">
        <f t="shared" si="30"/>
        <v>#VALUE!</v>
      </c>
      <c r="W317" s="4"/>
      <c r="X317" s="9" t="str">
        <f t="shared" si="35"/>
        <v>a</v>
      </c>
      <c r="Y317" s="9" t="str">
        <f t="shared" si="35"/>
        <v>a</v>
      </c>
      <c r="Z317" s="31" t="e">
        <f t="shared" si="31"/>
        <v>#VALUE!</v>
      </c>
      <c r="AA317" s="31" t="e">
        <f t="shared" si="32"/>
        <v>#VALUE!</v>
      </c>
      <c r="AB317" s="4"/>
      <c r="AC317" s="4"/>
      <c r="AD317" s="4"/>
      <c r="AE317" s="4"/>
      <c r="AF317" s="4"/>
      <c r="AG317" s="4"/>
      <c r="AH317" s="4"/>
    </row>
    <row r="318" spans="1:34" ht="13">
      <c r="C318" t="s">
        <v>386</v>
      </c>
      <c r="D318" s="8">
        <f t="shared" si="36"/>
        <v>475.07918089821709</v>
      </c>
      <c r="E318" s="8">
        <f t="shared" si="37"/>
        <v>1220</v>
      </c>
      <c r="F318" s="8">
        <f t="shared" si="38"/>
        <v>1220</v>
      </c>
      <c r="G318" s="5">
        <f t="shared" si="39"/>
        <v>16</v>
      </c>
      <c r="H318" s="5">
        <f t="shared" si="40"/>
        <v>16</v>
      </c>
      <c r="I318" s="4">
        <f t="shared" si="41"/>
        <v>60519.640878753773</v>
      </c>
      <c r="J318" s="4">
        <f t="shared" si="42"/>
        <v>10968216595.020061</v>
      </c>
      <c r="K318" s="4">
        <f t="shared" si="43"/>
        <v>17980682.942655839</v>
      </c>
      <c r="L318" s="4">
        <f t="shared" si="44"/>
        <v>23195221.333333332</v>
      </c>
      <c r="M318" s="4">
        <f t="shared" si="45"/>
        <v>425.71586768641828</v>
      </c>
      <c r="N318" s="4">
        <f t="shared" si="29"/>
        <v>38528</v>
      </c>
      <c r="O318" s="4">
        <f t="shared" si="46"/>
        <v>10968216595.020061</v>
      </c>
      <c r="P318" s="4">
        <f t="shared" si="47"/>
        <v>17980682.942655839</v>
      </c>
      <c r="Q318" s="4">
        <f t="shared" si="48"/>
        <v>23195221.333333332</v>
      </c>
      <c r="R318" s="5">
        <f t="shared" si="49"/>
        <v>425.71586768641828</v>
      </c>
      <c r="S318" s="4"/>
      <c r="T318" s="4">
        <f t="shared" si="50"/>
        <v>21936433190.040123</v>
      </c>
      <c r="V318" s="4">
        <f t="shared" si="30"/>
        <v>38528</v>
      </c>
      <c r="W318" s="4"/>
      <c r="X318" s="9" t="str">
        <f t="shared" si="35"/>
        <v>a</v>
      </c>
      <c r="Y318" s="9" t="str">
        <f t="shared" si="35"/>
        <v>a</v>
      </c>
      <c r="Z318" s="31">
        <f t="shared" si="31"/>
        <v>11596928</v>
      </c>
      <c r="AA318" s="31">
        <f t="shared" si="32"/>
        <v>11596928</v>
      </c>
      <c r="AB318" s="4"/>
      <c r="AC318" s="4"/>
      <c r="AD318" s="4"/>
      <c r="AE318" s="4"/>
      <c r="AF318" s="4"/>
      <c r="AG318" s="4"/>
      <c r="AH318" s="4"/>
    </row>
    <row r="319" spans="1:34" ht="13">
      <c r="C319" t="s">
        <v>387</v>
      </c>
      <c r="D319" s="8">
        <f t="shared" si="36"/>
        <v>591.87605593631702</v>
      </c>
      <c r="E319" s="8">
        <f t="shared" si="37"/>
        <v>1220</v>
      </c>
      <c r="F319" s="8">
        <f t="shared" si="38"/>
        <v>1220</v>
      </c>
      <c r="G319" s="5">
        <f t="shared" si="39"/>
        <v>20</v>
      </c>
      <c r="H319" s="5">
        <f t="shared" si="40"/>
        <v>20</v>
      </c>
      <c r="I319" s="4">
        <f t="shared" si="41"/>
        <v>75398.223686155034</v>
      </c>
      <c r="J319" s="4">
        <f t="shared" si="42"/>
        <v>13575450174.692215</v>
      </c>
      <c r="K319" s="4">
        <f t="shared" si="43"/>
        <v>22254836.351954449</v>
      </c>
      <c r="L319" s="4">
        <f t="shared" si="44"/>
        <v>28802666.666666668</v>
      </c>
      <c r="M319" s="4">
        <f t="shared" si="45"/>
        <v>424.32299018554255</v>
      </c>
      <c r="N319" s="4">
        <f t="shared" si="29"/>
        <v>48000</v>
      </c>
      <c r="O319" s="4">
        <f t="shared" si="46"/>
        <v>13575450174.692215</v>
      </c>
      <c r="P319" s="4">
        <f t="shared" si="47"/>
        <v>22254836.351954449</v>
      </c>
      <c r="Q319" s="4">
        <f t="shared" si="48"/>
        <v>28802666.666666668</v>
      </c>
      <c r="R319" s="5">
        <f t="shared" si="49"/>
        <v>424.32299018554255</v>
      </c>
      <c r="S319" s="4"/>
      <c r="T319" s="4">
        <f t="shared" si="50"/>
        <v>27150900349.38443</v>
      </c>
      <c r="V319" s="4">
        <f t="shared" si="30"/>
        <v>48000</v>
      </c>
      <c r="W319" s="4"/>
      <c r="X319" s="9" t="str">
        <f t="shared" si="35"/>
        <v>a</v>
      </c>
      <c r="Y319" s="9" t="str">
        <f t="shared" si="35"/>
        <v>a</v>
      </c>
      <c r="Z319" s="31">
        <f t="shared" si="31"/>
        <v>14400000</v>
      </c>
      <c r="AA319" s="31">
        <f t="shared" si="32"/>
        <v>14400000</v>
      </c>
      <c r="AB319" s="4"/>
      <c r="AC319" s="4"/>
      <c r="AD319" s="4"/>
      <c r="AE319" s="4"/>
      <c r="AF319" s="4"/>
      <c r="AG319" s="4"/>
      <c r="AH319" s="4"/>
    </row>
    <row r="320" spans="1:34" ht="13">
      <c r="C320" t="s">
        <v>388</v>
      </c>
      <c r="D320" s="8">
        <f t="shared" si="36"/>
        <v>736.76238212906128</v>
      </c>
      <c r="E320" s="8">
        <f t="shared" si="37"/>
        <v>1220</v>
      </c>
      <c r="F320" s="8">
        <f t="shared" si="38"/>
        <v>1220</v>
      </c>
      <c r="G320" s="5">
        <f t="shared" si="39"/>
        <v>25</v>
      </c>
      <c r="H320" s="5">
        <f t="shared" si="40"/>
        <v>25</v>
      </c>
      <c r="I320" s="4">
        <f t="shared" si="41"/>
        <v>93855.080525995072</v>
      </c>
      <c r="J320" s="4">
        <f t="shared" si="42"/>
        <v>16760757599.182858</v>
      </c>
      <c r="K320" s="4">
        <f t="shared" si="43"/>
        <v>27476651.801939111</v>
      </c>
      <c r="L320" s="4">
        <f t="shared" si="44"/>
        <v>35705833.333333336</v>
      </c>
      <c r="M320" s="4">
        <f t="shared" si="45"/>
        <v>422.58874807547824</v>
      </c>
      <c r="N320" s="4">
        <f t="shared" si="29"/>
        <v>59750</v>
      </c>
      <c r="O320" s="4">
        <f t="shared" si="46"/>
        <v>16760757599.182858</v>
      </c>
      <c r="P320" s="4">
        <f t="shared" si="47"/>
        <v>27476651.801939111</v>
      </c>
      <c r="Q320" s="4">
        <f t="shared" si="48"/>
        <v>35705833.333333336</v>
      </c>
      <c r="R320" s="5">
        <f t="shared" si="49"/>
        <v>422.58874807547824</v>
      </c>
      <c r="S320" s="4"/>
      <c r="T320" s="4">
        <f t="shared" si="50"/>
        <v>33521515198.365715</v>
      </c>
      <c r="V320" s="4">
        <f t="shared" si="30"/>
        <v>59750</v>
      </c>
      <c r="W320" s="4"/>
      <c r="X320" s="9" t="str">
        <f t="shared" si="35"/>
        <v>a</v>
      </c>
      <c r="Y320" s="9" t="str">
        <f t="shared" si="35"/>
        <v>a</v>
      </c>
      <c r="Z320" s="31">
        <f t="shared" si="31"/>
        <v>17850312.5</v>
      </c>
      <c r="AA320" s="31">
        <f t="shared" si="32"/>
        <v>17850312.5</v>
      </c>
      <c r="AB320" s="4"/>
      <c r="AC320" s="4"/>
      <c r="AD320" s="4"/>
      <c r="AE320" s="4"/>
      <c r="AF320" s="4"/>
      <c r="AG320" s="4"/>
      <c r="AH320" s="4"/>
    </row>
    <row r="321" spans="3:34" ht="13">
      <c r="C321" t="s">
        <v>389</v>
      </c>
      <c r="D321" s="8">
        <f t="shared" si="36"/>
        <v>937.53167260312625</v>
      </c>
      <c r="E321" s="8">
        <f t="shared" si="37"/>
        <v>1220</v>
      </c>
      <c r="F321" s="8">
        <f t="shared" si="38"/>
        <v>1220</v>
      </c>
      <c r="G321" s="5">
        <f t="shared" si="39"/>
        <v>32</v>
      </c>
      <c r="H321" s="5">
        <f t="shared" si="40"/>
        <v>32</v>
      </c>
      <c r="I321" s="4">
        <f t="shared" si="41"/>
        <v>119430.78631886958</v>
      </c>
      <c r="J321" s="4">
        <f t="shared" si="42"/>
        <v>21085027601.451149</v>
      </c>
      <c r="K321" s="4">
        <f t="shared" si="43"/>
        <v>34565619.018772379</v>
      </c>
      <c r="L321" s="4">
        <f t="shared" si="44"/>
        <v>45173930.666666664</v>
      </c>
      <c r="M321" s="4">
        <f t="shared" si="45"/>
        <v>420.1737735746961</v>
      </c>
      <c r="N321" s="4">
        <f t="shared" si="29"/>
        <v>76032</v>
      </c>
      <c r="O321" s="4">
        <f t="shared" si="46"/>
        <v>21085027601.451149</v>
      </c>
      <c r="P321" s="4">
        <f t="shared" si="47"/>
        <v>34565619.018772379</v>
      </c>
      <c r="Q321" s="4">
        <f t="shared" si="48"/>
        <v>45173930.666666664</v>
      </c>
      <c r="R321" s="5">
        <f t="shared" si="49"/>
        <v>420.1737735746961</v>
      </c>
      <c r="S321" s="4"/>
      <c r="T321" s="4">
        <f t="shared" si="50"/>
        <v>42170055202.902298</v>
      </c>
      <c r="V321" s="4">
        <f t="shared" si="30"/>
        <v>76032</v>
      </c>
      <c r="W321" s="4"/>
      <c r="X321" s="9" t="str">
        <f t="shared" si="35"/>
        <v>a</v>
      </c>
      <c r="Y321" s="9" t="str">
        <f t="shared" si="35"/>
        <v>a</v>
      </c>
      <c r="Z321" s="31">
        <f t="shared" si="31"/>
        <v>22581504</v>
      </c>
      <c r="AA321" s="31">
        <f t="shared" si="32"/>
        <v>22581504</v>
      </c>
      <c r="AB321" s="4"/>
      <c r="AC321" s="4"/>
      <c r="AD321" s="4"/>
      <c r="AE321" s="4"/>
      <c r="AF321" s="4"/>
      <c r="AG321" s="4"/>
      <c r="AH321" s="4"/>
    </row>
    <row r="322" spans="3:34" ht="13">
      <c r="C322" t="s">
        <v>390</v>
      </c>
      <c r="D322" s="8">
        <f t="shared" si="36"/>
        <v>1051.1718753428991</v>
      </c>
      <c r="E322" s="8">
        <f t="shared" si="37"/>
        <v>1220</v>
      </c>
      <c r="F322" s="8">
        <f t="shared" si="38"/>
        <v>1220</v>
      </c>
      <c r="G322" s="5">
        <f t="shared" si="39"/>
        <v>36</v>
      </c>
      <c r="H322" s="5">
        <f t="shared" si="40"/>
        <v>36</v>
      </c>
      <c r="I322" s="4">
        <f t="shared" si="41"/>
        <v>133907.24526661134</v>
      </c>
      <c r="J322" s="4">
        <f t="shared" si="42"/>
        <v>23486527376.29203</v>
      </c>
      <c r="K322" s="4">
        <f t="shared" si="43"/>
        <v>38502503.895560704</v>
      </c>
      <c r="L322" s="4">
        <f t="shared" si="44"/>
        <v>50482368</v>
      </c>
      <c r="M322" s="4">
        <f t="shared" si="45"/>
        <v>418.80066857635268</v>
      </c>
      <c r="N322" s="4">
        <f t="shared" si="29"/>
        <v>85248</v>
      </c>
      <c r="O322" s="4">
        <f t="shared" si="46"/>
        <v>23486527376.29203</v>
      </c>
      <c r="P322" s="4">
        <f t="shared" si="47"/>
        <v>38502503.895560704</v>
      </c>
      <c r="Q322" s="4">
        <f t="shared" si="48"/>
        <v>50482368</v>
      </c>
      <c r="R322" s="5">
        <f t="shared" si="49"/>
        <v>418.80066857635268</v>
      </c>
      <c r="S322" s="4"/>
      <c r="T322" s="4">
        <f t="shared" si="50"/>
        <v>46973054752.584061</v>
      </c>
      <c r="V322" s="4">
        <f t="shared" si="30"/>
        <v>85248</v>
      </c>
      <c r="W322" s="4"/>
      <c r="X322" s="9" t="str">
        <f t="shared" si="35"/>
        <v>a</v>
      </c>
      <c r="Y322" s="9" t="str">
        <f t="shared" si="35"/>
        <v>a</v>
      </c>
      <c r="Z322" s="31">
        <f t="shared" si="31"/>
        <v>25233408</v>
      </c>
      <c r="AA322" s="31">
        <f t="shared" si="32"/>
        <v>25233408</v>
      </c>
      <c r="AB322" s="4"/>
      <c r="AC322" s="4"/>
      <c r="AD322" s="4"/>
      <c r="AE322" s="4"/>
      <c r="AF322" s="4"/>
      <c r="AG322" s="4"/>
      <c r="AH322" s="4"/>
    </row>
    <row r="323" spans="3:34" ht="13">
      <c r="C323" t="s">
        <v>391</v>
      </c>
      <c r="D323" s="8">
        <f t="shared" si="36"/>
        <v>1164.0229100080901</v>
      </c>
      <c r="E323" s="8">
        <f t="shared" si="37"/>
        <v>1220</v>
      </c>
      <c r="F323" s="8">
        <f t="shared" si="38"/>
        <v>1220</v>
      </c>
      <c r="G323" s="5">
        <f t="shared" si="39"/>
        <v>40</v>
      </c>
      <c r="H323" s="5">
        <f t="shared" si="40"/>
        <v>40</v>
      </c>
      <c r="I323" s="4">
        <f t="shared" si="41"/>
        <v>148283.17324943823</v>
      </c>
      <c r="J323" s="4">
        <f t="shared" si="42"/>
        <v>25838342938.714611</v>
      </c>
      <c r="K323" s="4">
        <f t="shared" si="43"/>
        <v>42357939.243794441</v>
      </c>
      <c r="L323" s="4">
        <f t="shared" si="44"/>
        <v>55717333.333333336</v>
      </c>
      <c r="M323" s="4">
        <f t="shared" si="45"/>
        <v>417.43262929483603</v>
      </c>
      <c r="N323" s="4">
        <f t="shared" ref="N323:N333" si="51">2*I323/PI()</f>
        <v>94400</v>
      </c>
      <c r="O323" s="4">
        <f t="shared" si="46"/>
        <v>25838342938.714611</v>
      </c>
      <c r="P323" s="4">
        <f t="shared" si="47"/>
        <v>42357939.243794441</v>
      </c>
      <c r="Q323" s="4">
        <f t="shared" si="48"/>
        <v>55717333.333333336</v>
      </c>
      <c r="R323" s="5">
        <f t="shared" si="49"/>
        <v>417.43262929483603</v>
      </c>
      <c r="S323" s="4"/>
      <c r="T323" s="4">
        <f t="shared" si="50"/>
        <v>51676685877.429222</v>
      </c>
      <c r="V323" s="4">
        <f t="shared" ref="V323:V333" si="52">N323</f>
        <v>94400</v>
      </c>
      <c r="W323" s="4"/>
      <c r="X323" s="9" t="str">
        <f t="shared" ref="X323:Y333" si="53">IF(fy=460,"a0","a")</f>
        <v>a</v>
      </c>
      <c r="Y323" s="9" t="str">
        <f t="shared" si="53"/>
        <v>a</v>
      </c>
      <c r="Z323" s="31">
        <f t="shared" ref="Z323:Z333" si="54">2*(F323/2-G323/2)^2*G323</f>
        <v>27848000</v>
      </c>
      <c r="AA323" s="31">
        <f t="shared" ref="AA323:AA386" si="55">Z323</f>
        <v>27848000</v>
      </c>
      <c r="AB323" s="4"/>
      <c r="AC323" s="4"/>
      <c r="AD323" s="4"/>
      <c r="AE323" s="4"/>
      <c r="AF323" s="4"/>
      <c r="AG323" s="4"/>
      <c r="AH323" s="4"/>
    </row>
    <row r="324" spans="3:34" ht="13">
      <c r="C324" t="s">
        <v>392</v>
      </c>
      <c r="D324" s="8">
        <f t="shared" si="36"/>
        <v>1303.9769357346984</v>
      </c>
      <c r="E324" s="8">
        <f t="shared" si="37"/>
        <v>1220</v>
      </c>
      <c r="F324" s="8">
        <f t="shared" si="38"/>
        <v>1220</v>
      </c>
      <c r="G324" s="5">
        <f t="shared" si="39"/>
        <v>45</v>
      </c>
      <c r="H324" s="5">
        <f t="shared" si="40"/>
        <v>45</v>
      </c>
      <c r="I324" s="4">
        <f t="shared" si="41"/>
        <v>166111.71155856032</v>
      </c>
      <c r="J324" s="4">
        <f t="shared" si="42"/>
        <v>28709294748.305428</v>
      </c>
      <c r="K324" s="4">
        <f t="shared" si="43"/>
        <v>47064417.620172828</v>
      </c>
      <c r="L324" s="4">
        <f t="shared" si="44"/>
        <v>62158500</v>
      </c>
      <c r="M324" s="4">
        <f t="shared" si="45"/>
        <v>415.72978002543914</v>
      </c>
      <c r="N324" s="4">
        <f t="shared" si="51"/>
        <v>105750</v>
      </c>
      <c r="O324" s="4">
        <f t="shared" si="46"/>
        <v>28709294748.305428</v>
      </c>
      <c r="P324" s="4">
        <f t="shared" si="47"/>
        <v>47064417.620172828</v>
      </c>
      <c r="Q324" s="4">
        <f t="shared" si="48"/>
        <v>62158500</v>
      </c>
      <c r="R324" s="5">
        <f t="shared" si="49"/>
        <v>415.72978002543914</v>
      </c>
      <c r="S324" s="4"/>
      <c r="T324" s="4">
        <f t="shared" si="50"/>
        <v>57418589496.610855</v>
      </c>
      <c r="V324" s="4">
        <f t="shared" si="52"/>
        <v>105750</v>
      </c>
      <c r="W324" s="4"/>
      <c r="X324" s="9" t="str">
        <f t="shared" si="53"/>
        <v>a</v>
      </c>
      <c r="Y324" s="9" t="str">
        <f t="shared" si="53"/>
        <v>a</v>
      </c>
      <c r="Z324" s="31">
        <f t="shared" si="54"/>
        <v>31064062.5</v>
      </c>
      <c r="AA324" s="31">
        <f t="shared" si="55"/>
        <v>31064062.5</v>
      </c>
      <c r="AB324" s="4"/>
      <c r="AC324" s="4"/>
      <c r="AD324" s="4"/>
      <c r="AE324" s="4"/>
      <c r="AF324" s="4"/>
      <c r="AG324" s="4"/>
      <c r="AH324" s="4"/>
    </row>
    <row r="325" spans="3:34" ht="13">
      <c r="C325" t="s">
        <v>393</v>
      </c>
      <c r="D325" s="8">
        <f t="shared" si="36"/>
        <v>1442.6978863447728</v>
      </c>
      <c r="E325" s="8">
        <f t="shared" si="37"/>
        <v>1220</v>
      </c>
      <c r="F325" s="8">
        <f t="shared" si="38"/>
        <v>1220</v>
      </c>
      <c r="G325" s="5">
        <f t="shared" si="39"/>
        <v>50</v>
      </c>
      <c r="H325" s="5">
        <f t="shared" si="40"/>
        <v>50</v>
      </c>
      <c r="I325" s="4">
        <f t="shared" si="41"/>
        <v>183783.17023500291</v>
      </c>
      <c r="J325" s="4">
        <f t="shared" si="42"/>
        <v>31505029957.53537</v>
      </c>
      <c r="K325" s="4">
        <f t="shared" si="43"/>
        <v>51647590.094320275</v>
      </c>
      <c r="L325" s="4">
        <f t="shared" si="44"/>
        <v>68486666.666666672</v>
      </c>
      <c r="M325" s="4">
        <f t="shared" si="45"/>
        <v>414.03502267320329</v>
      </c>
      <c r="N325" s="4">
        <f t="shared" si="51"/>
        <v>117000</v>
      </c>
      <c r="O325" s="4">
        <f t="shared" si="46"/>
        <v>31505029957.53537</v>
      </c>
      <c r="P325" s="4">
        <f t="shared" si="47"/>
        <v>51647590.094320275</v>
      </c>
      <c r="Q325" s="4">
        <f t="shared" si="48"/>
        <v>68486666.666666672</v>
      </c>
      <c r="R325" s="5">
        <f t="shared" si="49"/>
        <v>414.03502267320329</v>
      </c>
      <c r="S325" s="4"/>
      <c r="T325" s="4">
        <f t="shared" si="50"/>
        <v>63010059915.07074</v>
      </c>
      <c r="V325" s="4">
        <f t="shared" si="52"/>
        <v>117000</v>
      </c>
      <c r="W325" s="4"/>
      <c r="X325" s="9" t="str">
        <f t="shared" si="53"/>
        <v>a</v>
      </c>
      <c r="Y325" s="9" t="str">
        <f t="shared" si="53"/>
        <v>a</v>
      </c>
      <c r="Z325" s="31">
        <f t="shared" si="54"/>
        <v>34222500</v>
      </c>
      <c r="AA325" s="31">
        <f t="shared" si="55"/>
        <v>34222500</v>
      </c>
      <c r="AB325" s="4"/>
      <c r="AC325" s="4"/>
      <c r="AD325" s="4"/>
      <c r="AE325" s="4"/>
      <c r="AF325" s="4"/>
      <c r="AG325" s="4"/>
      <c r="AH325" s="4"/>
    </row>
    <row r="326" spans="3:34" ht="13">
      <c r="C326" t="s">
        <v>522</v>
      </c>
      <c r="D326" s="8">
        <f t="shared" si="36"/>
        <v>887.81408390447552</v>
      </c>
      <c r="E326" s="8">
        <f t="shared" si="37"/>
        <v>660</v>
      </c>
      <c r="F326" s="8">
        <f t="shared" si="38"/>
        <v>660</v>
      </c>
      <c r="G326" s="5">
        <f t="shared" si="39"/>
        <v>60</v>
      </c>
      <c r="H326" s="5">
        <f t="shared" si="40"/>
        <v>60</v>
      </c>
      <c r="I326" s="4">
        <f t="shared" si="41"/>
        <v>113097.33552923256</v>
      </c>
      <c r="J326" s="4">
        <f t="shared" si="42"/>
        <v>5140273899.8036194</v>
      </c>
      <c r="K326" s="4">
        <f t="shared" si="43"/>
        <v>15576587.575162483</v>
      </c>
      <c r="L326" s="4">
        <f t="shared" si="44"/>
        <v>21672000</v>
      </c>
      <c r="M326" s="4">
        <f t="shared" si="45"/>
        <v>213.19005605327843</v>
      </c>
      <c r="N326" s="4">
        <f t="shared" si="51"/>
        <v>72000</v>
      </c>
      <c r="O326" s="4">
        <f t="shared" si="46"/>
        <v>5140273899.8036194</v>
      </c>
      <c r="P326" s="4">
        <f t="shared" si="47"/>
        <v>15576587.575162483</v>
      </c>
      <c r="Q326" s="4">
        <f t="shared" si="48"/>
        <v>21672000</v>
      </c>
      <c r="R326" s="5">
        <f t="shared" si="49"/>
        <v>213.19005605327843</v>
      </c>
      <c r="S326" s="4"/>
      <c r="T326" s="4">
        <f t="shared" si="50"/>
        <v>10280547799.607239</v>
      </c>
      <c r="V326" s="4">
        <f t="shared" si="52"/>
        <v>72000</v>
      </c>
      <c r="W326" s="4"/>
      <c r="X326" s="9" t="str">
        <f t="shared" si="53"/>
        <v>a</v>
      </c>
      <c r="Y326" s="9" t="str">
        <f t="shared" si="53"/>
        <v>a</v>
      </c>
      <c r="Z326" s="31">
        <f t="shared" si="54"/>
        <v>10800000</v>
      </c>
      <c r="AA326" s="31">
        <f t="shared" si="55"/>
        <v>10800000</v>
      </c>
      <c r="AB326" s="4"/>
      <c r="AC326" s="4"/>
      <c r="AD326" s="4"/>
      <c r="AE326" s="4"/>
      <c r="AF326" s="4"/>
      <c r="AG326" s="4"/>
      <c r="AH326" s="4"/>
    </row>
    <row r="327" spans="3:34" ht="13">
      <c r="C327" t="s">
        <v>523</v>
      </c>
      <c r="D327" s="52">
        <f t="shared" si="36"/>
        <v>1018.5200462570789</v>
      </c>
      <c r="E327" s="52">
        <f t="shared" si="37"/>
        <v>660</v>
      </c>
      <c r="F327" s="52">
        <f t="shared" si="38"/>
        <v>660</v>
      </c>
      <c r="G327" s="36">
        <f t="shared" si="39"/>
        <v>70</v>
      </c>
      <c r="H327" s="5">
        <f t="shared" si="40"/>
        <v>70</v>
      </c>
      <c r="I327" s="4">
        <f t="shared" si="41"/>
        <v>129747.77659325846</v>
      </c>
      <c r="J327" s="4">
        <f t="shared" si="42"/>
        <v>5725120642.1775293</v>
      </c>
      <c r="K327" s="4">
        <f t="shared" si="43"/>
        <v>17348850.430840999</v>
      </c>
      <c r="L327" s="4">
        <f t="shared" si="44"/>
        <v>24481333.333333332</v>
      </c>
      <c r="M327" s="4">
        <f t="shared" si="45"/>
        <v>210.05951537600004</v>
      </c>
      <c r="N327" s="53">
        <f t="shared" si="51"/>
        <v>82600</v>
      </c>
      <c r="O327" s="4">
        <f t="shared" si="46"/>
        <v>5725120642.1775293</v>
      </c>
      <c r="P327" s="4">
        <f t="shared" si="47"/>
        <v>17348850.430840999</v>
      </c>
      <c r="Q327" s="4">
        <f t="shared" si="48"/>
        <v>24481333.333333332</v>
      </c>
      <c r="R327" s="5">
        <f t="shared" si="49"/>
        <v>210.05951537600004</v>
      </c>
      <c r="T327" s="4">
        <f t="shared" si="50"/>
        <v>11450241284.355059</v>
      </c>
      <c r="V327" s="4">
        <f t="shared" si="52"/>
        <v>82600</v>
      </c>
      <c r="X327" s="9" t="str">
        <f t="shared" si="53"/>
        <v>a</v>
      </c>
      <c r="Y327" s="9" t="str">
        <f t="shared" si="53"/>
        <v>a</v>
      </c>
      <c r="Z327" s="31">
        <f t="shared" si="54"/>
        <v>12183500</v>
      </c>
      <c r="AA327" s="31">
        <f t="shared" si="55"/>
        <v>12183500</v>
      </c>
    </row>
    <row r="328" spans="3:34" ht="13">
      <c r="C328" t="s">
        <v>524</v>
      </c>
      <c r="D328" s="52">
        <f t="shared" si="36"/>
        <v>1144.2937081435464</v>
      </c>
      <c r="E328" s="52">
        <f t="shared" si="37"/>
        <v>660</v>
      </c>
      <c r="F328" s="52">
        <f t="shared" si="38"/>
        <v>660</v>
      </c>
      <c r="G328" s="36">
        <f t="shared" si="39"/>
        <v>80</v>
      </c>
      <c r="H328" s="5">
        <f t="shared" si="40"/>
        <v>80</v>
      </c>
      <c r="I328" s="4">
        <f t="shared" si="41"/>
        <v>145769.89912656639</v>
      </c>
      <c r="J328" s="4">
        <f t="shared" si="42"/>
        <v>6246240177.57337</v>
      </c>
      <c r="K328" s="4">
        <f t="shared" si="43"/>
        <v>18928000.538101122</v>
      </c>
      <c r="L328" s="4">
        <f t="shared" si="44"/>
        <v>27082666.666666668</v>
      </c>
      <c r="M328" s="4">
        <f t="shared" si="45"/>
        <v>207.0024154448445</v>
      </c>
      <c r="N328" s="53">
        <f t="shared" si="51"/>
        <v>92800</v>
      </c>
      <c r="O328" s="4">
        <f t="shared" si="46"/>
        <v>6246240177.57337</v>
      </c>
      <c r="P328" s="4">
        <f t="shared" si="47"/>
        <v>18928000.538101122</v>
      </c>
      <c r="Q328" s="4">
        <f t="shared" si="48"/>
        <v>27082666.666666668</v>
      </c>
      <c r="R328" s="5">
        <f t="shared" si="49"/>
        <v>207.0024154448445</v>
      </c>
      <c r="T328" s="4">
        <f t="shared" si="50"/>
        <v>12492480355.14674</v>
      </c>
      <c r="V328" s="4">
        <f t="shared" si="52"/>
        <v>92800</v>
      </c>
      <c r="X328" s="9" t="str">
        <f t="shared" si="53"/>
        <v>a</v>
      </c>
      <c r="Y328" s="9" t="str">
        <f t="shared" si="53"/>
        <v>a</v>
      </c>
      <c r="Z328" s="31">
        <f t="shared" si="54"/>
        <v>13456000</v>
      </c>
      <c r="AA328" s="31">
        <f t="shared" si="55"/>
        <v>13456000</v>
      </c>
    </row>
    <row r="329" spans="3:34" ht="13">
      <c r="C329" t="s">
        <v>525</v>
      </c>
      <c r="D329" s="52">
        <f t="shared" si="36"/>
        <v>815.06265202896986</v>
      </c>
      <c r="E329" s="52">
        <f t="shared" si="37"/>
        <v>711</v>
      </c>
      <c r="F329" s="52">
        <f t="shared" si="38"/>
        <v>711</v>
      </c>
      <c r="G329" s="36">
        <f t="shared" si="39"/>
        <v>50</v>
      </c>
      <c r="H329" s="5">
        <f t="shared" si="40"/>
        <v>50</v>
      </c>
      <c r="I329" s="4">
        <f t="shared" si="41"/>
        <v>103829.63720114266</v>
      </c>
      <c r="J329" s="4">
        <f t="shared" si="42"/>
        <v>5703115376.0704136</v>
      </c>
      <c r="K329" s="4">
        <f t="shared" si="43"/>
        <v>16042518.638735341</v>
      </c>
      <c r="L329" s="4">
        <f t="shared" si="44"/>
        <v>21887716.666666668</v>
      </c>
      <c r="M329" s="4">
        <f t="shared" si="45"/>
        <v>234.36643317676703</v>
      </c>
      <c r="N329" s="53">
        <f t="shared" si="51"/>
        <v>66100</v>
      </c>
      <c r="O329" s="4">
        <f t="shared" si="46"/>
        <v>5703115376.0704136</v>
      </c>
      <c r="P329" s="4">
        <f t="shared" si="47"/>
        <v>16042518.638735341</v>
      </c>
      <c r="Q329" s="4">
        <f t="shared" si="48"/>
        <v>21887716.666666668</v>
      </c>
      <c r="R329" s="5">
        <f t="shared" si="49"/>
        <v>234.36643317676703</v>
      </c>
      <c r="T329" s="4">
        <f t="shared" si="50"/>
        <v>11406230752.140827</v>
      </c>
      <c r="V329" s="4">
        <f t="shared" si="52"/>
        <v>66100</v>
      </c>
      <c r="X329" s="9" t="str">
        <f t="shared" si="53"/>
        <v>a</v>
      </c>
      <c r="Y329" s="9" t="str">
        <f t="shared" si="53"/>
        <v>a</v>
      </c>
      <c r="Z329" s="31">
        <f t="shared" si="54"/>
        <v>10923025</v>
      </c>
      <c r="AA329" s="31">
        <f t="shared" si="55"/>
        <v>10923025</v>
      </c>
    </row>
    <row r="330" spans="3:34" ht="13">
      <c r="C330" t="s">
        <v>526</v>
      </c>
      <c r="D330" s="52">
        <f t="shared" si="36"/>
        <v>963.27828103635602</v>
      </c>
      <c r="E330" s="52">
        <f t="shared" si="37"/>
        <v>711</v>
      </c>
      <c r="F330" s="52">
        <f t="shared" si="38"/>
        <v>711</v>
      </c>
      <c r="G330" s="36">
        <f t="shared" si="39"/>
        <v>60</v>
      </c>
      <c r="H330" s="5">
        <f t="shared" si="40"/>
        <v>60</v>
      </c>
      <c r="I330" s="4">
        <f t="shared" si="41"/>
        <v>122710.60904921732</v>
      </c>
      <c r="J330" s="4">
        <f t="shared" si="42"/>
        <v>6555829627.2805662</v>
      </c>
      <c r="K330" s="4">
        <f t="shared" si="43"/>
        <v>18441152.25676671</v>
      </c>
      <c r="L330" s="4">
        <f t="shared" si="44"/>
        <v>25500060</v>
      </c>
      <c r="M330" s="4">
        <f t="shared" si="45"/>
        <v>231.1387570270291</v>
      </c>
      <c r="N330" s="53">
        <f t="shared" si="51"/>
        <v>78120</v>
      </c>
      <c r="O330" s="4">
        <f t="shared" si="46"/>
        <v>6555829627.2805662</v>
      </c>
      <c r="P330" s="4">
        <f t="shared" si="47"/>
        <v>18441152.25676671</v>
      </c>
      <c r="Q330" s="4">
        <f t="shared" si="48"/>
        <v>25500060</v>
      </c>
      <c r="R330" s="5">
        <f t="shared" si="49"/>
        <v>231.1387570270291</v>
      </c>
      <c r="T330" s="4">
        <f t="shared" si="50"/>
        <v>13111659254.561132</v>
      </c>
      <c r="V330" s="4">
        <f t="shared" si="52"/>
        <v>78120</v>
      </c>
      <c r="X330" s="9" t="str">
        <f t="shared" si="53"/>
        <v>a</v>
      </c>
      <c r="Y330" s="9" t="str">
        <f t="shared" si="53"/>
        <v>a</v>
      </c>
      <c r="Z330" s="31">
        <f t="shared" si="54"/>
        <v>12714030</v>
      </c>
      <c r="AA330" s="31">
        <f t="shared" si="55"/>
        <v>12714030</v>
      </c>
    </row>
    <row r="331" spans="3:34" ht="13">
      <c r="C331" t="s">
        <v>527</v>
      </c>
      <c r="D331" s="52">
        <f t="shared" si="36"/>
        <v>1106.5616095776061</v>
      </c>
      <c r="E331" s="52">
        <f t="shared" si="37"/>
        <v>711</v>
      </c>
      <c r="F331" s="52">
        <f t="shared" si="38"/>
        <v>711</v>
      </c>
      <c r="G331" s="36">
        <f t="shared" si="39"/>
        <v>70</v>
      </c>
      <c r="H331" s="5">
        <f t="shared" si="40"/>
        <v>70</v>
      </c>
      <c r="I331" s="4">
        <f t="shared" si="41"/>
        <v>140963.26236657402</v>
      </c>
      <c r="J331" s="4">
        <f t="shared" si="42"/>
        <v>7326230773.7545643</v>
      </c>
      <c r="K331" s="4">
        <f t="shared" si="43"/>
        <v>20608244.08932367</v>
      </c>
      <c r="L331" s="4">
        <f t="shared" si="44"/>
        <v>28876003.333333332</v>
      </c>
      <c r="M331" s="4">
        <f t="shared" si="45"/>
        <v>227.97505345980292</v>
      </c>
      <c r="N331" s="53">
        <f t="shared" si="51"/>
        <v>89740</v>
      </c>
      <c r="O331" s="4">
        <f t="shared" si="46"/>
        <v>7326230773.7545643</v>
      </c>
      <c r="P331" s="4">
        <f t="shared" si="47"/>
        <v>20608244.08932367</v>
      </c>
      <c r="Q331" s="4">
        <f t="shared" si="48"/>
        <v>28876003.333333332</v>
      </c>
      <c r="R331" s="5">
        <f t="shared" si="49"/>
        <v>227.97505345980292</v>
      </c>
      <c r="T331" s="4">
        <f t="shared" si="50"/>
        <v>14652461547.509129</v>
      </c>
      <c r="V331" s="4">
        <f t="shared" si="52"/>
        <v>89740</v>
      </c>
      <c r="X331" s="9" t="str">
        <f t="shared" si="53"/>
        <v>a</v>
      </c>
      <c r="Y331" s="9" t="str">
        <f t="shared" si="53"/>
        <v>a</v>
      </c>
      <c r="Z331" s="31">
        <f t="shared" si="54"/>
        <v>14380835</v>
      </c>
      <c r="AA331" s="31">
        <f t="shared" si="55"/>
        <v>14380835</v>
      </c>
    </row>
    <row r="332" spans="3:34" ht="13">
      <c r="C332" t="s">
        <v>528</v>
      </c>
      <c r="D332" s="52">
        <f t="shared" si="36"/>
        <v>1244.9126376527202</v>
      </c>
      <c r="E332" s="52">
        <f t="shared" si="37"/>
        <v>711</v>
      </c>
      <c r="F332" s="52">
        <f t="shared" si="38"/>
        <v>711</v>
      </c>
      <c r="G332" s="36">
        <f t="shared" si="39"/>
        <v>80</v>
      </c>
      <c r="H332" s="5">
        <f t="shared" si="40"/>
        <v>80</v>
      </c>
      <c r="I332" s="4">
        <f t="shared" si="41"/>
        <v>158587.59715321276</v>
      </c>
      <c r="J332" s="4">
        <f t="shared" si="42"/>
        <v>8019794611.4876137</v>
      </c>
      <c r="K332" s="4">
        <f t="shared" si="43"/>
        <v>22559197.219374441</v>
      </c>
      <c r="L332" s="4">
        <f t="shared" si="44"/>
        <v>32023546.666666668</v>
      </c>
      <c r="M332" s="4">
        <f t="shared" si="45"/>
        <v>224.87802249219465</v>
      </c>
      <c r="N332" s="53">
        <f t="shared" si="51"/>
        <v>100960</v>
      </c>
      <c r="O332" s="4">
        <f t="shared" si="46"/>
        <v>8019794611.4876137</v>
      </c>
      <c r="P332" s="4">
        <f t="shared" si="47"/>
        <v>22559197.219374441</v>
      </c>
      <c r="Q332" s="4">
        <f t="shared" si="48"/>
        <v>32023546.666666668</v>
      </c>
      <c r="R332" s="5">
        <f t="shared" si="49"/>
        <v>224.87802249219465</v>
      </c>
      <c r="T332" s="4">
        <f t="shared" si="50"/>
        <v>16039589222.975227</v>
      </c>
      <c r="V332" s="4">
        <f t="shared" si="52"/>
        <v>100960</v>
      </c>
      <c r="X332" s="9" t="str">
        <f t="shared" si="53"/>
        <v>a</v>
      </c>
      <c r="Y332" s="9" t="str">
        <f t="shared" si="53"/>
        <v>a</v>
      </c>
      <c r="Z332" s="31">
        <f t="shared" si="54"/>
        <v>15926440</v>
      </c>
      <c r="AA332" s="31">
        <f t="shared" si="55"/>
        <v>15926440</v>
      </c>
    </row>
    <row r="333" spans="3:34" ht="13">
      <c r="C333" t="s">
        <v>529</v>
      </c>
      <c r="D333" s="52">
        <f t="shared" si="36"/>
        <v>1378.3313652616982</v>
      </c>
      <c r="E333" s="52">
        <f t="shared" si="37"/>
        <v>711</v>
      </c>
      <c r="F333" s="52">
        <f t="shared" si="38"/>
        <v>711</v>
      </c>
      <c r="G333" s="36">
        <f t="shared" si="39"/>
        <v>90</v>
      </c>
      <c r="H333" s="5">
        <f t="shared" si="40"/>
        <v>90</v>
      </c>
      <c r="I333" s="4">
        <f t="shared" si="41"/>
        <v>175583.61340913354</v>
      </c>
      <c r="J333" s="4">
        <f t="shared" si="42"/>
        <v>8641808440.9157066</v>
      </c>
      <c r="K333" s="4">
        <f t="shared" si="43"/>
        <v>24308884.503279064</v>
      </c>
      <c r="L333" s="4">
        <f t="shared" si="44"/>
        <v>34950690</v>
      </c>
      <c r="M333" s="4">
        <f t="shared" si="45"/>
        <v>221.85045638898291</v>
      </c>
      <c r="N333" s="53">
        <f t="shared" si="51"/>
        <v>111780</v>
      </c>
      <c r="O333" s="4">
        <f t="shared" si="46"/>
        <v>8641808440.9157066</v>
      </c>
      <c r="P333" s="4">
        <f t="shared" si="47"/>
        <v>24308884.503279064</v>
      </c>
      <c r="Q333" s="4">
        <f t="shared" si="48"/>
        <v>34950690</v>
      </c>
      <c r="R333" s="5">
        <f t="shared" si="49"/>
        <v>221.85045638898291</v>
      </c>
      <c r="T333" s="4">
        <f t="shared" si="50"/>
        <v>17283616881.831413</v>
      </c>
      <c r="V333" s="4">
        <f t="shared" si="52"/>
        <v>111780</v>
      </c>
      <c r="X333" s="9" t="str">
        <f t="shared" si="53"/>
        <v>a</v>
      </c>
      <c r="Y333" s="9" t="str">
        <f t="shared" si="53"/>
        <v>a</v>
      </c>
      <c r="Z333" s="31">
        <f t="shared" si="54"/>
        <v>17353845</v>
      </c>
      <c r="AA333" s="31">
        <f t="shared" si="55"/>
        <v>17353845</v>
      </c>
    </row>
  </sheetData>
  <phoneticPr fontId="3" type="noConversion"/>
  <pageMargins left="0.78740157499999996" right="0.78740157499999996" top="0.984251969" bottom="0.984251969" header="0.4921259845" footer="0.4921259845"/>
  <headerFooter alignWithMargins="0">
    <oddFooter>&amp;R_x000D_&amp;1#&amp;"Aptos"&amp;10&amp;K000000 Data sensitivity - Public</oddFooter>
  </headerFooter>
  <legacy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euil9"/>
  <dimension ref="A1:BB584"/>
  <sheetViews>
    <sheetView zoomScale="85" workbookViewId="0">
      <pane ySplit="2" topLeftCell="A249" activePane="bottomLeft" state="frozen"/>
      <selection pane="bottomLeft" activeCell="I299" sqref="I299"/>
    </sheetView>
  </sheetViews>
  <sheetFormatPr defaultColWidth="10.90625" defaultRowHeight="12.5"/>
  <cols>
    <col min="1" max="1" width="11.453125" style="9"/>
    <col min="2" max="2" width="14" bestFit="1" customWidth="1"/>
    <col min="3" max="3" width="7.54296875" customWidth="1"/>
    <col min="20" max="20" width="11.81640625" bestFit="1" customWidth="1"/>
    <col min="30" max="30" width="16.453125" customWidth="1"/>
  </cols>
  <sheetData>
    <row r="1" spans="1:34" ht="13">
      <c r="A1" s="9" t="s">
        <v>200</v>
      </c>
      <c r="B1" s="3" t="s">
        <v>203</v>
      </c>
      <c r="C1" s="3"/>
      <c r="D1" s="3" t="s">
        <v>11</v>
      </c>
      <c r="E1" s="3" t="s">
        <v>12</v>
      </c>
      <c r="F1" s="3" t="s">
        <v>13</v>
      </c>
      <c r="G1" s="5" t="s">
        <v>14</v>
      </c>
      <c r="H1" s="5" t="s">
        <v>15</v>
      </c>
      <c r="I1" s="3" t="s">
        <v>16</v>
      </c>
      <c r="J1" s="3" t="s">
        <v>2</v>
      </c>
      <c r="K1" s="3" t="s">
        <v>4</v>
      </c>
      <c r="L1" s="3" t="s">
        <v>17</v>
      </c>
      <c r="M1" s="3" t="s">
        <v>6</v>
      </c>
      <c r="N1" s="3" t="s">
        <v>18</v>
      </c>
      <c r="O1" s="3" t="s">
        <v>7</v>
      </c>
      <c r="P1" s="3" t="s">
        <v>8</v>
      </c>
      <c r="Q1" s="3" t="s">
        <v>19</v>
      </c>
      <c r="R1" s="92" t="s">
        <v>9</v>
      </c>
      <c r="S1" s="65" t="s">
        <v>20</v>
      </c>
      <c r="T1" s="65" t="s">
        <v>10</v>
      </c>
      <c r="U1" s="65" t="s">
        <v>21</v>
      </c>
      <c r="V1" s="102" t="s">
        <v>191</v>
      </c>
      <c r="W1" s="102" t="s">
        <v>274</v>
      </c>
      <c r="X1" s="4" t="s">
        <v>241</v>
      </c>
      <c r="Y1" s="4" t="s">
        <v>243</v>
      </c>
      <c r="Z1" s="31" t="s">
        <v>341</v>
      </c>
      <c r="AA1" s="31" t="s">
        <v>342</v>
      </c>
      <c r="AB1" s="4"/>
      <c r="AC1" s="4"/>
      <c r="AD1" s="4"/>
      <c r="AE1" s="4"/>
      <c r="AF1" s="4"/>
      <c r="AG1" s="4"/>
      <c r="AH1" s="4"/>
    </row>
    <row r="2" spans="1:34" ht="13">
      <c r="B2" s="3"/>
      <c r="C2" s="3"/>
      <c r="D2" s="3" t="s">
        <v>22</v>
      </c>
      <c r="E2" s="3" t="s">
        <v>0</v>
      </c>
      <c r="F2" s="3" t="s">
        <v>0</v>
      </c>
      <c r="G2" s="5" t="s">
        <v>0</v>
      </c>
      <c r="H2" s="5" t="s">
        <v>0</v>
      </c>
      <c r="I2" s="3" t="s">
        <v>1</v>
      </c>
      <c r="J2" s="3" t="s">
        <v>3</v>
      </c>
      <c r="K2" s="3" t="s">
        <v>5</v>
      </c>
      <c r="L2" s="3" t="s">
        <v>5</v>
      </c>
      <c r="M2" s="3" t="s">
        <v>0</v>
      </c>
      <c r="N2" s="3" t="s">
        <v>1</v>
      </c>
      <c r="O2" s="3" t="s">
        <v>3</v>
      </c>
      <c r="P2" s="3" t="s">
        <v>5</v>
      </c>
      <c r="Q2" s="3" t="s">
        <v>5</v>
      </c>
      <c r="R2" s="5" t="s">
        <v>0</v>
      </c>
      <c r="T2" s="3" t="s">
        <v>3</v>
      </c>
      <c r="U2" s="4" t="s">
        <v>3</v>
      </c>
      <c r="V2" s="3" t="s">
        <v>1</v>
      </c>
      <c r="W2" s="4" t="s">
        <v>0</v>
      </c>
      <c r="X2" s="4" t="s">
        <v>242</v>
      </c>
      <c r="Y2" s="4" t="s">
        <v>244</v>
      </c>
      <c r="Z2" s="31" t="s">
        <v>5</v>
      </c>
      <c r="AA2" s="31" t="s">
        <v>5</v>
      </c>
      <c r="AB2" s="4"/>
      <c r="AC2" s="4"/>
      <c r="AD2" s="4"/>
      <c r="AE2" s="4"/>
      <c r="AF2" s="4"/>
      <c r="AG2" s="4"/>
      <c r="AH2" s="4"/>
    </row>
    <row r="3" spans="1:34" ht="13">
      <c r="A3" s="9">
        <v>1</v>
      </c>
      <c r="B3" s="3" t="s">
        <v>1356</v>
      </c>
      <c r="C3" s="3"/>
      <c r="D3" s="5">
        <v>3</v>
      </c>
      <c r="E3" s="3">
        <v>40</v>
      </c>
      <c r="F3" s="3">
        <v>40</v>
      </c>
      <c r="G3" s="5">
        <v>2.6</v>
      </c>
      <c r="H3" s="5">
        <v>2.6</v>
      </c>
      <c r="I3" s="3">
        <v>382</v>
      </c>
      <c r="J3" s="3">
        <v>88000</v>
      </c>
      <c r="K3" s="3">
        <v>4400</v>
      </c>
      <c r="L3" s="3">
        <v>5310</v>
      </c>
      <c r="M3" s="3">
        <v>15.2</v>
      </c>
      <c r="N3" s="5">
        <f t="shared" ref="N3:N66" si="0">I3*E3/(F3+E3)</f>
        <v>191</v>
      </c>
      <c r="O3" s="3">
        <v>88000</v>
      </c>
      <c r="P3" s="3">
        <v>4400</v>
      </c>
      <c r="Q3" s="3">
        <v>5310</v>
      </c>
      <c r="R3" s="5">
        <v>15.2</v>
      </c>
      <c r="T3" s="3">
        <v>140000</v>
      </c>
      <c r="U3" s="4"/>
      <c r="V3" s="5">
        <f t="shared" ref="V3:V66" si="1">I3*F3/(E3+F3)</f>
        <v>191</v>
      </c>
      <c r="W3" s="8"/>
      <c r="X3" s="9" t="str">
        <f t="shared" ref="X3:Y22" si="2">IF(fy=460,"a0","a")</f>
        <v>a</v>
      </c>
      <c r="Y3" s="9" t="str">
        <f t="shared" si="2"/>
        <v>a</v>
      </c>
      <c r="Z3" s="31">
        <f t="shared" ref="Z3:Z66" si="3">(H3*(0.5*E3-G3)^2)+(F3*G3)*(0.5*E3-0.5*G3)</f>
        <v>2731.9759999999997</v>
      </c>
      <c r="AA3" s="31">
        <f t="shared" ref="AA3:AA66" si="4">(H3*(0.5*F3-G3)^2)+(E3*G3)*(0.5*F3-0.5*G3)</f>
        <v>2731.9759999999997</v>
      </c>
    </row>
    <row r="4" spans="1:34" ht="13">
      <c r="A4" s="9">
        <v>2</v>
      </c>
      <c r="B4" s="3" t="s">
        <v>1357</v>
      </c>
      <c r="C4" s="3"/>
      <c r="D4" s="5">
        <v>3.41</v>
      </c>
      <c r="E4" s="3">
        <v>40</v>
      </c>
      <c r="F4" s="3">
        <v>40</v>
      </c>
      <c r="G4" s="5">
        <v>3</v>
      </c>
      <c r="H4" s="5">
        <v>3</v>
      </c>
      <c r="I4" s="3">
        <v>434</v>
      </c>
      <c r="J4" s="3">
        <v>97800</v>
      </c>
      <c r="K4" s="3">
        <v>4890</v>
      </c>
      <c r="L4" s="3">
        <v>5970</v>
      </c>
      <c r="M4" s="3">
        <v>15</v>
      </c>
      <c r="N4" s="5">
        <f t="shared" si="0"/>
        <v>217</v>
      </c>
      <c r="O4" s="3">
        <v>97800</v>
      </c>
      <c r="P4" s="3">
        <v>4890</v>
      </c>
      <c r="Q4" s="3">
        <v>5970</v>
      </c>
      <c r="R4" s="5">
        <v>15</v>
      </c>
      <c r="T4" s="3">
        <v>157000</v>
      </c>
      <c r="U4" s="4"/>
      <c r="V4" s="5">
        <f t="shared" si="1"/>
        <v>217</v>
      </c>
      <c r="W4" s="8"/>
      <c r="X4" s="9" t="str">
        <f t="shared" si="2"/>
        <v>a</v>
      </c>
      <c r="Y4" s="9" t="str">
        <f t="shared" si="2"/>
        <v>a</v>
      </c>
      <c r="Z4" s="31">
        <f t="shared" si="3"/>
        <v>3087</v>
      </c>
      <c r="AA4" s="31">
        <f t="shared" si="4"/>
        <v>3087</v>
      </c>
    </row>
    <row r="5" spans="1:34" ht="13">
      <c r="A5" s="9">
        <v>3</v>
      </c>
      <c r="B5" s="3" t="s">
        <v>1358</v>
      </c>
      <c r="C5" s="3"/>
      <c r="D5" s="5">
        <v>3.61</v>
      </c>
      <c r="E5" s="3">
        <v>40</v>
      </c>
      <c r="F5" s="3">
        <v>40</v>
      </c>
      <c r="G5" s="5">
        <v>3.2</v>
      </c>
      <c r="H5" s="5">
        <v>3.2</v>
      </c>
      <c r="I5" s="3">
        <v>460</v>
      </c>
      <c r="J5" s="3">
        <v>102000</v>
      </c>
      <c r="K5" s="3">
        <v>5110</v>
      </c>
      <c r="L5" s="3">
        <v>6280</v>
      </c>
      <c r="M5" s="3">
        <v>14.9</v>
      </c>
      <c r="N5" s="5">
        <f t="shared" si="0"/>
        <v>230</v>
      </c>
      <c r="O5" s="3">
        <v>102000</v>
      </c>
      <c r="P5" s="3">
        <v>5110</v>
      </c>
      <c r="Q5" s="3">
        <v>6280</v>
      </c>
      <c r="R5" s="5">
        <v>14.9</v>
      </c>
      <c r="T5" s="3">
        <v>165000</v>
      </c>
      <c r="U5" s="4"/>
      <c r="V5" s="5">
        <f t="shared" si="1"/>
        <v>230</v>
      </c>
      <c r="W5" s="8"/>
      <c r="X5" s="9" t="str">
        <f t="shared" si="2"/>
        <v>a</v>
      </c>
      <c r="Y5" s="9" t="str">
        <f t="shared" si="2"/>
        <v>a</v>
      </c>
      <c r="Z5" s="31">
        <f t="shared" si="3"/>
        <v>3258.3679999999999</v>
      </c>
      <c r="AA5" s="31">
        <f t="shared" si="4"/>
        <v>3258.3679999999999</v>
      </c>
    </row>
    <row r="6" spans="1:34" ht="13">
      <c r="A6" s="9">
        <v>4</v>
      </c>
      <c r="B6" s="3" t="s">
        <v>1359</v>
      </c>
      <c r="C6" s="3"/>
      <c r="D6" s="5">
        <v>4.01</v>
      </c>
      <c r="E6" s="3">
        <v>40</v>
      </c>
      <c r="F6" s="3">
        <v>40</v>
      </c>
      <c r="G6" s="5">
        <v>3.6</v>
      </c>
      <c r="H6" s="5">
        <v>3.6</v>
      </c>
      <c r="I6" s="3">
        <v>510</v>
      </c>
      <c r="J6" s="3">
        <v>111000</v>
      </c>
      <c r="K6" s="3">
        <v>5540</v>
      </c>
      <c r="L6" s="3">
        <v>6880</v>
      </c>
      <c r="M6" s="3">
        <v>14.7</v>
      </c>
      <c r="N6" s="5">
        <f t="shared" si="0"/>
        <v>255</v>
      </c>
      <c r="O6" s="3">
        <v>111000</v>
      </c>
      <c r="P6" s="3">
        <v>5540</v>
      </c>
      <c r="Q6" s="3">
        <v>6880</v>
      </c>
      <c r="R6" s="5">
        <v>14.7</v>
      </c>
      <c r="T6" s="3">
        <v>181000</v>
      </c>
      <c r="U6" s="4"/>
      <c r="V6" s="5">
        <f t="shared" si="1"/>
        <v>255</v>
      </c>
      <c r="W6" s="8"/>
      <c r="X6" s="9" t="str">
        <f t="shared" si="2"/>
        <v>a</v>
      </c>
      <c r="Y6" s="9" t="str">
        <f t="shared" si="2"/>
        <v>a</v>
      </c>
      <c r="Z6" s="31">
        <f t="shared" si="3"/>
        <v>3589.0559999999996</v>
      </c>
      <c r="AA6" s="31">
        <f t="shared" si="4"/>
        <v>3589.0559999999996</v>
      </c>
    </row>
    <row r="7" spans="1:34" ht="13">
      <c r="A7" s="9">
        <v>5</v>
      </c>
      <c r="B7" s="3" t="s">
        <v>1360</v>
      </c>
      <c r="C7" s="3"/>
      <c r="D7" s="5">
        <v>4.3899999999999997</v>
      </c>
      <c r="E7" s="3">
        <v>40</v>
      </c>
      <c r="F7" s="3">
        <v>40</v>
      </c>
      <c r="G7" s="5">
        <v>4</v>
      </c>
      <c r="H7" s="5">
        <v>4</v>
      </c>
      <c r="I7" s="3">
        <v>559</v>
      </c>
      <c r="J7" s="3">
        <v>118000</v>
      </c>
      <c r="K7" s="3">
        <v>5910</v>
      </c>
      <c r="L7" s="3">
        <v>7440</v>
      </c>
      <c r="M7" s="3">
        <v>14.5</v>
      </c>
      <c r="N7" s="5">
        <f t="shared" si="0"/>
        <v>279.5</v>
      </c>
      <c r="O7" s="3">
        <v>118000</v>
      </c>
      <c r="P7" s="3">
        <v>5910</v>
      </c>
      <c r="Q7" s="3">
        <v>7440</v>
      </c>
      <c r="R7" s="5">
        <v>14.5</v>
      </c>
      <c r="T7" s="3">
        <v>195000</v>
      </c>
      <c r="U7" s="4"/>
      <c r="V7" s="5">
        <f t="shared" si="1"/>
        <v>279.5</v>
      </c>
      <c r="W7" s="8"/>
      <c r="X7" s="9" t="str">
        <f t="shared" si="2"/>
        <v>a</v>
      </c>
      <c r="Y7" s="9" t="str">
        <f t="shared" si="2"/>
        <v>a</v>
      </c>
      <c r="Z7" s="31">
        <f t="shared" si="3"/>
        <v>3904</v>
      </c>
      <c r="AA7" s="31">
        <f t="shared" si="4"/>
        <v>3904</v>
      </c>
    </row>
    <row r="8" spans="1:34" ht="13">
      <c r="A8" s="9">
        <v>6</v>
      </c>
      <c r="B8" s="3" t="s">
        <v>1361</v>
      </c>
      <c r="C8" s="3"/>
      <c r="D8" s="5">
        <v>5.28</v>
      </c>
      <c r="E8" s="3">
        <v>40</v>
      </c>
      <c r="F8" s="3">
        <v>40</v>
      </c>
      <c r="G8" s="5">
        <v>5</v>
      </c>
      <c r="H8" s="5">
        <v>5</v>
      </c>
      <c r="I8" s="3">
        <v>673</v>
      </c>
      <c r="J8" s="3">
        <v>134000</v>
      </c>
      <c r="K8" s="3">
        <v>6680</v>
      </c>
      <c r="L8" s="3">
        <v>8660</v>
      </c>
      <c r="M8" s="3">
        <v>14.1</v>
      </c>
      <c r="N8" s="5">
        <f t="shared" si="0"/>
        <v>336.5</v>
      </c>
      <c r="O8" s="3">
        <v>134000</v>
      </c>
      <c r="P8" s="3">
        <v>6680</v>
      </c>
      <c r="Q8" s="3">
        <v>8660</v>
      </c>
      <c r="R8" s="5">
        <v>14.1</v>
      </c>
      <c r="T8" s="3">
        <v>225000</v>
      </c>
      <c r="U8" s="4"/>
      <c r="V8" s="5">
        <f t="shared" si="1"/>
        <v>336.5</v>
      </c>
      <c r="W8" s="8"/>
      <c r="X8" s="9" t="str">
        <f t="shared" si="2"/>
        <v>a</v>
      </c>
      <c r="Y8" s="9" t="str">
        <f t="shared" si="2"/>
        <v>a</v>
      </c>
      <c r="Z8" s="31">
        <f t="shared" si="3"/>
        <v>4625</v>
      </c>
      <c r="AA8" s="31">
        <f t="shared" si="4"/>
        <v>4625</v>
      </c>
    </row>
    <row r="9" spans="1:34" ht="13">
      <c r="A9" s="9">
        <v>7</v>
      </c>
      <c r="B9" s="3" t="s">
        <v>1362</v>
      </c>
      <c r="C9" s="3"/>
      <c r="D9" s="5">
        <v>3</v>
      </c>
      <c r="E9" s="3">
        <v>50</v>
      </c>
      <c r="F9" s="3">
        <v>30</v>
      </c>
      <c r="G9" s="5">
        <v>2.6</v>
      </c>
      <c r="H9" s="5">
        <v>2.6</v>
      </c>
      <c r="I9" s="3">
        <v>382</v>
      </c>
      <c r="J9" s="3">
        <v>122000</v>
      </c>
      <c r="K9" s="3">
        <v>4870</v>
      </c>
      <c r="L9" s="3">
        <v>6120</v>
      </c>
      <c r="M9" s="3">
        <v>17.899999999999999</v>
      </c>
      <c r="N9" s="5">
        <f t="shared" si="0"/>
        <v>238.75</v>
      </c>
      <c r="O9" s="3">
        <v>53800</v>
      </c>
      <c r="P9" s="3">
        <v>3580</v>
      </c>
      <c r="Q9" s="3">
        <v>4250</v>
      </c>
      <c r="R9" s="5">
        <v>11.9</v>
      </c>
      <c r="T9" s="3">
        <v>121000</v>
      </c>
      <c r="U9" s="4"/>
      <c r="V9" s="5">
        <f t="shared" si="1"/>
        <v>143.25</v>
      </c>
      <c r="W9" s="8"/>
      <c r="X9" s="9" t="str">
        <f t="shared" si="2"/>
        <v>a</v>
      </c>
      <c r="Y9" s="9" t="str">
        <f t="shared" si="2"/>
        <v>a</v>
      </c>
      <c r="Z9" s="31">
        <f t="shared" si="3"/>
        <v>3153.1759999999995</v>
      </c>
      <c r="AA9" s="31">
        <f t="shared" si="4"/>
        <v>2180.7759999999998</v>
      </c>
    </row>
    <row r="10" spans="1:34" ht="13">
      <c r="A10" s="9">
        <v>8</v>
      </c>
      <c r="B10" s="3" t="s">
        <v>1363</v>
      </c>
      <c r="C10" s="3"/>
      <c r="D10" s="5">
        <v>3.41</v>
      </c>
      <c r="E10" s="3">
        <v>50</v>
      </c>
      <c r="F10" s="3">
        <v>30</v>
      </c>
      <c r="G10" s="5">
        <v>3</v>
      </c>
      <c r="H10" s="5">
        <v>3</v>
      </c>
      <c r="I10" s="3">
        <v>434</v>
      </c>
      <c r="J10" s="3">
        <v>136000</v>
      </c>
      <c r="K10" s="3">
        <v>5430</v>
      </c>
      <c r="L10" s="3">
        <v>6880</v>
      </c>
      <c r="M10" s="3">
        <v>17.7</v>
      </c>
      <c r="N10" s="5">
        <f t="shared" si="0"/>
        <v>271.25</v>
      </c>
      <c r="O10" s="3">
        <v>59400</v>
      </c>
      <c r="P10" s="3">
        <v>3960</v>
      </c>
      <c r="Q10" s="3">
        <v>4760</v>
      </c>
      <c r="R10" s="5">
        <v>11.7</v>
      </c>
      <c r="T10" s="3">
        <v>135000</v>
      </c>
      <c r="U10" s="4"/>
      <c r="V10" s="5">
        <f t="shared" si="1"/>
        <v>162.75</v>
      </c>
      <c r="W10" s="8"/>
      <c r="X10" s="9" t="str">
        <f t="shared" si="2"/>
        <v>a</v>
      </c>
      <c r="Y10" s="9" t="str">
        <f t="shared" si="2"/>
        <v>a</v>
      </c>
      <c r="Z10" s="31">
        <f t="shared" si="3"/>
        <v>3567</v>
      </c>
      <c r="AA10" s="31">
        <f t="shared" si="4"/>
        <v>2457</v>
      </c>
    </row>
    <row r="11" spans="1:34" ht="13">
      <c r="A11" s="9">
        <v>9</v>
      </c>
      <c r="B11" s="3" t="s">
        <v>1364</v>
      </c>
      <c r="C11" s="3"/>
      <c r="D11" s="5">
        <v>3.61</v>
      </c>
      <c r="E11" s="3">
        <v>50</v>
      </c>
      <c r="F11" s="3">
        <v>30</v>
      </c>
      <c r="G11" s="5">
        <v>3.2</v>
      </c>
      <c r="H11" s="5">
        <v>3.2</v>
      </c>
      <c r="I11" s="3">
        <v>460</v>
      </c>
      <c r="J11" s="3">
        <v>142000</v>
      </c>
      <c r="K11" s="3">
        <v>5680</v>
      </c>
      <c r="L11" s="3">
        <v>7250</v>
      </c>
      <c r="M11" s="3">
        <v>17.600000000000001</v>
      </c>
      <c r="N11" s="5">
        <f t="shared" si="0"/>
        <v>287.5</v>
      </c>
      <c r="O11" s="3">
        <v>62000</v>
      </c>
      <c r="P11" s="3">
        <v>4130</v>
      </c>
      <c r="Q11" s="3">
        <v>5000</v>
      </c>
      <c r="R11" s="5">
        <v>11.6</v>
      </c>
      <c r="T11" s="3">
        <v>142000</v>
      </c>
      <c r="U11" s="4"/>
      <c r="V11" s="5">
        <f t="shared" si="1"/>
        <v>172.5</v>
      </c>
      <c r="W11" s="8"/>
      <c r="X11" s="9" t="str">
        <f t="shared" si="2"/>
        <v>a</v>
      </c>
      <c r="Y11" s="9" t="str">
        <f t="shared" si="2"/>
        <v>a</v>
      </c>
      <c r="Z11" s="31">
        <f t="shared" si="3"/>
        <v>3767.1679999999997</v>
      </c>
      <c r="AA11" s="31">
        <f t="shared" si="4"/>
        <v>2589.5680000000002</v>
      </c>
    </row>
    <row r="12" spans="1:34" ht="13">
      <c r="A12" s="9">
        <v>10</v>
      </c>
      <c r="B12" s="3" t="s">
        <v>1365</v>
      </c>
      <c r="C12" s="3"/>
      <c r="D12" s="5">
        <v>3.81</v>
      </c>
      <c r="E12" s="3">
        <v>50</v>
      </c>
      <c r="F12" s="3">
        <v>50</v>
      </c>
      <c r="G12" s="5">
        <v>2.6</v>
      </c>
      <c r="H12" s="5">
        <v>2.6</v>
      </c>
      <c r="I12" s="3">
        <v>486</v>
      </c>
      <c r="J12" s="3">
        <v>180000</v>
      </c>
      <c r="K12" s="3">
        <v>7210</v>
      </c>
      <c r="L12" s="3">
        <v>8580</v>
      </c>
      <c r="M12" s="3">
        <v>19.3</v>
      </c>
      <c r="N12" s="5">
        <f t="shared" si="0"/>
        <v>243</v>
      </c>
      <c r="O12" s="3">
        <v>180000</v>
      </c>
      <c r="P12" s="3">
        <v>7210</v>
      </c>
      <c r="Q12" s="3">
        <v>8580</v>
      </c>
      <c r="R12" s="5">
        <v>19.3</v>
      </c>
      <c r="T12" s="3">
        <v>284000</v>
      </c>
      <c r="U12" s="4"/>
      <c r="V12" s="5">
        <f t="shared" si="1"/>
        <v>243</v>
      </c>
      <c r="W12" s="8"/>
      <c r="X12" s="9" t="str">
        <f t="shared" si="2"/>
        <v>a</v>
      </c>
      <c r="Y12" s="9" t="str">
        <f t="shared" si="2"/>
        <v>a</v>
      </c>
      <c r="Z12" s="31">
        <f t="shared" si="3"/>
        <v>4385.576</v>
      </c>
      <c r="AA12" s="31">
        <f t="shared" si="4"/>
        <v>4385.576</v>
      </c>
    </row>
    <row r="13" spans="1:34" ht="13">
      <c r="A13" s="9">
        <v>11</v>
      </c>
      <c r="B13" s="3" t="s">
        <v>1366</v>
      </c>
      <c r="C13" s="3"/>
      <c r="D13" s="5">
        <v>4.01</v>
      </c>
      <c r="E13" s="3">
        <v>50</v>
      </c>
      <c r="F13" s="3">
        <v>30</v>
      </c>
      <c r="G13" s="5">
        <v>3.6</v>
      </c>
      <c r="H13" s="5">
        <v>3.6</v>
      </c>
      <c r="I13" s="3">
        <v>510</v>
      </c>
      <c r="J13" s="3">
        <v>154000</v>
      </c>
      <c r="K13" s="3">
        <v>6160</v>
      </c>
      <c r="L13" s="3">
        <v>7940</v>
      </c>
      <c r="M13" s="3">
        <v>17.399999999999999</v>
      </c>
      <c r="N13" s="5">
        <f t="shared" si="0"/>
        <v>318.75</v>
      </c>
      <c r="O13" s="3">
        <v>66700</v>
      </c>
      <c r="P13" s="3">
        <v>4450</v>
      </c>
      <c r="Q13" s="3">
        <v>5460</v>
      </c>
      <c r="R13" s="5">
        <v>11.4</v>
      </c>
      <c r="T13" s="3">
        <v>154000</v>
      </c>
      <c r="U13" s="4"/>
      <c r="V13" s="5">
        <f t="shared" si="1"/>
        <v>191.25</v>
      </c>
      <c r="W13" s="8"/>
      <c r="X13" s="9" t="str">
        <f t="shared" si="2"/>
        <v>a</v>
      </c>
      <c r="Y13" s="9" t="str">
        <f t="shared" si="2"/>
        <v>a</v>
      </c>
      <c r="Z13" s="31">
        <f t="shared" si="3"/>
        <v>4154.2559999999994</v>
      </c>
      <c r="AA13" s="31">
        <f t="shared" si="4"/>
        <v>2843.8560000000002</v>
      </c>
    </row>
    <row r="14" spans="1:34" ht="13">
      <c r="A14" s="9">
        <v>12</v>
      </c>
      <c r="B14" s="3" t="s">
        <v>1367</v>
      </c>
      <c r="C14" s="3"/>
      <c r="D14" s="5">
        <v>4.3499999999999996</v>
      </c>
      <c r="E14" s="3">
        <v>50</v>
      </c>
      <c r="F14" s="3">
        <v>50</v>
      </c>
      <c r="G14" s="5">
        <v>3</v>
      </c>
      <c r="H14" s="5">
        <v>3</v>
      </c>
      <c r="I14" s="3">
        <v>554</v>
      </c>
      <c r="J14" s="3">
        <v>202000</v>
      </c>
      <c r="K14" s="3">
        <v>8080</v>
      </c>
      <c r="L14" s="3">
        <v>9700</v>
      </c>
      <c r="M14" s="3">
        <v>19.100000000000001</v>
      </c>
      <c r="N14" s="5">
        <f t="shared" si="0"/>
        <v>277</v>
      </c>
      <c r="O14" s="3">
        <v>202000</v>
      </c>
      <c r="P14" s="3">
        <v>8080</v>
      </c>
      <c r="Q14" s="3">
        <v>9700</v>
      </c>
      <c r="R14" s="5">
        <v>19.100000000000001</v>
      </c>
      <c r="T14" s="3">
        <v>321000</v>
      </c>
      <c r="U14" s="4"/>
      <c r="V14" s="5">
        <f t="shared" si="1"/>
        <v>277</v>
      </c>
      <c r="W14" s="8"/>
      <c r="X14" s="9" t="str">
        <f t="shared" si="2"/>
        <v>a</v>
      </c>
      <c r="Y14" s="9" t="str">
        <f t="shared" si="2"/>
        <v>a</v>
      </c>
      <c r="Z14" s="31">
        <f t="shared" si="3"/>
        <v>4977</v>
      </c>
      <c r="AA14" s="31">
        <f t="shared" si="4"/>
        <v>4977</v>
      </c>
    </row>
    <row r="15" spans="1:34" ht="13">
      <c r="A15" s="9">
        <v>13</v>
      </c>
      <c r="B15" s="3" t="s">
        <v>1368</v>
      </c>
      <c r="C15" s="3"/>
      <c r="D15" s="5">
        <v>4.3899999999999997</v>
      </c>
      <c r="E15" s="3">
        <v>50</v>
      </c>
      <c r="F15" s="3">
        <v>30</v>
      </c>
      <c r="G15" s="5">
        <v>4</v>
      </c>
      <c r="H15" s="5">
        <v>4</v>
      </c>
      <c r="I15" s="3">
        <v>559</v>
      </c>
      <c r="J15" s="3">
        <v>165000</v>
      </c>
      <c r="K15" s="3">
        <v>6600</v>
      </c>
      <c r="L15" s="3">
        <v>8590</v>
      </c>
      <c r="M15" s="3">
        <v>17.2</v>
      </c>
      <c r="N15" s="5">
        <f t="shared" si="0"/>
        <v>349.375</v>
      </c>
      <c r="O15" s="3">
        <v>70800</v>
      </c>
      <c r="P15" s="3">
        <v>4720</v>
      </c>
      <c r="Q15" s="3">
        <v>5880</v>
      </c>
      <c r="R15" s="5">
        <v>11.3</v>
      </c>
      <c r="T15" s="3">
        <v>166000</v>
      </c>
      <c r="U15" s="4"/>
      <c r="V15" s="5">
        <f t="shared" si="1"/>
        <v>209.625</v>
      </c>
      <c r="W15" s="8"/>
      <c r="X15" s="9" t="str">
        <f t="shared" si="2"/>
        <v>a</v>
      </c>
      <c r="Y15" s="9" t="str">
        <f t="shared" si="2"/>
        <v>a</v>
      </c>
      <c r="Z15" s="31">
        <f t="shared" si="3"/>
        <v>4524</v>
      </c>
      <c r="AA15" s="31">
        <f t="shared" si="4"/>
        <v>3084</v>
      </c>
    </row>
    <row r="16" spans="1:34" ht="13">
      <c r="A16" s="9">
        <v>14</v>
      </c>
      <c r="B16" s="3" t="s">
        <v>1369</v>
      </c>
      <c r="C16" s="3"/>
      <c r="D16" s="5">
        <v>4.62</v>
      </c>
      <c r="E16" s="3">
        <v>50</v>
      </c>
      <c r="F16" s="3">
        <v>50</v>
      </c>
      <c r="G16" s="5">
        <v>3.2</v>
      </c>
      <c r="H16" s="5">
        <v>3.2</v>
      </c>
      <c r="I16" s="3">
        <v>588</v>
      </c>
      <c r="J16" s="3">
        <v>212000</v>
      </c>
      <c r="K16" s="3">
        <v>8490</v>
      </c>
      <c r="L16" s="3">
        <v>10200</v>
      </c>
      <c r="M16" s="3">
        <v>19</v>
      </c>
      <c r="N16" s="5">
        <f t="shared" si="0"/>
        <v>294</v>
      </c>
      <c r="O16" s="3">
        <v>212000</v>
      </c>
      <c r="P16" s="3">
        <v>8490</v>
      </c>
      <c r="Q16" s="3">
        <v>10200</v>
      </c>
      <c r="R16" s="5">
        <v>19</v>
      </c>
      <c r="T16" s="3">
        <v>338000</v>
      </c>
      <c r="U16" s="4"/>
      <c r="V16" s="5">
        <f t="shared" si="1"/>
        <v>294</v>
      </c>
      <c r="W16" s="8"/>
      <c r="X16" s="9" t="str">
        <f t="shared" si="2"/>
        <v>a</v>
      </c>
      <c r="Y16" s="9" t="str">
        <f t="shared" si="2"/>
        <v>a</v>
      </c>
      <c r="Z16" s="31">
        <f t="shared" si="3"/>
        <v>5264.768</v>
      </c>
      <c r="AA16" s="31">
        <f t="shared" si="4"/>
        <v>5264.768</v>
      </c>
    </row>
    <row r="17" spans="1:27" ht="13">
      <c r="A17" s="9">
        <v>15</v>
      </c>
      <c r="B17" s="3" t="s">
        <v>1370</v>
      </c>
      <c r="C17" s="3"/>
      <c r="D17" s="5">
        <v>5.14</v>
      </c>
      <c r="E17" s="3">
        <v>50</v>
      </c>
      <c r="F17" s="3">
        <v>50</v>
      </c>
      <c r="G17" s="5">
        <v>3.6</v>
      </c>
      <c r="H17" s="5">
        <v>3.6</v>
      </c>
      <c r="I17" s="3">
        <v>654</v>
      </c>
      <c r="J17" s="3">
        <v>232000</v>
      </c>
      <c r="K17" s="3">
        <v>9270</v>
      </c>
      <c r="L17" s="3">
        <v>11300</v>
      </c>
      <c r="M17" s="3">
        <v>18.8</v>
      </c>
      <c r="N17" s="5">
        <f t="shared" si="0"/>
        <v>327</v>
      </c>
      <c r="O17" s="3">
        <v>232000</v>
      </c>
      <c r="P17" s="3">
        <v>9270</v>
      </c>
      <c r="Q17" s="3">
        <v>11300</v>
      </c>
      <c r="R17" s="5">
        <v>18.8</v>
      </c>
      <c r="T17" s="3">
        <v>372000</v>
      </c>
      <c r="U17" s="4"/>
      <c r="V17" s="5">
        <f t="shared" si="1"/>
        <v>327</v>
      </c>
      <c r="W17" s="8"/>
      <c r="X17" s="9" t="str">
        <f t="shared" si="2"/>
        <v>a</v>
      </c>
      <c r="Y17" s="9" t="str">
        <f t="shared" si="2"/>
        <v>a</v>
      </c>
      <c r="Z17" s="31">
        <f t="shared" si="3"/>
        <v>5824.6559999999999</v>
      </c>
      <c r="AA17" s="31">
        <f t="shared" si="4"/>
        <v>5824.6559999999999</v>
      </c>
    </row>
    <row r="18" spans="1:27" ht="13">
      <c r="A18" s="9">
        <v>16</v>
      </c>
      <c r="B18" s="3" t="s">
        <v>1371</v>
      </c>
      <c r="C18" s="3"/>
      <c r="D18" s="5">
        <v>5.28</v>
      </c>
      <c r="E18" s="3">
        <v>50</v>
      </c>
      <c r="F18" s="3">
        <v>30</v>
      </c>
      <c r="G18" s="5">
        <v>5</v>
      </c>
      <c r="H18" s="5">
        <v>5</v>
      </c>
      <c r="I18" s="3">
        <v>673</v>
      </c>
      <c r="J18" s="3">
        <v>187000</v>
      </c>
      <c r="K18" s="3">
        <v>7490</v>
      </c>
      <c r="L18" s="3">
        <v>10000</v>
      </c>
      <c r="M18" s="3">
        <v>16.7</v>
      </c>
      <c r="N18" s="5">
        <f t="shared" si="0"/>
        <v>420.625</v>
      </c>
      <c r="O18" s="3">
        <v>78900</v>
      </c>
      <c r="P18" s="3">
        <v>5260</v>
      </c>
      <c r="Q18" s="3">
        <v>6800</v>
      </c>
      <c r="R18" s="5">
        <v>10.8</v>
      </c>
      <c r="T18" s="3">
        <v>190000</v>
      </c>
      <c r="U18" s="4"/>
      <c r="V18" s="5">
        <f t="shared" si="1"/>
        <v>252.375</v>
      </c>
      <c r="W18" s="8"/>
      <c r="X18" s="9" t="str">
        <f t="shared" si="2"/>
        <v>a</v>
      </c>
      <c r="Y18" s="9" t="str">
        <f t="shared" si="2"/>
        <v>a</v>
      </c>
      <c r="Z18" s="31">
        <f t="shared" si="3"/>
        <v>5375</v>
      </c>
      <c r="AA18" s="31">
        <f t="shared" si="4"/>
        <v>3625</v>
      </c>
    </row>
    <row r="19" spans="1:27" ht="13">
      <c r="A19" s="9">
        <v>17</v>
      </c>
      <c r="B19" s="3" t="s">
        <v>1372</v>
      </c>
      <c r="C19" s="3"/>
      <c r="D19" s="5">
        <v>5.28</v>
      </c>
      <c r="E19" s="3">
        <v>50</v>
      </c>
      <c r="F19" s="3">
        <v>30</v>
      </c>
      <c r="G19" s="5">
        <v>5</v>
      </c>
      <c r="H19" s="5">
        <v>5</v>
      </c>
      <c r="I19" s="3">
        <v>673</v>
      </c>
      <c r="J19" s="3">
        <v>187000</v>
      </c>
      <c r="K19" s="3">
        <v>7490</v>
      </c>
      <c r="L19" s="3">
        <v>10000</v>
      </c>
      <c r="M19" s="3">
        <v>16.7</v>
      </c>
      <c r="N19" s="5">
        <f t="shared" si="0"/>
        <v>420.625</v>
      </c>
      <c r="O19" s="3">
        <v>78900</v>
      </c>
      <c r="P19" s="3">
        <v>5260</v>
      </c>
      <c r="Q19" s="3">
        <v>6800</v>
      </c>
      <c r="R19" s="5">
        <v>10.8</v>
      </c>
      <c r="T19" s="3">
        <v>190000</v>
      </c>
      <c r="U19" s="4"/>
      <c r="V19" s="5">
        <f t="shared" si="1"/>
        <v>252.375</v>
      </c>
      <c r="W19" s="8"/>
      <c r="X19" s="9" t="str">
        <f t="shared" si="2"/>
        <v>a</v>
      </c>
      <c r="Y19" s="9" t="str">
        <f t="shared" si="2"/>
        <v>a</v>
      </c>
      <c r="Z19" s="31">
        <f t="shared" si="3"/>
        <v>5375</v>
      </c>
      <c r="AA19" s="31">
        <f t="shared" si="4"/>
        <v>3625</v>
      </c>
    </row>
    <row r="20" spans="1:27" ht="13">
      <c r="A20" s="9">
        <v>18</v>
      </c>
      <c r="B20" s="3" t="s">
        <v>1373</v>
      </c>
      <c r="C20" s="3"/>
      <c r="D20" s="5">
        <v>5.64</v>
      </c>
      <c r="E20" s="3">
        <v>50</v>
      </c>
      <c r="F20" s="3">
        <v>50</v>
      </c>
      <c r="G20" s="5">
        <v>4</v>
      </c>
      <c r="H20" s="5">
        <v>4</v>
      </c>
      <c r="I20" s="3">
        <v>719</v>
      </c>
      <c r="J20" s="3">
        <v>250000</v>
      </c>
      <c r="K20" s="3">
        <v>9990</v>
      </c>
      <c r="L20" s="3">
        <v>12300</v>
      </c>
      <c r="M20" s="3">
        <v>18.600000000000001</v>
      </c>
      <c r="N20" s="5">
        <f t="shared" si="0"/>
        <v>359.5</v>
      </c>
      <c r="O20" s="3">
        <v>250000</v>
      </c>
      <c r="P20" s="3">
        <v>9990</v>
      </c>
      <c r="Q20" s="3">
        <v>12300</v>
      </c>
      <c r="R20" s="5">
        <v>18.600000000000001</v>
      </c>
      <c r="T20" s="3">
        <v>404000</v>
      </c>
      <c r="U20" s="4"/>
      <c r="V20" s="5">
        <f t="shared" si="1"/>
        <v>359.5</v>
      </c>
      <c r="W20" s="8"/>
      <c r="X20" s="9" t="str">
        <f t="shared" si="2"/>
        <v>a</v>
      </c>
      <c r="Y20" s="9" t="str">
        <f t="shared" si="2"/>
        <v>a</v>
      </c>
      <c r="Z20" s="31">
        <f t="shared" si="3"/>
        <v>6364</v>
      </c>
      <c r="AA20" s="31">
        <f t="shared" si="4"/>
        <v>6364</v>
      </c>
    </row>
    <row r="21" spans="1:27" ht="13">
      <c r="A21" s="9">
        <v>19</v>
      </c>
      <c r="B21" s="3" t="s">
        <v>1374</v>
      </c>
      <c r="C21" s="3"/>
      <c r="D21" s="5">
        <v>6.85</v>
      </c>
      <c r="E21" s="3">
        <v>50</v>
      </c>
      <c r="F21" s="3">
        <v>50</v>
      </c>
      <c r="G21" s="5">
        <v>5</v>
      </c>
      <c r="H21" s="5">
        <v>5</v>
      </c>
      <c r="I21" s="3">
        <v>873</v>
      </c>
      <c r="J21" s="3">
        <v>289000</v>
      </c>
      <c r="K21" s="3">
        <v>11600</v>
      </c>
      <c r="L21" s="3">
        <v>14500</v>
      </c>
      <c r="M21" s="3">
        <v>18.2</v>
      </c>
      <c r="N21" s="5">
        <f t="shared" si="0"/>
        <v>436.5</v>
      </c>
      <c r="O21" s="3">
        <v>289000</v>
      </c>
      <c r="P21" s="3">
        <v>11600</v>
      </c>
      <c r="Q21" s="3">
        <v>14500</v>
      </c>
      <c r="R21" s="5">
        <v>18.2</v>
      </c>
      <c r="T21" s="3">
        <v>476000</v>
      </c>
      <c r="U21" s="4"/>
      <c r="V21" s="5">
        <f t="shared" si="1"/>
        <v>436.5</v>
      </c>
      <c r="W21" s="8"/>
      <c r="X21" s="9" t="str">
        <f t="shared" si="2"/>
        <v>a</v>
      </c>
      <c r="Y21" s="9" t="str">
        <f t="shared" si="2"/>
        <v>a</v>
      </c>
      <c r="Z21" s="31">
        <f t="shared" si="3"/>
        <v>7625</v>
      </c>
      <c r="AA21" s="31">
        <f t="shared" si="4"/>
        <v>7625</v>
      </c>
    </row>
    <row r="22" spans="1:27" ht="13">
      <c r="A22" s="9">
        <v>20</v>
      </c>
      <c r="B22" s="3" t="s">
        <v>1375</v>
      </c>
      <c r="C22" s="3"/>
      <c r="D22" s="5">
        <v>8.31</v>
      </c>
      <c r="E22" s="3">
        <v>50</v>
      </c>
      <c r="F22" s="3">
        <v>50</v>
      </c>
      <c r="G22" s="5">
        <v>6.3</v>
      </c>
      <c r="H22" s="5">
        <v>6.3</v>
      </c>
      <c r="I22" s="3">
        <v>1060</v>
      </c>
      <c r="J22" s="3">
        <v>328000</v>
      </c>
      <c r="K22" s="3">
        <v>13100</v>
      </c>
      <c r="L22" s="3">
        <v>17000</v>
      </c>
      <c r="M22" s="3">
        <v>17.600000000000001</v>
      </c>
      <c r="N22" s="5">
        <f t="shared" si="0"/>
        <v>530</v>
      </c>
      <c r="O22" s="3">
        <v>328000</v>
      </c>
      <c r="P22" s="3">
        <v>13100</v>
      </c>
      <c r="Q22" s="3">
        <v>17000</v>
      </c>
      <c r="R22" s="5">
        <v>17.600000000000001</v>
      </c>
      <c r="T22" s="3">
        <v>552000</v>
      </c>
      <c r="U22" s="4"/>
      <c r="V22" s="5">
        <f t="shared" si="1"/>
        <v>530</v>
      </c>
      <c r="W22" s="8"/>
      <c r="X22" s="9" t="str">
        <f t="shared" si="2"/>
        <v>a</v>
      </c>
      <c r="Y22" s="9" t="str">
        <f t="shared" si="2"/>
        <v>a</v>
      </c>
      <c r="Z22" s="31">
        <f t="shared" si="3"/>
        <v>9085.7970000000005</v>
      </c>
      <c r="AA22" s="31">
        <f t="shared" si="4"/>
        <v>9085.7970000000005</v>
      </c>
    </row>
    <row r="23" spans="1:27" ht="13">
      <c r="A23" s="9">
        <v>21</v>
      </c>
      <c r="B23" s="3" t="s">
        <v>1376</v>
      </c>
      <c r="C23" s="3"/>
      <c r="D23" s="5">
        <v>9.14</v>
      </c>
      <c r="E23" s="3">
        <v>50</v>
      </c>
      <c r="F23" s="3">
        <v>50</v>
      </c>
      <c r="G23" s="5">
        <v>7.1</v>
      </c>
      <c r="H23" s="5">
        <v>7.1</v>
      </c>
      <c r="I23" s="3">
        <v>1160</v>
      </c>
      <c r="J23" s="3">
        <v>345000</v>
      </c>
      <c r="K23" s="3">
        <v>13800</v>
      </c>
      <c r="L23" s="3">
        <v>18300</v>
      </c>
      <c r="M23" s="3">
        <v>17.2</v>
      </c>
      <c r="N23" s="5">
        <f t="shared" si="0"/>
        <v>580</v>
      </c>
      <c r="O23" s="3">
        <v>345000</v>
      </c>
      <c r="P23" s="3">
        <v>13800</v>
      </c>
      <c r="Q23" s="3">
        <v>18300</v>
      </c>
      <c r="R23" s="5">
        <v>17.2</v>
      </c>
      <c r="T23" s="3">
        <v>589000</v>
      </c>
      <c r="U23" s="4"/>
      <c r="V23" s="5">
        <f t="shared" si="1"/>
        <v>580</v>
      </c>
      <c r="W23" s="8"/>
      <c r="X23" s="9" t="str">
        <f t="shared" ref="X23:Y42" si="5">IF(fy=460,"a0","a")</f>
        <v>a</v>
      </c>
      <c r="Y23" s="9" t="str">
        <f t="shared" si="5"/>
        <v>a</v>
      </c>
      <c r="Z23" s="31">
        <f t="shared" si="3"/>
        <v>9889.6610000000001</v>
      </c>
      <c r="AA23" s="31">
        <f t="shared" si="4"/>
        <v>9889.6610000000001</v>
      </c>
    </row>
    <row r="24" spans="1:27" ht="13">
      <c r="A24" s="9">
        <v>22</v>
      </c>
      <c r="B24" s="3" t="s">
        <v>1377</v>
      </c>
      <c r="C24" s="3"/>
      <c r="D24" s="5">
        <v>10</v>
      </c>
      <c r="E24" s="3">
        <v>50</v>
      </c>
      <c r="F24" s="3">
        <v>50</v>
      </c>
      <c r="G24" s="5">
        <v>8</v>
      </c>
      <c r="H24" s="5">
        <v>8</v>
      </c>
      <c r="I24" s="3">
        <v>1280</v>
      </c>
      <c r="J24" s="3">
        <v>360000</v>
      </c>
      <c r="K24" s="3">
        <v>14400</v>
      </c>
      <c r="L24" s="3">
        <v>19500</v>
      </c>
      <c r="M24" s="3">
        <v>16.8</v>
      </c>
      <c r="N24" s="5">
        <f t="shared" si="0"/>
        <v>640</v>
      </c>
      <c r="O24" s="3">
        <v>360000</v>
      </c>
      <c r="P24" s="3">
        <v>14400</v>
      </c>
      <c r="Q24" s="3">
        <v>19500</v>
      </c>
      <c r="R24" s="5">
        <v>16.8</v>
      </c>
      <c r="T24" s="3">
        <v>623000</v>
      </c>
      <c r="U24" s="4"/>
      <c r="V24" s="5">
        <f t="shared" si="1"/>
        <v>640</v>
      </c>
      <c r="W24" s="8"/>
      <c r="X24" s="9" t="str">
        <f t="shared" si="5"/>
        <v>a</v>
      </c>
      <c r="Y24" s="9" t="str">
        <f t="shared" si="5"/>
        <v>a</v>
      </c>
      <c r="Z24" s="31">
        <f t="shared" si="3"/>
        <v>10712</v>
      </c>
      <c r="AA24" s="31">
        <f t="shared" si="4"/>
        <v>10712</v>
      </c>
    </row>
    <row r="25" spans="1:27" ht="13">
      <c r="A25" s="9">
        <v>23</v>
      </c>
      <c r="B25" s="3" t="s">
        <v>1378</v>
      </c>
      <c r="C25" s="3"/>
      <c r="D25" s="5">
        <v>3.81</v>
      </c>
      <c r="E25" s="3">
        <v>60</v>
      </c>
      <c r="F25" s="3">
        <v>40</v>
      </c>
      <c r="G25" s="5">
        <v>2.6</v>
      </c>
      <c r="H25" s="5">
        <v>2.6</v>
      </c>
      <c r="I25" s="3">
        <v>486</v>
      </c>
      <c r="J25" s="3">
        <v>236000</v>
      </c>
      <c r="K25" s="3">
        <v>7860</v>
      </c>
      <c r="L25" s="3">
        <v>9650</v>
      </c>
      <c r="M25" s="3">
        <v>22</v>
      </c>
      <c r="N25" s="5">
        <f t="shared" si="0"/>
        <v>291.60000000000002</v>
      </c>
      <c r="O25" s="3">
        <v>124000</v>
      </c>
      <c r="P25" s="3">
        <v>6220</v>
      </c>
      <c r="Q25" s="3">
        <v>7260</v>
      </c>
      <c r="R25" s="5">
        <v>16</v>
      </c>
      <c r="T25" s="3">
        <v>259000</v>
      </c>
      <c r="U25" s="4"/>
      <c r="V25" s="5">
        <f t="shared" si="1"/>
        <v>194.4</v>
      </c>
      <c r="W25" s="8"/>
      <c r="X25" s="9" t="str">
        <f t="shared" si="5"/>
        <v>a</v>
      </c>
      <c r="Y25" s="9" t="str">
        <f t="shared" si="5"/>
        <v>a</v>
      </c>
      <c r="Z25" s="31">
        <f t="shared" si="3"/>
        <v>4936.7759999999998</v>
      </c>
      <c r="AA25" s="31">
        <f t="shared" si="4"/>
        <v>3704.3759999999997</v>
      </c>
    </row>
    <row r="26" spans="1:27" ht="13">
      <c r="A26" s="9">
        <v>24</v>
      </c>
      <c r="B26" s="3" t="s">
        <v>1379</v>
      </c>
      <c r="C26" s="3"/>
      <c r="D26" s="5">
        <v>4.3499999999999996</v>
      </c>
      <c r="E26" s="3">
        <v>60</v>
      </c>
      <c r="F26" s="3">
        <v>40</v>
      </c>
      <c r="G26" s="5">
        <v>3</v>
      </c>
      <c r="H26" s="5">
        <v>3</v>
      </c>
      <c r="I26" s="3">
        <v>554</v>
      </c>
      <c r="J26" s="3">
        <v>265000</v>
      </c>
      <c r="K26" s="3">
        <v>8820</v>
      </c>
      <c r="L26" s="3">
        <v>10900</v>
      </c>
      <c r="M26" s="3">
        <v>21.8</v>
      </c>
      <c r="N26" s="5">
        <f t="shared" si="0"/>
        <v>332.4</v>
      </c>
      <c r="O26" s="3">
        <v>139000</v>
      </c>
      <c r="P26" s="3">
        <v>6950</v>
      </c>
      <c r="Q26" s="3">
        <v>8190</v>
      </c>
      <c r="R26" s="5">
        <v>15.8</v>
      </c>
      <c r="T26" s="3">
        <v>292000</v>
      </c>
      <c r="U26" s="4"/>
      <c r="V26" s="5">
        <f t="shared" si="1"/>
        <v>221.6</v>
      </c>
      <c r="W26" s="8"/>
      <c r="X26" s="9" t="str">
        <f t="shared" si="5"/>
        <v>a</v>
      </c>
      <c r="Y26" s="9" t="str">
        <f t="shared" si="5"/>
        <v>a</v>
      </c>
      <c r="Z26" s="31">
        <f t="shared" si="3"/>
        <v>5607</v>
      </c>
      <c r="AA26" s="31">
        <f t="shared" si="4"/>
        <v>4197</v>
      </c>
    </row>
    <row r="27" spans="1:27" ht="13">
      <c r="A27" s="9">
        <v>25</v>
      </c>
      <c r="B27" s="3" t="s">
        <v>1380</v>
      </c>
      <c r="C27" s="3"/>
      <c r="D27" s="5">
        <v>4.62</v>
      </c>
      <c r="E27" s="3">
        <v>60</v>
      </c>
      <c r="F27" s="3">
        <v>40</v>
      </c>
      <c r="G27" s="5">
        <v>3.2</v>
      </c>
      <c r="H27" s="5">
        <v>3.2</v>
      </c>
      <c r="I27" s="3">
        <v>588</v>
      </c>
      <c r="J27" s="3">
        <v>278000</v>
      </c>
      <c r="K27" s="3">
        <v>9270</v>
      </c>
      <c r="L27" s="3">
        <v>11500</v>
      </c>
      <c r="M27" s="3">
        <v>21.8</v>
      </c>
      <c r="N27" s="5">
        <f t="shared" si="0"/>
        <v>352.8</v>
      </c>
      <c r="O27" s="3">
        <v>146000</v>
      </c>
      <c r="P27" s="3">
        <v>7290</v>
      </c>
      <c r="Q27" s="3">
        <v>8640</v>
      </c>
      <c r="R27" s="5">
        <v>15.7</v>
      </c>
      <c r="T27" s="3">
        <v>308000</v>
      </c>
      <c r="U27" s="4"/>
      <c r="V27" s="5">
        <f t="shared" si="1"/>
        <v>235.2</v>
      </c>
      <c r="W27" s="8"/>
      <c r="X27" s="9" t="str">
        <f t="shared" si="5"/>
        <v>a</v>
      </c>
      <c r="Y27" s="9" t="str">
        <f t="shared" si="5"/>
        <v>a</v>
      </c>
      <c r="Z27" s="31">
        <f t="shared" si="3"/>
        <v>5933.5679999999993</v>
      </c>
      <c r="AA27" s="31">
        <f t="shared" si="4"/>
        <v>4435.9679999999998</v>
      </c>
    </row>
    <row r="28" spans="1:27" ht="13">
      <c r="A28" s="9">
        <v>26</v>
      </c>
      <c r="B28" s="3" t="s">
        <v>1381</v>
      </c>
      <c r="C28" s="3"/>
      <c r="D28" s="5">
        <v>4.63</v>
      </c>
      <c r="E28" s="3">
        <v>60</v>
      </c>
      <c r="F28" s="3">
        <v>60</v>
      </c>
      <c r="G28" s="5">
        <v>2.6</v>
      </c>
      <c r="H28" s="5">
        <v>2.6</v>
      </c>
      <c r="I28" s="3">
        <v>590</v>
      </c>
      <c r="J28" s="3">
        <v>322000</v>
      </c>
      <c r="K28" s="3">
        <v>10700</v>
      </c>
      <c r="L28" s="3">
        <v>12600</v>
      </c>
      <c r="M28" s="3">
        <v>23.4</v>
      </c>
      <c r="N28" s="5">
        <f t="shared" si="0"/>
        <v>295</v>
      </c>
      <c r="O28" s="3">
        <v>322000</v>
      </c>
      <c r="P28" s="3">
        <v>10700</v>
      </c>
      <c r="Q28" s="3">
        <v>12600</v>
      </c>
      <c r="R28" s="5">
        <v>23.4</v>
      </c>
      <c r="T28" s="3">
        <v>502000</v>
      </c>
      <c r="U28" s="4"/>
      <c r="V28" s="5">
        <f t="shared" si="1"/>
        <v>295</v>
      </c>
      <c r="W28" s="8"/>
      <c r="X28" s="9" t="str">
        <f t="shared" si="5"/>
        <v>a</v>
      </c>
      <c r="Y28" s="9" t="str">
        <f t="shared" si="5"/>
        <v>a</v>
      </c>
      <c r="Z28" s="31">
        <f t="shared" si="3"/>
        <v>6429.1759999999995</v>
      </c>
      <c r="AA28" s="31">
        <f t="shared" si="4"/>
        <v>6429.1759999999995</v>
      </c>
    </row>
    <row r="29" spans="1:27" ht="13">
      <c r="A29" s="9">
        <v>27</v>
      </c>
      <c r="B29" s="3" t="s">
        <v>1382</v>
      </c>
      <c r="C29" s="3"/>
      <c r="D29" s="5">
        <v>5.14</v>
      </c>
      <c r="E29" s="3">
        <v>60</v>
      </c>
      <c r="F29" s="3">
        <v>40</v>
      </c>
      <c r="G29" s="5">
        <v>3.6</v>
      </c>
      <c r="H29" s="5">
        <v>3.6</v>
      </c>
      <c r="I29" s="3">
        <v>654</v>
      </c>
      <c r="J29" s="3">
        <v>304000</v>
      </c>
      <c r="K29" s="3">
        <v>10100</v>
      </c>
      <c r="L29" s="3">
        <v>12700</v>
      </c>
      <c r="M29" s="3">
        <v>21.6</v>
      </c>
      <c r="N29" s="5">
        <f t="shared" si="0"/>
        <v>392.4</v>
      </c>
      <c r="O29" s="3">
        <v>159000</v>
      </c>
      <c r="P29" s="3">
        <v>7930</v>
      </c>
      <c r="Q29" s="3">
        <v>9500</v>
      </c>
      <c r="R29" s="5">
        <v>15.6</v>
      </c>
      <c r="T29" s="3">
        <v>338000</v>
      </c>
      <c r="U29" s="4"/>
      <c r="V29" s="5">
        <f t="shared" si="1"/>
        <v>261.60000000000002</v>
      </c>
      <c r="W29" s="8"/>
      <c r="X29" s="9" t="str">
        <f t="shared" si="5"/>
        <v>a</v>
      </c>
      <c r="Y29" s="9" t="str">
        <f t="shared" si="5"/>
        <v>a</v>
      </c>
      <c r="Z29" s="31">
        <f t="shared" si="3"/>
        <v>6569.8559999999998</v>
      </c>
      <c r="AA29" s="31">
        <f t="shared" si="4"/>
        <v>4899.4560000000001</v>
      </c>
    </row>
    <row r="30" spans="1:27" ht="13">
      <c r="A30" s="9">
        <v>28</v>
      </c>
      <c r="B30" s="3" t="s">
        <v>1383</v>
      </c>
      <c r="C30" s="3"/>
      <c r="D30" s="5">
        <v>5.29</v>
      </c>
      <c r="E30" s="3">
        <v>60</v>
      </c>
      <c r="F30" s="3">
        <v>60</v>
      </c>
      <c r="G30" s="5">
        <v>3</v>
      </c>
      <c r="H30" s="5">
        <v>3</v>
      </c>
      <c r="I30" s="3">
        <v>674</v>
      </c>
      <c r="J30" s="3">
        <v>362000</v>
      </c>
      <c r="K30" s="3">
        <v>12100</v>
      </c>
      <c r="L30" s="3">
        <v>14300</v>
      </c>
      <c r="M30" s="3">
        <v>23.2</v>
      </c>
      <c r="N30" s="5">
        <f t="shared" si="0"/>
        <v>337</v>
      </c>
      <c r="O30" s="3">
        <v>362000</v>
      </c>
      <c r="P30" s="3">
        <v>12100</v>
      </c>
      <c r="Q30" s="3">
        <v>14300</v>
      </c>
      <c r="R30" s="5">
        <v>23.2</v>
      </c>
      <c r="T30" s="3">
        <v>569000</v>
      </c>
      <c r="U30" s="4"/>
      <c r="V30" s="5">
        <f t="shared" si="1"/>
        <v>337</v>
      </c>
      <c r="W30" s="8"/>
      <c r="X30" s="9" t="str">
        <f t="shared" si="5"/>
        <v>a</v>
      </c>
      <c r="Y30" s="9" t="str">
        <f t="shared" si="5"/>
        <v>a</v>
      </c>
      <c r="Z30" s="31">
        <f t="shared" si="3"/>
        <v>7317</v>
      </c>
      <c r="AA30" s="31">
        <f t="shared" si="4"/>
        <v>7317</v>
      </c>
    </row>
    <row r="31" spans="1:27" ht="13">
      <c r="A31" s="9">
        <v>29</v>
      </c>
      <c r="B31" s="3" t="s">
        <v>1384</v>
      </c>
      <c r="C31" s="3"/>
      <c r="D31" s="5">
        <v>5.62</v>
      </c>
      <c r="E31" s="3">
        <v>60</v>
      </c>
      <c r="F31" s="3">
        <v>60</v>
      </c>
      <c r="G31" s="5">
        <v>3.2</v>
      </c>
      <c r="H31" s="5">
        <v>3.2</v>
      </c>
      <c r="I31" s="3">
        <v>716</v>
      </c>
      <c r="J31" s="3">
        <v>382000</v>
      </c>
      <c r="K31" s="3">
        <v>12700</v>
      </c>
      <c r="L31" s="3">
        <v>15200</v>
      </c>
      <c r="M31" s="3">
        <v>23.1</v>
      </c>
      <c r="N31" s="5">
        <f t="shared" si="0"/>
        <v>358</v>
      </c>
      <c r="O31" s="3">
        <v>382000</v>
      </c>
      <c r="P31" s="3">
        <v>12700</v>
      </c>
      <c r="Q31" s="3">
        <v>15200</v>
      </c>
      <c r="R31" s="5">
        <v>23.1</v>
      </c>
      <c r="T31" s="3">
        <v>602000</v>
      </c>
      <c r="U31" s="4"/>
      <c r="V31" s="5">
        <f t="shared" si="1"/>
        <v>358</v>
      </c>
      <c r="W31" s="8"/>
      <c r="X31" s="9" t="str">
        <f t="shared" si="5"/>
        <v>a</v>
      </c>
      <c r="Y31" s="9" t="str">
        <f t="shared" si="5"/>
        <v>a</v>
      </c>
      <c r="Z31" s="31">
        <f t="shared" si="3"/>
        <v>7751.1679999999997</v>
      </c>
      <c r="AA31" s="31">
        <f t="shared" si="4"/>
        <v>7751.1679999999997</v>
      </c>
    </row>
    <row r="32" spans="1:27" ht="13">
      <c r="A32" s="9">
        <v>30</v>
      </c>
      <c r="B32" s="3" t="s">
        <v>1385</v>
      </c>
      <c r="C32" s="3"/>
      <c r="D32" s="5">
        <v>5.64</v>
      </c>
      <c r="E32" s="3">
        <v>60</v>
      </c>
      <c r="F32" s="3">
        <v>40</v>
      </c>
      <c r="G32" s="5">
        <v>4</v>
      </c>
      <c r="H32" s="5">
        <v>4</v>
      </c>
      <c r="I32" s="3">
        <v>719</v>
      </c>
      <c r="J32" s="3">
        <v>328000</v>
      </c>
      <c r="K32" s="3">
        <v>10900</v>
      </c>
      <c r="L32" s="3">
        <v>13800</v>
      </c>
      <c r="M32" s="3">
        <v>21.4</v>
      </c>
      <c r="N32" s="5">
        <f t="shared" si="0"/>
        <v>431.4</v>
      </c>
      <c r="O32" s="3">
        <v>170000</v>
      </c>
      <c r="P32" s="3">
        <v>8520</v>
      </c>
      <c r="Q32" s="3">
        <v>10300</v>
      </c>
      <c r="R32" s="5">
        <v>15.4</v>
      </c>
      <c r="T32" s="3">
        <v>367000</v>
      </c>
      <c r="U32" s="4"/>
      <c r="V32" s="5">
        <f t="shared" si="1"/>
        <v>287.60000000000002</v>
      </c>
      <c r="W32" s="8"/>
      <c r="X32" s="9" t="str">
        <f t="shared" si="5"/>
        <v>a</v>
      </c>
      <c r="Y32" s="9" t="str">
        <f t="shared" si="5"/>
        <v>a</v>
      </c>
      <c r="Z32" s="31">
        <f t="shared" si="3"/>
        <v>7184</v>
      </c>
      <c r="AA32" s="31">
        <f t="shared" si="4"/>
        <v>5344</v>
      </c>
    </row>
    <row r="33" spans="1:27" ht="13">
      <c r="A33" s="9">
        <v>31</v>
      </c>
      <c r="B33" s="3" t="s">
        <v>1386</v>
      </c>
      <c r="C33" s="3"/>
      <c r="D33" s="5">
        <v>6.27</v>
      </c>
      <c r="E33" s="3">
        <v>60</v>
      </c>
      <c r="F33" s="3">
        <v>60</v>
      </c>
      <c r="G33" s="5">
        <v>3.6</v>
      </c>
      <c r="H33" s="5">
        <v>3.6</v>
      </c>
      <c r="I33" s="3">
        <v>798</v>
      </c>
      <c r="J33" s="3">
        <v>419000</v>
      </c>
      <c r="K33" s="3">
        <v>14000</v>
      </c>
      <c r="L33" s="3">
        <v>16800</v>
      </c>
      <c r="M33" s="3">
        <v>22.9</v>
      </c>
      <c r="N33" s="5">
        <f t="shared" si="0"/>
        <v>399</v>
      </c>
      <c r="O33" s="3">
        <v>419000</v>
      </c>
      <c r="P33" s="3">
        <v>14000</v>
      </c>
      <c r="Q33" s="3">
        <v>16800</v>
      </c>
      <c r="R33" s="5">
        <v>22.9</v>
      </c>
      <c r="T33" s="3">
        <v>665000</v>
      </c>
      <c r="U33" s="4"/>
      <c r="V33" s="5">
        <f t="shared" si="1"/>
        <v>399</v>
      </c>
      <c r="W33" s="8"/>
      <c r="X33" s="9" t="str">
        <f t="shared" si="5"/>
        <v>a</v>
      </c>
      <c r="Y33" s="9" t="str">
        <f t="shared" si="5"/>
        <v>a</v>
      </c>
      <c r="Z33" s="31">
        <f t="shared" si="3"/>
        <v>8600.2559999999994</v>
      </c>
      <c r="AA33" s="31">
        <f t="shared" si="4"/>
        <v>8600.2559999999994</v>
      </c>
    </row>
    <row r="34" spans="1:27" ht="13">
      <c r="A34" s="9">
        <v>32</v>
      </c>
      <c r="B34" s="3" t="s">
        <v>1387</v>
      </c>
      <c r="C34" s="3"/>
      <c r="D34" s="5">
        <v>6.85</v>
      </c>
      <c r="E34" s="3">
        <v>60</v>
      </c>
      <c r="F34" s="3">
        <v>40</v>
      </c>
      <c r="G34" s="5">
        <v>5</v>
      </c>
      <c r="H34" s="5">
        <v>5</v>
      </c>
      <c r="I34" s="3">
        <v>873</v>
      </c>
      <c r="J34" s="3">
        <v>381000</v>
      </c>
      <c r="K34" s="3">
        <v>12700</v>
      </c>
      <c r="L34" s="3">
        <v>16400</v>
      </c>
      <c r="M34" s="3">
        <v>20.9</v>
      </c>
      <c r="N34" s="5">
        <f t="shared" si="0"/>
        <v>523.79999999999995</v>
      </c>
      <c r="O34" s="3">
        <v>195000</v>
      </c>
      <c r="P34" s="3">
        <v>9770</v>
      </c>
      <c r="Q34" s="3">
        <v>12200</v>
      </c>
      <c r="R34" s="5">
        <v>15</v>
      </c>
      <c r="T34" s="3">
        <v>430000</v>
      </c>
      <c r="U34" s="4"/>
      <c r="V34" s="5">
        <f t="shared" si="1"/>
        <v>349.2</v>
      </c>
      <c r="W34" s="8"/>
      <c r="X34" s="9" t="str">
        <f t="shared" si="5"/>
        <v>a</v>
      </c>
      <c r="Y34" s="9" t="str">
        <f t="shared" si="5"/>
        <v>a</v>
      </c>
      <c r="Z34" s="31">
        <f t="shared" si="3"/>
        <v>8625</v>
      </c>
      <c r="AA34" s="31">
        <f t="shared" si="4"/>
        <v>6375</v>
      </c>
    </row>
    <row r="35" spans="1:27" ht="13">
      <c r="A35" s="9">
        <v>33</v>
      </c>
      <c r="B35" s="3" t="s">
        <v>1388</v>
      </c>
      <c r="C35" s="3"/>
      <c r="D35" s="5">
        <v>6.85</v>
      </c>
      <c r="E35" s="3">
        <v>60</v>
      </c>
      <c r="F35" s="3">
        <v>40</v>
      </c>
      <c r="G35" s="5">
        <v>5</v>
      </c>
      <c r="H35" s="5">
        <v>5</v>
      </c>
      <c r="I35" s="3">
        <v>873</v>
      </c>
      <c r="J35" s="3">
        <v>381000</v>
      </c>
      <c r="K35" s="3">
        <v>12700</v>
      </c>
      <c r="L35" s="3">
        <v>16400</v>
      </c>
      <c r="M35" s="3">
        <v>20.9</v>
      </c>
      <c r="N35" s="5">
        <f t="shared" si="0"/>
        <v>523.79999999999995</v>
      </c>
      <c r="O35" s="3">
        <v>195000</v>
      </c>
      <c r="P35" s="3">
        <v>9770</v>
      </c>
      <c r="Q35" s="3">
        <v>12200</v>
      </c>
      <c r="R35" s="5">
        <v>15</v>
      </c>
      <c r="T35" s="3">
        <v>430000</v>
      </c>
      <c r="U35" s="4"/>
      <c r="V35" s="5">
        <f t="shared" si="1"/>
        <v>349.2</v>
      </c>
      <c r="W35" s="8"/>
      <c r="X35" s="9" t="str">
        <f t="shared" si="5"/>
        <v>a</v>
      </c>
      <c r="Y35" s="9" t="str">
        <f t="shared" si="5"/>
        <v>a</v>
      </c>
      <c r="Z35" s="31">
        <f t="shared" si="3"/>
        <v>8625</v>
      </c>
      <c r="AA35" s="31">
        <f t="shared" si="4"/>
        <v>6375</v>
      </c>
    </row>
    <row r="36" spans="1:27" ht="13">
      <c r="A36" s="9">
        <v>34</v>
      </c>
      <c r="B36" s="3" t="s">
        <v>1389</v>
      </c>
      <c r="C36" s="3"/>
      <c r="D36" s="5">
        <v>6.9</v>
      </c>
      <c r="E36" s="3">
        <v>60</v>
      </c>
      <c r="F36" s="3">
        <v>60</v>
      </c>
      <c r="G36" s="5">
        <v>4</v>
      </c>
      <c r="H36" s="5">
        <v>4</v>
      </c>
      <c r="I36" s="3">
        <v>879</v>
      </c>
      <c r="J36" s="3">
        <v>454000</v>
      </c>
      <c r="K36" s="3">
        <v>15100</v>
      </c>
      <c r="L36" s="3">
        <v>18300</v>
      </c>
      <c r="M36" s="3">
        <v>22.7</v>
      </c>
      <c r="N36" s="5">
        <f t="shared" si="0"/>
        <v>439.5</v>
      </c>
      <c r="O36" s="3">
        <v>454000</v>
      </c>
      <c r="P36" s="3">
        <v>15100</v>
      </c>
      <c r="Q36" s="3">
        <v>18300</v>
      </c>
      <c r="R36" s="5">
        <v>22.7</v>
      </c>
      <c r="T36" s="3">
        <v>725000</v>
      </c>
      <c r="U36" s="4"/>
      <c r="V36" s="5">
        <f t="shared" si="1"/>
        <v>439.5</v>
      </c>
      <c r="W36" s="8"/>
      <c r="X36" s="9" t="str">
        <f t="shared" si="5"/>
        <v>a</v>
      </c>
      <c r="Y36" s="9" t="str">
        <f t="shared" si="5"/>
        <v>a</v>
      </c>
      <c r="Z36" s="31">
        <f t="shared" si="3"/>
        <v>9424</v>
      </c>
      <c r="AA36" s="31">
        <f t="shared" si="4"/>
        <v>9424</v>
      </c>
    </row>
    <row r="37" spans="1:27" ht="13">
      <c r="A37" s="9">
        <v>35</v>
      </c>
      <c r="B37" s="3" t="s">
        <v>1390</v>
      </c>
      <c r="C37" s="3"/>
      <c r="D37" s="5">
        <v>8.31</v>
      </c>
      <c r="E37" s="3">
        <v>60</v>
      </c>
      <c r="F37" s="3">
        <v>40</v>
      </c>
      <c r="G37" s="5">
        <v>6.3</v>
      </c>
      <c r="H37" s="5">
        <v>6.3</v>
      </c>
      <c r="I37" s="3">
        <v>1060</v>
      </c>
      <c r="J37" s="3">
        <v>434000</v>
      </c>
      <c r="K37" s="3">
        <v>14500</v>
      </c>
      <c r="L37" s="3">
        <v>19200</v>
      </c>
      <c r="M37" s="3">
        <v>20.2</v>
      </c>
      <c r="N37" s="5">
        <f t="shared" si="0"/>
        <v>636</v>
      </c>
      <c r="O37" s="3">
        <v>219000</v>
      </c>
      <c r="P37" s="3">
        <v>11000</v>
      </c>
      <c r="Q37" s="3">
        <v>14200</v>
      </c>
      <c r="R37" s="5">
        <v>14.4</v>
      </c>
      <c r="T37" s="3">
        <v>495000</v>
      </c>
      <c r="U37" s="4"/>
      <c r="V37" s="5">
        <f t="shared" si="1"/>
        <v>424</v>
      </c>
      <c r="W37" s="8"/>
      <c r="X37" s="9" t="str">
        <f t="shared" si="5"/>
        <v>a</v>
      </c>
      <c r="Y37" s="9" t="str">
        <f t="shared" si="5"/>
        <v>a</v>
      </c>
      <c r="Z37" s="31">
        <f t="shared" si="3"/>
        <v>10304.847</v>
      </c>
      <c r="AA37" s="31">
        <f t="shared" si="4"/>
        <v>7551.7469999999994</v>
      </c>
    </row>
    <row r="38" spans="1:27" ht="13">
      <c r="A38" s="9">
        <v>36</v>
      </c>
      <c r="B38" s="3" t="s">
        <v>1391</v>
      </c>
      <c r="C38" s="3"/>
      <c r="D38" s="5">
        <v>8.42</v>
      </c>
      <c r="E38" s="3">
        <v>60</v>
      </c>
      <c r="F38" s="3">
        <v>60</v>
      </c>
      <c r="G38" s="5">
        <v>5</v>
      </c>
      <c r="H38" s="5">
        <v>5</v>
      </c>
      <c r="I38" s="3">
        <v>1070</v>
      </c>
      <c r="J38" s="3">
        <v>533000</v>
      </c>
      <c r="K38" s="3">
        <v>17800</v>
      </c>
      <c r="L38" s="3">
        <v>21900</v>
      </c>
      <c r="M38" s="3">
        <v>22.3</v>
      </c>
      <c r="N38" s="5">
        <f t="shared" si="0"/>
        <v>535</v>
      </c>
      <c r="O38" s="3">
        <v>533000</v>
      </c>
      <c r="P38" s="3">
        <v>17800</v>
      </c>
      <c r="Q38" s="3">
        <v>21900</v>
      </c>
      <c r="R38" s="5">
        <v>22.3</v>
      </c>
      <c r="T38" s="3">
        <v>864000</v>
      </c>
      <c r="U38" s="4"/>
      <c r="V38" s="5">
        <f t="shared" si="1"/>
        <v>535</v>
      </c>
      <c r="W38" s="8"/>
      <c r="X38" s="9" t="str">
        <f t="shared" si="5"/>
        <v>a</v>
      </c>
      <c r="Y38" s="9" t="str">
        <f t="shared" si="5"/>
        <v>a</v>
      </c>
      <c r="Z38" s="31">
        <f t="shared" si="3"/>
        <v>11375</v>
      </c>
      <c r="AA38" s="31">
        <f t="shared" si="4"/>
        <v>11375</v>
      </c>
    </row>
    <row r="39" spans="1:27" ht="13">
      <c r="A39" s="9">
        <v>37</v>
      </c>
      <c r="B39" s="3" t="s">
        <v>1392</v>
      </c>
      <c r="C39" s="3"/>
      <c r="D39" s="5">
        <v>10.3</v>
      </c>
      <c r="E39" s="3">
        <v>60</v>
      </c>
      <c r="F39" s="3">
        <v>60</v>
      </c>
      <c r="G39" s="5">
        <v>6.3</v>
      </c>
      <c r="H39" s="5">
        <v>6.3</v>
      </c>
      <c r="I39" s="3">
        <v>1310</v>
      </c>
      <c r="J39" s="3">
        <v>616000</v>
      </c>
      <c r="K39" s="3">
        <v>20500</v>
      </c>
      <c r="L39" s="3">
        <v>26000</v>
      </c>
      <c r="M39" s="3">
        <v>21.7</v>
      </c>
      <c r="N39" s="5">
        <f t="shared" si="0"/>
        <v>655</v>
      </c>
      <c r="O39" s="3">
        <v>616000</v>
      </c>
      <c r="P39" s="3">
        <v>20500</v>
      </c>
      <c r="Q39" s="3">
        <v>26000</v>
      </c>
      <c r="R39" s="5">
        <v>21.7</v>
      </c>
      <c r="T39" s="3">
        <v>1020000</v>
      </c>
      <c r="U39" s="4"/>
      <c r="V39" s="5">
        <f t="shared" si="1"/>
        <v>655</v>
      </c>
      <c r="W39" s="8"/>
      <c r="X39" s="9" t="str">
        <f t="shared" si="5"/>
        <v>a</v>
      </c>
      <c r="Y39" s="9" t="str">
        <f t="shared" si="5"/>
        <v>a</v>
      </c>
      <c r="Z39" s="31">
        <f t="shared" si="3"/>
        <v>13687.947</v>
      </c>
      <c r="AA39" s="31">
        <f t="shared" si="4"/>
        <v>13687.947</v>
      </c>
    </row>
    <row r="40" spans="1:27" ht="13">
      <c r="A40" s="9">
        <v>38</v>
      </c>
      <c r="B40" s="3" t="s">
        <v>1393</v>
      </c>
      <c r="C40" s="3"/>
      <c r="D40" s="5">
        <v>11.4</v>
      </c>
      <c r="E40" s="3">
        <v>60</v>
      </c>
      <c r="F40" s="3">
        <v>60</v>
      </c>
      <c r="G40" s="5">
        <v>7.1</v>
      </c>
      <c r="H40" s="5">
        <v>7.1</v>
      </c>
      <c r="I40" s="3">
        <v>1450</v>
      </c>
      <c r="J40" s="3">
        <v>658000</v>
      </c>
      <c r="K40" s="3">
        <v>21900</v>
      </c>
      <c r="L40" s="3">
        <v>28200</v>
      </c>
      <c r="M40" s="3">
        <v>21.3</v>
      </c>
      <c r="N40" s="5">
        <f t="shared" si="0"/>
        <v>725</v>
      </c>
      <c r="O40" s="3">
        <v>658000</v>
      </c>
      <c r="P40" s="3">
        <v>21900</v>
      </c>
      <c r="Q40" s="3">
        <v>28200</v>
      </c>
      <c r="R40" s="5">
        <v>21.3</v>
      </c>
      <c r="T40" s="3">
        <v>1100000</v>
      </c>
      <c r="U40" s="4"/>
      <c r="V40" s="5">
        <f t="shared" si="1"/>
        <v>725</v>
      </c>
      <c r="W40" s="8"/>
      <c r="X40" s="9" t="str">
        <f t="shared" si="5"/>
        <v>a</v>
      </c>
      <c r="Y40" s="9" t="str">
        <f t="shared" si="5"/>
        <v>a</v>
      </c>
      <c r="Z40" s="31">
        <f t="shared" si="3"/>
        <v>14991.010999999999</v>
      </c>
      <c r="AA40" s="31">
        <f t="shared" si="4"/>
        <v>14991.010999999999</v>
      </c>
    </row>
    <row r="41" spans="1:27" ht="13">
      <c r="A41" s="9">
        <v>39</v>
      </c>
      <c r="B41" s="3" t="s">
        <v>1394</v>
      </c>
      <c r="C41" s="3"/>
      <c r="D41" s="5">
        <v>12.5</v>
      </c>
      <c r="E41" s="3">
        <v>60</v>
      </c>
      <c r="F41" s="3">
        <v>60</v>
      </c>
      <c r="G41" s="5">
        <v>8</v>
      </c>
      <c r="H41" s="5">
        <v>8</v>
      </c>
      <c r="I41" s="3">
        <v>1600</v>
      </c>
      <c r="J41" s="3">
        <v>697000</v>
      </c>
      <c r="K41" s="3">
        <v>23200</v>
      </c>
      <c r="L41" s="3">
        <v>30400</v>
      </c>
      <c r="M41" s="3">
        <v>20.9</v>
      </c>
      <c r="N41" s="5">
        <f t="shared" si="0"/>
        <v>800</v>
      </c>
      <c r="O41" s="3">
        <v>697000</v>
      </c>
      <c r="P41" s="3">
        <v>23200</v>
      </c>
      <c r="Q41" s="3">
        <v>30400</v>
      </c>
      <c r="R41" s="5">
        <v>20.9</v>
      </c>
      <c r="T41" s="3">
        <v>1180000</v>
      </c>
      <c r="U41" s="4"/>
      <c r="V41" s="5">
        <f t="shared" si="1"/>
        <v>800</v>
      </c>
      <c r="W41" s="8"/>
      <c r="X41" s="9" t="str">
        <f t="shared" si="5"/>
        <v>a</v>
      </c>
      <c r="Y41" s="9" t="str">
        <f t="shared" si="5"/>
        <v>a</v>
      </c>
      <c r="Z41" s="31">
        <f t="shared" si="3"/>
        <v>16352</v>
      </c>
      <c r="AA41" s="31">
        <f t="shared" si="4"/>
        <v>16352</v>
      </c>
    </row>
    <row r="42" spans="1:27" ht="13">
      <c r="A42" s="9">
        <v>40</v>
      </c>
      <c r="B42" s="3" t="s">
        <v>1395</v>
      </c>
      <c r="C42" s="3"/>
      <c r="D42" s="5">
        <v>6.24</v>
      </c>
      <c r="E42" s="3">
        <v>70</v>
      </c>
      <c r="F42" s="3">
        <v>70</v>
      </c>
      <c r="G42" s="5">
        <v>3</v>
      </c>
      <c r="H42" s="5">
        <v>3</v>
      </c>
      <c r="I42" s="3">
        <v>794</v>
      </c>
      <c r="J42" s="3">
        <v>590000</v>
      </c>
      <c r="K42" s="3">
        <v>16900</v>
      </c>
      <c r="L42" s="3">
        <v>19900</v>
      </c>
      <c r="M42" s="3">
        <v>27.3</v>
      </c>
      <c r="N42" s="5">
        <f t="shared" si="0"/>
        <v>397</v>
      </c>
      <c r="O42" s="3">
        <v>590000</v>
      </c>
      <c r="P42" s="3">
        <v>16900</v>
      </c>
      <c r="Q42" s="3">
        <v>19900</v>
      </c>
      <c r="R42" s="5">
        <v>27.3</v>
      </c>
      <c r="T42" s="3">
        <v>922000</v>
      </c>
      <c r="U42" s="4"/>
      <c r="V42" s="5">
        <f t="shared" si="1"/>
        <v>397</v>
      </c>
      <c r="W42" s="8"/>
      <c r="X42" s="9" t="str">
        <f t="shared" si="5"/>
        <v>a</v>
      </c>
      <c r="Y42" s="9" t="str">
        <f t="shared" si="5"/>
        <v>a</v>
      </c>
      <c r="Z42" s="31">
        <f t="shared" si="3"/>
        <v>10107</v>
      </c>
      <c r="AA42" s="31">
        <f t="shared" si="4"/>
        <v>10107</v>
      </c>
    </row>
    <row r="43" spans="1:27" ht="13">
      <c r="A43" s="9">
        <v>41</v>
      </c>
      <c r="B43" s="3" t="s">
        <v>1396</v>
      </c>
      <c r="C43" s="3"/>
      <c r="D43" s="5">
        <v>6.63</v>
      </c>
      <c r="E43" s="3">
        <v>70</v>
      </c>
      <c r="F43" s="3">
        <v>70</v>
      </c>
      <c r="G43" s="5">
        <v>3.2</v>
      </c>
      <c r="H43" s="5">
        <v>3.2</v>
      </c>
      <c r="I43" s="3">
        <v>840</v>
      </c>
      <c r="J43" s="3">
        <v>623000</v>
      </c>
      <c r="K43" s="3">
        <v>17800</v>
      </c>
      <c r="L43" s="3">
        <v>21000</v>
      </c>
      <c r="M43" s="3">
        <v>27.2</v>
      </c>
      <c r="N43" s="5">
        <f t="shared" si="0"/>
        <v>420</v>
      </c>
      <c r="O43" s="3">
        <v>623000</v>
      </c>
      <c r="P43" s="3">
        <v>17800</v>
      </c>
      <c r="Q43" s="3">
        <v>21000</v>
      </c>
      <c r="R43" s="5">
        <v>27.2</v>
      </c>
      <c r="T43" s="3">
        <v>976000</v>
      </c>
      <c r="U43" s="4"/>
      <c r="V43" s="5">
        <f t="shared" si="1"/>
        <v>420</v>
      </c>
      <c r="W43" s="8"/>
      <c r="X43" s="9" t="str">
        <f t="shared" ref="X43:Y62" si="6">IF(fy=460,"a0","a")</f>
        <v>a</v>
      </c>
      <c r="Y43" s="9" t="str">
        <f t="shared" si="6"/>
        <v>a</v>
      </c>
      <c r="Z43" s="31">
        <f t="shared" si="3"/>
        <v>10717.567999999999</v>
      </c>
      <c r="AA43" s="31">
        <f t="shared" si="4"/>
        <v>10717.567999999999</v>
      </c>
    </row>
    <row r="44" spans="1:27" ht="13">
      <c r="A44" s="9">
        <v>42</v>
      </c>
      <c r="B44" s="3" t="s">
        <v>1397</v>
      </c>
      <c r="C44" s="3"/>
      <c r="D44" s="5">
        <v>7.4</v>
      </c>
      <c r="E44" s="3">
        <v>70</v>
      </c>
      <c r="F44" s="3">
        <v>70</v>
      </c>
      <c r="G44" s="5">
        <v>3.6</v>
      </c>
      <c r="H44" s="5">
        <v>3.6</v>
      </c>
      <c r="I44" s="3">
        <v>942</v>
      </c>
      <c r="J44" s="3">
        <v>686000</v>
      </c>
      <c r="K44" s="3">
        <v>19600</v>
      </c>
      <c r="L44" s="3">
        <v>23300</v>
      </c>
      <c r="M44" s="3">
        <v>27</v>
      </c>
      <c r="N44" s="5">
        <f t="shared" si="0"/>
        <v>471</v>
      </c>
      <c r="O44" s="3">
        <v>686000</v>
      </c>
      <c r="P44" s="3">
        <v>19600</v>
      </c>
      <c r="Q44" s="3">
        <v>23300</v>
      </c>
      <c r="R44" s="5">
        <v>27</v>
      </c>
      <c r="T44" s="3">
        <v>1080000</v>
      </c>
      <c r="U44" s="4"/>
      <c r="V44" s="5">
        <f t="shared" si="1"/>
        <v>471</v>
      </c>
      <c r="W44" s="8"/>
      <c r="X44" s="9" t="str">
        <f t="shared" si="6"/>
        <v>a</v>
      </c>
      <c r="Y44" s="9" t="str">
        <f t="shared" si="6"/>
        <v>a</v>
      </c>
      <c r="Z44" s="31">
        <f t="shared" si="3"/>
        <v>11915.856000000002</v>
      </c>
      <c r="AA44" s="31">
        <f t="shared" si="4"/>
        <v>11915.856000000002</v>
      </c>
    </row>
    <row r="45" spans="1:27" ht="13">
      <c r="A45" s="9">
        <v>43</v>
      </c>
      <c r="B45" s="3" t="s">
        <v>1398</v>
      </c>
      <c r="C45" s="3"/>
      <c r="D45" s="5">
        <v>8.15</v>
      </c>
      <c r="E45" s="3">
        <v>70</v>
      </c>
      <c r="F45" s="3">
        <v>70</v>
      </c>
      <c r="G45" s="5">
        <v>4</v>
      </c>
      <c r="H45" s="5">
        <v>4</v>
      </c>
      <c r="I45" s="3">
        <v>1040</v>
      </c>
      <c r="J45" s="3">
        <v>747000</v>
      </c>
      <c r="K45" s="3">
        <v>21300</v>
      </c>
      <c r="L45" s="3">
        <v>25500</v>
      </c>
      <c r="M45" s="3">
        <v>26.8</v>
      </c>
      <c r="N45" s="5">
        <f t="shared" si="0"/>
        <v>520</v>
      </c>
      <c r="O45" s="3">
        <v>747000</v>
      </c>
      <c r="P45" s="3">
        <v>21300</v>
      </c>
      <c r="Q45" s="3">
        <v>25500</v>
      </c>
      <c r="R45" s="5">
        <v>26.8</v>
      </c>
      <c r="T45" s="3">
        <v>1180000</v>
      </c>
      <c r="U45" s="4"/>
      <c r="V45" s="5">
        <f t="shared" si="1"/>
        <v>520</v>
      </c>
      <c r="W45" s="8"/>
      <c r="X45" s="9" t="str">
        <f t="shared" si="6"/>
        <v>a</v>
      </c>
      <c r="Y45" s="9" t="str">
        <f t="shared" si="6"/>
        <v>a</v>
      </c>
      <c r="Z45" s="31">
        <f t="shared" si="3"/>
        <v>13084</v>
      </c>
      <c r="AA45" s="31">
        <f t="shared" si="4"/>
        <v>13084</v>
      </c>
    </row>
    <row r="46" spans="1:27" ht="13">
      <c r="A46" s="9">
        <v>44</v>
      </c>
      <c r="B46" s="3" t="s">
        <v>1399</v>
      </c>
      <c r="C46" s="3"/>
      <c r="D46" s="5">
        <v>9.99</v>
      </c>
      <c r="E46" s="3">
        <v>70</v>
      </c>
      <c r="F46" s="3">
        <v>70</v>
      </c>
      <c r="G46" s="5">
        <v>5</v>
      </c>
      <c r="H46" s="5">
        <v>5</v>
      </c>
      <c r="I46" s="3">
        <v>1270</v>
      </c>
      <c r="J46" s="3">
        <v>885000</v>
      </c>
      <c r="K46" s="3">
        <v>25300</v>
      </c>
      <c r="L46" s="3">
        <v>30800</v>
      </c>
      <c r="M46" s="3">
        <v>26.4</v>
      </c>
      <c r="N46" s="5">
        <f t="shared" si="0"/>
        <v>635</v>
      </c>
      <c r="O46" s="3">
        <v>885000</v>
      </c>
      <c r="P46" s="3">
        <v>25300</v>
      </c>
      <c r="Q46" s="3">
        <v>30800</v>
      </c>
      <c r="R46" s="5">
        <v>26.4</v>
      </c>
      <c r="T46" s="3">
        <v>1420000</v>
      </c>
      <c r="U46" s="4"/>
      <c r="V46" s="5">
        <f t="shared" si="1"/>
        <v>635</v>
      </c>
      <c r="W46" s="8"/>
      <c r="X46" s="9" t="str">
        <f t="shared" si="6"/>
        <v>a</v>
      </c>
      <c r="Y46" s="9" t="str">
        <f t="shared" si="6"/>
        <v>a</v>
      </c>
      <c r="Z46" s="31">
        <f t="shared" si="3"/>
        <v>15875</v>
      </c>
      <c r="AA46" s="31">
        <f t="shared" si="4"/>
        <v>15875</v>
      </c>
    </row>
    <row r="47" spans="1:27" ht="13">
      <c r="A47" s="9">
        <v>45</v>
      </c>
      <c r="B47" s="3" t="s">
        <v>1400</v>
      </c>
      <c r="C47" s="3"/>
      <c r="D47" s="5">
        <v>12.3</v>
      </c>
      <c r="E47" s="3">
        <v>70</v>
      </c>
      <c r="F47" s="3">
        <v>70</v>
      </c>
      <c r="G47" s="5">
        <v>6.3</v>
      </c>
      <c r="H47" s="5">
        <v>6.3</v>
      </c>
      <c r="I47" s="3">
        <v>1560</v>
      </c>
      <c r="J47" s="3">
        <v>1040000</v>
      </c>
      <c r="K47" s="3">
        <v>29700</v>
      </c>
      <c r="L47" s="3">
        <v>36900</v>
      </c>
      <c r="M47" s="3">
        <v>25.8</v>
      </c>
      <c r="N47" s="5">
        <f t="shared" si="0"/>
        <v>780</v>
      </c>
      <c r="O47" s="3">
        <v>1040000</v>
      </c>
      <c r="P47" s="3">
        <v>29700</v>
      </c>
      <c r="Q47" s="3">
        <v>36900</v>
      </c>
      <c r="R47" s="5">
        <v>25.8</v>
      </c>
      <c r="T47" s="3">
        <v>1690000</v>
      </c>
      <c r="U47" s="4"/>
      <c r="V47" s="5">
        <f t="shared" si="1"/>
        <v>780</v>
      </c>
      <c r="W47" s="8"/>
      <c r="X47" s="9" t="str">
        <f t="shared" si="6"/>
        <v>a</v>
      </c>
      <c r="Y47" s="9" t="str">
        <f t="shared" si="6"/>
        <v>a</v>
      </c>
      <c r="Z47" s="31">
        <f t="shared" si="3"/>
        <v>19235.097000000002</v>
      </c>
      <c r="AA47" s="31">
        <f t="shared" si="4"/>
        <v>19235.097000000002</v>
      </c>
    </row>
    <row r="48" spans="1:27" ht="13">
      <c r="A48" s="9">
        <v>46</v>
      </c>
      <c r="B48" s="3" t="s">
        <v>1401</v>
      </c>
      <c r="C48" s="3"/>
      <c r="D48" s="5">
        <v>13.6</v>
      </c>
      <c r="E48" s="3">
        <v>70</v>
      </c>
      <c r="F48" s="3">
        <v>70</v>
      </c>
      <c r="G48" s="5">
        <v>7.1</v>
      </c>
      <c r="H48" s="5">
        <v>7.1</v>
      </c>
      <c r="I48" s="3">
        <v>1730</v>
      </c>
      <c r="J48" s="3">
        <v>1120000</v>
      </c>
      <c r="K48" s="3">
        <v>32000</v>
      </c>
      <c r="L48" s="3">
        <v>40300</v>
      </c>
      <c r="M48" s="3">
        <v>25.4</v>
      </c>
      <c r="N48" s="5">
        <f t="shared" si="0"/>
        <v>865</v>
      </c>
      <c r="O48" s="3">
        <v>1120000</v>
      </c>
      <c r="P48" s="3">
        <v>32000</v>
      </c>
      <c r="Q48" s="3">
        <v>40300</v>
      </c>
      <c r="R48" s="5">
        <v>25.4</v>
      </c>
      <c r="T48" s="3">
        <v>1850000</v>
      </c>
      <c r="U48" s="4"/>
      <c r="V48" s="5">
        <f t="shared" si="1"/>
        <v>865</v>
      </c>
      <c r="W48" s="8"/>
      <c r="X48" s="9" t="str">
        <f t="shared" si="6"/>
        <v>a</v>
      </c>
      <c r="Y48" s="9" t="str">
        <f t="shared" si="6"/>
        <v>a</v>
      </c>
      <c r="Z48" s="31">
        <f t="shared" si="3"/>
        <v>21157.360999999997</v>
      </c>
      <c r="AA48" s="31">
        <f t="shared" si="4"/>
        <v>21157.360999999997</v>
      </c>
    </row>
    <row r="49" spans="1:27" ht="13">
      <c r="A49" s="9">
        <v>47</v>
      </c>
      <c r="B49" s="3" t="s">
        <v>1402</v>
      </c>
      <c r="C49" s="3"/>
      <c r="D49" s="5">
        <v>15</v>
      </c>
      <c r="E49" s="3">
        <v>70</v>
      </c>
      <c r="F49" s="3">
        <v>70</v>
      </c>
      <c r="G49" s="5">
        <v>8</v>
      </c>
      <c r="H49" s="5">
        <v>8</v>
      </c>
      <c r="I49" s="3">
        <v>1920</v>
      </c>
      <c r="J49" s="3">
        <v>1200000</v>
      </c>
      <c r="K49" s="3">
        <v>34200</v>
      </c>
      <c r="L49" s="3">
        <v>43800</v>
      </c>
      <c r="M49" s="3">
        <v>25</v>
      </c>
      <c r="N49" s="5">
        <f t="shared" si="0"/>
        <v>960</v>
      </c>
      <c r="O49" s="3">
        <v>1200000</v>
      </c>
      <c r="P49" s="3">
        <v>34200</v>
      </c>
      <c r="Q49" s="3">
        <v>43800</v>
      </c>
      <c r="R49" s="5">
        <v>25</v>
      </c>
      <c r="T49" s="3">
        <v>2000000</v>
      </c>
      <c r="U49" s="4"/>
      <c r="V49" s="5">
        <f t="shared" si="1"/>
        <v>960</v>
      </c>
      <c r="W49" s="8"/>
      <c r="X49" s="9" t="str">
        <f t="shared" si="6"/>
        <v>a</v>
      </c>
      <c r="Y49" s="9" t="str">
        <f t="shared" si="6"/>
        <v>a</v>
      </c>
      <c r="Z49" s="31">
        <f t="shared" si="3"/>
        <v>23192</v>
      </c>
      <c r="AA49" s="31">
        <f t="shared" si="4"/>
        <v>23192</v>
      </c>
    </row>
    <row r="50" spans="1:27" ht="13">
      <c r="A50" s="9">
        <v>48</v>
      </c>
      <c r="B50" s="3" t="s">
        <v>1403</v>
      </c>
      <c r="C50" s="3"/>
      <c r="D50" s="5">
        <v>16.3</v>
      </c>
      <c r="E50" s="3">
        <v>70</v>
      </c>
      <c r="F50" s="3">
        <v>70</v>
      </c>
      <c r="G50" s="5">
        <v>8.8000000000000007</v>
      </c>
      <c r="H50" s="5">
        <v>8.8000000000000007</v>
      </c>
      <c r="I50" s="3">
        <v>2070</v>
      </c>
      <c r="J50" s="3">
        <v>1260000</v>
      </c>
      <c r="K50" s="3">
        <v>35900</v>
      </c>
      <c r="L50" s="3">
        <v>46600</v>
      </c>
      <c r="M50" s="3">
        <v>24.6</v>
      </c>
      <c r="N50" s="5">
        <f t="shared" si="0"/>
        <v>1035</v>
      </c>
      <c r="O50" s="3">
        <v>1260000</v>
      </c>
      <c r="P50" s="3">
        <v>35900</v>
      </c>
      <c r="Q50" s="3">
        <v>46600</v>
      </c>
      <c r="R50" s="5">
        <v>24.6</v>
      </c>
      <c r="T50" s="3">
        <v>2120000</v>
      </c>
      <c r="U50" s="4"/>
      <c r="V50" s="5">
        <f t="shared" si="1"/>
        <v>1035</v>
      </c>
      <c r="W50" s="8"/>
      <c r="X50" s="9" t="str">
        <f t="shared" si="6"/>
        <v>a</v>
      </c>
      <c r="Y50" s="9" t="str">
        <f t="shared" si="6"/>
        <v>a</v>
      </c>
      <c r="Z50" s="31">
        <f t="shared" si="3"/>
        <v>24890.272000000001</v>
      </c>
      <c r="AA50" s="31">
        <f t="shared" si="4"/>
        <v>24890.272000000001</v>
      </c>
    </row>
    <row r="51" spans="1:27" ht="13">
      <c r="A51" s="9">
        <v>49</v>
      </c>
      <c r="B51" s="3" t="s">
        <v>1404</v>
      </c>
      <c r="C51" s="3"/>
      <c r="D51" s="5">
        <v>5.29</v>
      </c>
      <c r="E51" s="3">
        <v>80</v>
      </c>
      <c r="F51" s="3">
        <v>40</v>
      </c>
      <c r="G51" s="5">
        <v>3</v>
      </c>
      <c r="H51" s="5">
        <v>3</v>
      </c>
      <c r="I51" s="3">
        <v>674</v>
      </c>
      <c r="J51" s="3">
        <v>542000</v>
      </c>
      <c r="K51" s="3">
        <v>13600</v>
      </c>
      <c r="L51" s="3">
        <v>17100</v>
      </c>
      <c r="M51" s="3">
        <v>28.4</v>
      </c>
      <c r="N51" s="5">
        <f t="shared" si="0"/>
        <v>449.33333333333331</v>
      </c>
      <c r="O51" s="3">
        <v>180000</v>
      </c>
      <c r="P51" s="3">
        <v>9000</v>
      </c>
      <c r="Q51" s="3">
        <v>10400</v>
      </c>
      <c r="R51" s="5">
        <v>16.3</v>
      </c>
      <c r="T51" s="3">
        <v>438000</v>
      </c>
      <c r="U51" s="4"/>
      <c r="V51" s="5">
        <f t="shared" si="1"/>
        <v>224.66666666666666</v>
      </c>
      <c r="W51" s="8"/>
      <c r="X51" s="9" t="str">
        <f t="shared" si="6"/>
        <v>a</v>
      </c>
      <c r="Y51" s="9" t="str">
        <f t="shared" si="6"/>
        <v>a</v>
      </c>
      <c r="Z51" s="31">
        <f t="shared" si="3"/>
        <v>8727</v>
      </c>
      <c r="AA51" s="31">
        <f t="shared" si="4"/>
        <v>5307</v>
      </c>
    </row>
    <row r="52" spans="1:27" ht="13">
      <c r="A52" s="9">
        <v>50</v>
      </c>
      <c r="B52" s="3" t="s">
        <v>1405</v>
      </c>
      <c r="C52" s="3"/>
      <c r="D52" s="5">
        <v>5.62</v>
      </c>
      <c r="E52" s="3">
        <v>80</v>
      </c>
      <c r="F52" s="3">
        <v>40</v>
      </c>
      <c r="G52" s="5">
        <v>3.2</v>
      </c>
      <c r="H52" s="5">
        <v>3.2</v>
      </c>
      <c r="I52" s="3">
        <v>716</v>
      </c>
      <c r="J52" s="3">
        <v>572000</v>
      </c>
      <c r="K52" s="3">
        <v>14300</v>
      </c>
      <c r="L52" s="3">
        <v>18000</v>
      </c>
      <c r="M52" s="3">
        <v>28.3</v>
      </c>
      <c r="N52" s="5">
        <f t="shared" si="0"/>
        <v>477.33333333333331</v>
      </c>
      <c r="O52" s="3">
        <v>189000</v>
      </c>
      <c r="P52" s="3">
        <v>9500</v>
      </c>
      <c r="Q52" s="3">
        <v>11000</v>
      </c>
      <c r="R52" s="5">
        <v>16.3</v>
      </c>
      <c r="T52" s="3">
        <v>462000</v>
      </c>
      <c r="U52" s="4"/>
      <c r="V52" s="5">
        <f t="shared" si="1"/>
        <v>238.66666666666666</v>
      </c>
      <c r="W52" s="8"/>
      <c r="X52" s="9" t="str">
        <f t="shared" si="6"/>
        <v>a</v>
      </c>
      <c r="Y52" s="9" t="str">
        <f t="shared" si="6"/>
        <v>a</v>
      </c>
      <c r="Z52" s="31">
        <f t="shared" si="3"/>
        <v>9248.768</v>
      </c>
      <c r="AA52" s="31">
        <f t="shared" si="4"/>
        <v>5613.5679999999993</v>
      </c>
    </row>
    <row r="53" spans="1:27" ht="13">
      <c r="A53" s="9">
        <v>51</v>
      </c>
      <c r="B53" s="3" t="s">
        <v>1406</v>
      </c>
      <c r="C53" s="3"/>
      <c r="D53" s="5">
        <v>6.27</v>
      </c>
      <c r="E53" s="3">
        <v>80</v>
      </c>
      <c r="F53" s="3">
        <v>40</v>
      </c>
      <c r="G53" s="5">
        <v>3.6</v>
      </c>
      <c r="H53" s="5">
        <v>3.6</v>
      </c>
      <c r="I53" s="3">
        <v>798</v>
      </c>
      <c r="J53" s="3">
        <v>628000</v>
      </c>
      <c r="K53" s="3">
        <v>15700</v>
      </c>
      <c r="L53" s="3">
        <v>20000</v>
      </c>
      <c r="M53" s="3">
        <v>28.1</v>
      </c>
      <c r="N53" s="5">
        <f t="shared" si="0"/>
        <v>532</v>
      </c>
      <c r="O53" s="3">
        <v>206000</v>
      </c>
      <c r="P53" s="3">
        <v>10300</v>
      </c>
      <c r="Q53" s="3">
        <v>12100</v>
      </c>
      <c r="R53" s="5">
        <v>16.100000000000001</v>
      </c>
      <c r="T53" s="3">
        <v>508000</v>
      </c>
      <c r="U53" s="4"/>
      <c r="V53" s="5">
        <f t="shared" si="1"/>
        <v>266</v>
      </c>
      <c r="W53" s="8"/>
      <c r="X53" s="9" t="str">
        <f t="shared" si="6"/>
        <v>a</v>
      </c>
      <c r="Y53" s="9" t="str">
        <f t="shared" si="6"/>
        <v>a</v>
      </c>
      <c r="Z53" s="31">
        <f t="shared" si="3"/>
        <v>10270.655999999999</v>
      </c>
      <c r="AA53" s="31">
        <f t="shared" si="4"/>
        <v>6209.8559999999998</v>
      </c>
    </row>
    <row r="54" spans="1:27" ht="13">
      <c r="A54" s="9">
        <v>52</v>
      </c>
      <c r="B54" s="3" t="s">
        <v>1407</v>
      </c>
      <c r="C54" s="3"/>
      <c r="D54" s="5">
        <v>6.9</v>
      </c>
      <c r="E54" s="3">
        <v>80</v>
      </c>
      <c r="F54" s="3">
        <v>40</v>
      </c>
      <c r="G54" s="5">
        <v>4</v>
      </c>
      <c r="H54" s="5">
        <v>4</v>
      </c>
      <c r="I54" s="3">
        <v>879</v>
      </c>
      <c r="J54" s="3">
        <v>682000</v>
      </c>
      <c r="K54" s="3">
        <v>17100</v>
      </c>
      <c r="L54" s="3">
        <v>21800</v>
      </c>
      <c r="M54" s="3">
        <v>27.9</v>
      </c>
      <c r="N54" s="5">
        <f t="shared" si="0"/>
        <v>586</v>
      </c>
      <c r="O54" s="3">
        <v>222000</v>
      </c>
      <c r="P54" s="3">
        <v>11100</v>
      </c>
      <c r="Q54" s="3">
        <v>13200</v>
      </c>
      <c r="R54" s="5">
        <v>15.9</v>
      </c>
      <c r="T54" s="3">
        <v>552000</v>
      </c>
      <c r="U54" s="4"/>
      <c r="V54" s="5">
        <f t="shared" si="1"/>
        <v>293</v>
      </c>
      <c r="W54" s="8"/>
      <c r="X54" s="9" t="str">
        <f t="shared" si="6"/>
        <v>a</v>
      </c>
      <c r="Y54" s="9" t="str">
        <f t="shared" si="6"/>
        <v>a</v>
      </c>
      <c r="Z54" s="31">
        <f t="shared" si="3"/>
        <v>11264</v>
      </c>
      <c r="AA54" s="31">
        <f t="shared" si="4"/>
        <v>6784</v>
      </c>
    </row>
    <row r="55" spans="1:27" ht="13">
      <c r="A55" s="9">
        <v>53</v>
      </c>
      <c r="B55" s="3" t="s">
        <v>1408</v>
      </c>
      <c r="C55" s="3"/>
      <c r="D55" s="5">
        <v>7.18</v>
      </c>
      <c r="E55" s="3">
        <v>80</v>
      </c>
      <c r="F55" s="3">
        <v>80</v>
      </c>
      <c r="G55" s="5">
        <v>3</v>
      </c>
      <c r="H55" s="5">
        <v>3</v>
      </c>
      <c r="I55" s="3">
        <v>914</v>
      </c>
      <c r="J55" s="3">
        <v>898000</v>
      </c>
      <c r="K55" s="3">
        <v>22500</v>
      </c>
      <c r="L55" s="3">
        <v>26300</v>
      </c>
      <c r="M55" s="3">
        <v>31.3</v>
      </c>
      <c r="N55" s="5">
        <f t="shared" si="0"/>
        <v>457</v>
      </c>
      <c r="O55" s="3">
        <v>898000</v>
      </c>
      <c r="P55" s="3">
        <v>22500</v>
      </c>
      <c r="Q55" s="3">
        <v>26300</v>
      </c>
      <c r="R55" s="5">
        <v>31.3</v>
      </c>
      <c r="T55" s="3">
        <v>1400000</v>
      </c>
      <c r="U55" s="4"/>
      <c r="V55" s="5">
        <f t="shared" si="1"/>
        <v>457</v>
      </c>
      <c r="W55" s="8"/>
      <c r="X55" s="9" t="str">
        <f t="shared" si="6"/>
        <v>a</v>
      </c>
      <c r="Y55" s="9" t="str">
        <f t="shared" si="6"/>
        <v>a</v>
      </c>
      <c r="Z55" s="31">
        <f t="shared" si="3"/>
        <v>13347</v>
      </c>
      <c r="AA55" s="31">
        <f t="shared" si="4"/>
        <v>13347</v>
      </c>
    </row>
    <row r="56" spans="1:27" ht="13">
      <c r="A56" s="9">
        <v>54</v>
      </c>
      <c r="B56" s="3" t="s">
        <v>1409</v>
      </c>
      <c r="C56" s="3"/>
      <c r="D56" s="5">
        <v>7.63</v>
      </c>
      <c r="E56" s="3">
        <v>80</v>
      </c>
      <c r="F56" s="3">
        <v>80</v>
      </c>
      <c r="G56" s="5">
        <v>3.2</v>
      </c>
      <c r="H56" s="5">
        <v>3.2</v>
      </c>
      <c r="I56" s="3">
        <v>972</v>
      </c>
      <c r="J56" s="3">
        <v>950000</v>
      </c>
      <c r="K56" s="3">
        <v>23700</v>
      </c>
      <c r="L56" s="3">
        <v>27900</v>
      </c>
      <c r="M56" s="3">
        <v>31.3</v>
      </c>
      <c r="N56" s="5">
        <f t="shared" si="0"/>
        <v>486</v>
      </c>
      <c r="O56" s="3">
        <v>950000</v>
      </c>
      <c r="P56" s="3">
        <v>23700</v>
      </c>
      <c r="Q56" s="3">
        <v>27900</v>
      </c>
      <c r="R56" s="5">
        <v>31.3</v>
      </c>
      <c r="T56" s="3">
        <v>1480000</v>
      </c>
      <c r="U56" s="4"/>
      <c r="V56" s="5">
        <f t="shared" si="1"/>
        <v>486</v>
      </c>
      <c r="W56" s="8"/>
      <c r="X56" s="9" t="str">
        <f t="shared" si="6"/>
        <v>a</v>
      </c>
      <c r="Y56" s="9" t="str">
        <f t="shared" si="6"/>
        <v>a</v>
      </c>
      <c r="Z56" s="31">
        <f t="shared" si="3"/>
        <v>14163.967999999999</v>
      </c>
      <c r="AA56" s="31">
        <f t="shared" si="4"/>
        <v>14163.967999999999</v>
      </c>
    </row>
    <row r="57" spans="1:27" ht="13">
      <c r="A57" s="9">
        <v>55</v>
      </c>
      <c r="B57" s="3" t="s">
        <v>1410</v>
      </c>
      <c r="C57" s="3"/>
      <c r="D57" s="5">
        <v>8.42</v>
      </c>
      <c r="E57" s="3">
        <v>80</v>
      </c>
      <c r="F57" s="3">
        <v>40</v>
      </c>
      <c r="G57" s="5">
        <v>5</v>
      </c>
      <c r="H57" s="5">
        <v>5</v>
      </c>
      <c r="I57" s="3">
        <v>1070</v>
      </c>
      <c r="J57" s="3">
        <v>803000</v>
      </c>
      <c r="K57" s="3">
        <v>20100</v>
      </c>
      <c r="L57" s="3">
        <v>26100</v>
      </c>
      <c r="M57" s="3">
        <v>27.4</v>
      </c>
      <c r="N57" s="5">
        <f t="shared" si="0"/>
        <v>713.33333333333337</v>
      </c>
      <c r="O57" s="3">
        <v>257000</v>
      </c>
      <c r="P57" s="3">
        <v>12900</v>
      </c>
      <c r="Q57" s="3">
        <v>15700</v>
      </c>
      <c r="R57" s="5">
        <v>15.5</v>
      </c>
      <c r="T57" s="3">
        <v>651000</v>
      </c>
      <c r="U57" s="4"/>
      <c r="V57" s="5">
        <f t="shared" si="1"/>
        <v>356.66666666666669</v>
      </c>
      <c r="W57" s="8"/>
      <c r="X57" s="9" t="str">
        <f t="shared" si="6"/>
        <v>a</v>
      </c>
      <c r="Y57" s="9" t="str">
        <f t="shared" si="6"/>
        <v>a</v>
      </c>
      <c r="Z57" s="31">
        <f t="shared" si="3"/>
        <v>13625</v>
      </c>
      <c r="AA57" s="31">
        <f t="shared" si="4"/>
        <v>8125</v>
      </c>
    </row>
    <row r="58" spans="1:27" ht="13">
      <c r="A58" s="9">
        <v>56</v>
      </c>
      <c r="B58" s="3" t="s">
        <v>1411</v>
      </c>
      <c r="C58" s="3"/>
      <c r="D58" s="5">
        <v>8.5299999999999994</v>
      </c>
      <c r="E58" s="3">
        <v>80</v>
      </c>
      <c r="F58" s="3">
        <v>80</v>
      </c>
      <c r="G58" s="5">
        <v>3.6</v>
      </c>
      <c r="H58" s="5">
        <v>3.6</v>
      </c>
      <c r="I58" s="3">
        <v>1090</v>
      </c>
      <c r="J58" s="3">
        <v>1050000</v>
      </c>
      <c r="K58" s="3">
        <v>26200</v>
      </c>
      <c r="L58" s="3">
        <v>31000</v>
      </c>
      <c r="M58" s="3">
        <v>31.1</v>
      </c>
      <c r="N58" s="5">
        <f t="shared" si="0"/>
        <v>545</v>
      </c>
      <c r="O58" s="3">
        <v>1050000</v>
      </c>
      <c r="P58" s="3">
        <v>26200</v>
      </c>
      <c r="Q58" s="3">
        <v>31000</v>
      </c>
      <c r="R58" s="5">
        <v>31.1</v>
      </c>
      <c r="T58" s="3">
        <v>1640000</v>
      </c>
      <c r="U58" s="4"/>
      <c r="V58" s="5">
        <f t="shared" si="1"/>
        <v>545</v>
      </c>
      <c r="W58" s="8"/>
      <c r="X58" s="9" t="str">
        <f t="shared" si="6"/>
        <v>a</v>
      </c>
      <c r="Y58" s="9" t="str">
        <f t="shared" si="6"/>
        <v>a</v>
      </c>
      <c r="Z58" s="31">
        <f t="shared" si="3"/>
        <v>15771.456</v>
      </c>
      <c r="AA58" s="31">
        <f t="shared" si="4"/>
        <v>15771.456</v>
      </c>
    </row>
    <row r="59" spans="1:27" ht="13">
      <c r="A59" s="9">
        <v>57</v>
      </c>
      <c r="B59" s="3" t="s">
        <v>1412</v>
      </c>
      <c r="C59" s="3"/>
      <c r="D59" s="5">
        <v>9.41</v>
      </c>
      <c r="E59" s="3">
        <v>80</v>
      </c>
      <c r="F59" s="3">
        <v>80</v>
      </c>
      <c r="G59" s="5">
        <v>4</v>
      </c>
      <c r="H59" s="5">
        <v>4</v>
      </c>
      <c r="I59" s="3">
        <v>1200</v>
      </c>
      <c r="J59" s="3">
        <v>1140000</v>
      </c>
      <c r="K59" s="3">
        <v>28600</v>
      </c>
      <c r="L59" s="3">
        <v>34000</v>
      </c>
      <c r="M59" s="3">
        <v>30.9</v>
      </c>
      <c r="N59" s="5">
        <f t="shared" si="0"/>
        <v>600</v>
      </c>
      <c r="O59" s="3">
        <v>1140000</v>
      </c>
      <c r="P59" s="3">
        <v>28600</v>
      </c>
      <c r="Q59" s="3">
        <v>34000</v>
      </c>
      <c r="R59" s="5">
        <v>30.9</v>
      </c>
      <c r="T59" s="3">
        <v>1800000</v>
      </c>
      <c r="U59" s="4"/>
      <c r="V59" s="5">
        <f t="shared" si="1"/>
        <v>600</v>
      </c>
      <c r="W59" s="8"/>
      <c r="X59" s="9" t="str">
        <f t="shared" si="6"/>
        <v>a</v>
      </c>
      <c r="Y59" s="9" t="str">
        <f t="shared" si="6"/>
        <v>a</v>
      </c>
      <c r="Z59" s="31">
        <f t="shared" si="3"/>
        <v>17344</v>
      </c>
      <c r="AA59" s="31">
        <f t="shared" si="4"/>
        <v>17344</v>
      </c>
    </row>
    <row r="60" spans="1:27" ht="13">
      <c r="A60" s="9">
        <v>58</v>
      </c>
      <c r="B60" s="3" t="s">
        <v>1413</v>
      </c>
      <c r="C60" s="3"/>
      <c r="D60" s="5">
        <v>10.3</v>
      </c>
      <c r="E60" s="3">
        <v>80</v>
      </c>
      <c r="F60" s="3">
        <v>40</v>
      </c>
      <c r="G60" s="5">
        <v>6.3</v>
      </c>
      <c r="H60" s="5">
        <v>6.3</v>
      </c>
      <c r="I60" s="3">
        <v>1310</v>
      </c>
      <c r="J60" s="3">
        <v>933000</v>
      </c>
      <c r="K60" s="3">
        <v>23300</v>
      </c>
      <c r="L60" s="3">
        <v>31100</v>
      </c>
      <c r="M60" s="3">
        <v>26.7</v>
      </c>
      <c r="N60" s="5">
        <f t="shared" si="0"/>
        <v>873.33333333333337</v>
      </c>
      <c r="O60" s="3">
        <v>292000</v>
      </c>
      <c r="P60" s="3">
        <v>14600</v>
      </c>
      <c r="Q60" s="3">
        <v>18400</v>
      </c>
      <c r="R60" s="5">
        <v>14.9</v>
      </c>
      <c r="T60" s="3">
        <v>756000</v>
      </c>
      <c r="U60" s="4"/>
      <c r="V60" s="5">
        <f t="shared" si="1"/>
        <v>436.66666666666669</v>
      </c>
      <c r="W60" s="8"/>
      <c r="X60" s="9" t="str">
        <f t="shared" si="6"/>
        <v>a</v>
      </c>
      <c r="Y60" s="9" t="str">
        <f t="shared" si="6"/>
        <v>a</v>
      </c>
      <c r="Z60" s="31">
        <f t="shared" si="3"/>
        <v>16441.047000000002</v>
      </c>
      <c r="AA60" s="31">
        <f t="shared" si="4"/>
        <v>9674.8470000000016</v>
      </c>
    </row>
    <row r="61" spans="1:27" ht="13">
      <c r="A61" s="9">
        <v>59</v>
      </c>
      <c r="B61" s="3" t="s">
        <v>1414</v>
      </c>
      <c r="C61" s="3"/>
      <c r="D61" s="5">
        <v>11.4</v>
      </c>
      <c r="E61" s="3">
        <v>80</v>
      </c>
      <c r="F61" s="3">
        <v>40</v>
      </c>
      <c r="G61" s="5">
        <v>7.1</v>
      </c>
      <c r="H61" s="5">
        <v>7.1</v>
      </c>
      <c r="I61" s="3">
        <v>1450</v>
      </c>
      <c r="J61" s="3">
        <v>998000</v>
      </c>
      <c r="K61" s="3">
        <v>25000</v>
      </c>
      <c r="L61" s="3">
        <v>33800</v>
      </c>
      <c r="M61" s="3">
        <v>26.3</v>
      </c>
      <c r="N61" s="5">
        <f t="shared" si="0"/>
        <v>966.66666666666663</v>
      </c>
      <c r="O61" s="3">
        <v>307000</v>
      </c>
      <c r="P61" s="3">
        <v>15400</v>
      </c>
      <c r="Q61" s="3">
        <v>19800</v>
      </c>
      <c r="R61" s="5">
        <v>14.6</v>
      </c>
      <c r="T61" s="3">
        <v>809000</v>
      </c>
      <c r="U61" s="4"/>
      <c r="V61" s="5">
        <f t="shared" si="1"/>
        <v>483.33333333333331</v>
      </c>
      <c r="W61" s="8"/>
      <c r="X61" s="9" t="str">
        <f t="shared" si="6"/>
        <v>a</v>
      </c>
      <c r="Y61" s="9" t="str">
        <f t="shared" si="6"/>
        <v>a</v>
      </c>
      <c r="Z61" s="31">
        <f t="shared" si="3"/>
        <v>18036.911</v>
      </c>
      <c r="AA61" s="31">
        <f t="shared" si="4"/>
        <v>10525.111000000001</v>
      </c>
    </row>
    <row r="62" spans="1:27" ht="13">
      <c r="A62" s="9">
        <v>60</v>
      </c>
      <c r="B62" s="3" t="s">
        <v>1415</v>
      </c>
      <c r="C62" s="3"/>
      <c r="D62" s="5">
        <v>11.6</v>
      </c>
      <c r="E62" s="3">
        <v>80</v>
      </c>
      <c r="F62" s="3">
        <v>80</v>
      </c>
      <c r="G62" s="5">
        <v>5</v>
      </c>
      <c r="H62" s="5">
        <v>5</v>
      </c>
      <c r="I62" s="3">
        <v>1470</v>
      </c>
      <c r="J62" s="3">
        <v>1370000</v>
      </c>
      <c r="K62" s="3">
        <v>34200</v>
      </c>
      <c r="L62" s="3">
        <v>41100</v>
      </c>
      <c r="M62" s="3">
        <v>30.5</v>
      </c>
      <c r="N62" s="5">
        <f t="shared" si="0"/>
        <v>735</v>
      </c>
      <c r="O62" s="3">
        <v>1370000</v>
      </c>
      <c r="P62" s="3">
        <v>34200</v>
      </c>
      <c r="Q62" s="3">
        <v>41100</v>
      </c>
      <c r="R62" s="5">
        <v>30.5</v>
      </c>
      <c r="T62" s="3">
        <v>2170000</v>
      </c>
      <c r="U62" s="4"/>
      <c r="V62" s="5">
        <f t="shared" si="1"/>
        <v>735</v>
      </c>
      <c r="W62" s="8"/>
      <c r="X62" s="9" t="str">
        <f t="shared" si="6"/>
        <v>a</v>
      </c>
      <c r="Y62" s="9" t="str">
        <f t="shared" si="6"/>
        <v>a</v>
      </c>
      <c r="Z62" s="31">
        <f t="shared" si="3"/>
        <v>21125</v>
      </c>
      <c r="AA62" s="31">
        <f t="shared" si="4"/>
        <v>21125</v>
      </c>
    </row>
    <row r="63" spans="1:27" ht="13">
      <c r="A63" s="9">
        <v>61</v>
      </c>
      <c r="B63" s="3" t="s">
        <v>1416</v>
      </c>
      <c r="C63" s="3"/>
      <c r="D63" s="5">
        <v>12.5</v>
      </c>
      <c r="E63" s="3">
        <v>80</v>
      </c>
      <c r="F63" s="3">
        <v>40</v>
      </c>
      <c r="G63" s="5">
        <v>8</v>
      </c>
      <c r="H63" s="5">
        <v>8</v>
      </c>
      <c r="I63" s="3">
        <v>1600</v>
      </c>
      <c r="J63" s="3">
        <v>1060000</v>
      </c>
      <c r="K63" s="3">
        <v>26500</v>
      </c>
      <c r="L63" s="3">
        <v>36500</v>
      </c>
      <c r="M63" s="3">
        <v>25.8</v>
      </c>
      <c r="N63" s="5">
        <f t="shared" si="0"/>
        <v>1066.6666666666667</v>
      </c>
      <c r="O63" s="3">
        <v>321000</v>
      </c>
      <c r="P63" s="3">
        <v>16100</v>
      </c>
      <c r="Q63" s="3">
        <v>21200</v>
      </c>
      <c r="R63" s="5">
        <v>14.2</v>
      </c>
      <c r="T63" s="3">
        <v>858000</v>
      </c>
      <c r="U63" s="4"/>
      <c r="V63" s="5">
        <f t="shared" si="1"/>
        <v>533.33333333333337</v>
      </c>
      <c r="W63" s="8"/>
      <c r="X63" s="9" t="str">
        <f t="shared" ref="X63:Y82" si="7">IF(fy=460,"a0","a")</f>
        <v>a</v>
      </c>
      <c r="Y63" s="9" t="str">
        <f t="shared" si="7"/>
        <v>a</v>
      </c>
      <c r="Z63" s="31">
        <f t="shared" si="3"/>
        <v>19712</v>
      </c>
      <c r="AA63" s="31">
        <f t="shared" si="4"/>
        <v>11392</v>
      </c>
    </row>
    <row r="64" spans="1:27" ht="13">
      <c r="A64" s="9">
        <v>62</v>
      </c>
      <c r="B64" s="3" t="s">
        <v>1417</v>
      </c>
      <c r="C64" s="3"/>
      <c r="D64" s="5">
        <v>14.2</v>
      </c>
      <c r="E64" s="3">
        <v>80</v>
      </c>
      <c r="F64" s="3">
        <v>80</v>
      </c>
      <c r="G64" s="5">
        <v>6.3</v>
      </c>
      <c r="H64" s="5">
        <v>6.3</v>
      </c>
      <c r="I64" s="3">
        <v>1810</v>
      </c>
      <c r="J64" s="3">
        <v>1620000</v>
      </c>
      <c r="K64" s="3">
        <v>40500</v>
      </c>
      <c r="L64" s="3">
        <v>49700</v>
      </c>
      <c r="M64" s="3">
        <v>29.9</v>
      </c>
      <c r="N64" s="5">
        <f t="shared" si="0"/>
        <v>905</v>
      </c>
      <c r="O64" s="3">
        <v>1620000</v>
      </c>
      <c r="P64" s="3">
        <v>40500</v>
      </c>
      <c r="Q64" s="3">
        <v>49700</v>
      </c>
      <c r="R64" s="5">
        <v>29.9</v>
      </c>
      <c r="T64" s="3">
        <v>2620000</v>
      </c>
      <c r="U64" s="4"/>
      <c r="V64" s="5">
        <f t="shared" si="1"/>
        <v>905</v>
      </c>
      <c r="W64" s="8"/>
      <c r="X64" s="9" t="str">
        <f t="shared" si="7"/>
        <v>a</v>
      </c>
      <c r="Y64" s="9" t="str">
        <f t="shared" si="7"/>
        <v>a</v>
      </c>
      <c r="Z64" s="31">
        <f t="shared" si="3"/>
        <v>25727.247000000003</v>
      </c>
      <c r="AA64" s="31">
        <f t="shared" si="4"/>
        <v>25727.247000000003</v>
      </c>
    </row>
    <row r="65" spans="1:27" ht="13">
      <c r="A65" s="9">
        <v>63</v>
      </c>
      <c r="B65" s="3" t="s">
        <v>1418</v>
      </c>
      <c r="C65" s="3"/>
      <c r="D65" s="5">
        <v>15.8</v>
      </c>
      <c r="E65" s="3">
        <v>80</v>
      </c>
      <c r="F65" s="3">
        <v>80</v>
      </c>
      <c r="G65" s="5">
        <v>7.1</v>
      </c>
      <c r="H65" s="5">
        <v>7.1</v>
      </c>
      <c r="I65" s="3">
        <v>2020</v>
      </c>
      <c r="J65" s="3">
        <v>1760000</v>
      </c>
      <c r="K65" s="3">
        <v>43900</v>
      </c>
      <c r="L65" s="3">
        <v>54500</v>
      </c>
      <c r="M65" s="3">
        <v>29.5</v>
      </c>
      <c r="N65" s="5">
        <f t="shared" si="0"/>
        <v>1010</v>
      </c>
      <c r="O65" s="3">
        <v>1760000</v>
      </c>
      <c r="P65" s="3">
        <v>43900</v>
      </c>
      <c r="Q65" s="3">
        <v>54500</v>
      </c>
      <c r="R65" s="5">
        <v>29.5</v>
      </c>
      <c r="T65" s="3">
        <v>2860000</v>
      </c>
      <c r="U65" s="4"/>
      <c r="V65" s="5">
        <f t="shared" si="1"/>
        <v>1010</v>
      </c>
      <c r="W65" s="8"/>
      <c r="X65" s="9" t="str">
        <f t="shared" si="7"/>
        <v>a</v>
      </c>
      <c r="Y65" s="9" t="str">
        <f t="shared" si="7"/>
        <v>a</v>
      </c>
      <c r="Z65" s="31">
        <f t="shared" si="3"/>
        <v>28388.711000000003</v>
      </c>
      <c r="AA65" s="31">
        <f t="shared" si="4"/>
        <v>28388.711000000003</v>
      </c>
    </row>
    <row r="66" spans="1:27" ht="13">
      <c r="A66" s="9">
        <v>64</v>
      </c>
      <c r="B66" s="3" t="s">
        <v>1419</v>
      </c>
      <c r="C66" s="3"/>
      <c r="D66" s="5">
        <v>17.5</v>
      </c>
      <c r="E66" s="3">
        <v>80</v>
      </c>
      <c r="F66" s="3">
        <v>80</v>
      </c>
      <c r="G66" s="5">
        <v>8</v>
      </c>
      <c r="H66" s="5">
        <v>8</v>
      </c>
      <c r="I66" s="3">
        <v>2240</v>
      </c>
      <c r="J66" s="3">
        <v>1890000</v>
      </c>
      <c r="K66" s="3">
        <v>47300</v>
      </c>
      <c r="L66" s="3">
        <v>59500</v>
      </c>
      <c r="M66" s="3">
        <v>29.1</v>
      </c>
      <c r="N66" s="5">
        <f t="shared" si="0"/>
        <v>1120</v>
      </c>
      <c r="O66" s="3">
        <v>1890000</v>
      </c>
      <c r="P66" s="3">
        <v>47300</v>
      </c>
      <c r="Q66" s="3">
        <v>59500</v>
      </c>
      <c r="R66" s="5">
        <v>29.1</v>
      </c>
      <c r="T66" s="3">
        <v>3120000</v>
      </c>
      <c r="U66" s="4"/>
      <c r="V66" s="5">
        <f t="shared" si="1"/>
        <v>1120</v>
      </c>
      <c r="W66" s="8"/>
      <c r="X66" s="9" t="str">
        <f t="shared" si="7"/>
        <v>a</v>
      </c>
      <c r="Y66" s="9" t="str">
        <f t="shared" si="7"/>
        <v>a</v>
      </c>
      <c r="Z66" s="31">
        <f t="shared" si="3"/>
        <v>31232</v>
      </c>
      <c r="AA66" s="31">
        <f t="shared" si="4"/>
        <v>31232</v>
      </c>
    </row>
    <row r="67" spans="1:27" ht="13">
      <c r="A67" s="9">
        <v>65</v>
      </c>
      <c r="B67" s="3" t="s">
        <v>1420</v>
      </c>
      <c r="C67" s="3"/>
      <c r="D67" s="5">
        <v>19</v>
      </c>
      <c r="E67" s="3">
        <v>80</v>
      </c>
      <c r="F67" s="3">
        <v>80</v>
      </c>
      <c r="G67" s="5">
        <v>8.8000000000000007</v>
      </c>
      <c r="H67" s="5">
        <v>8.8000000000000007</v>
      </c>
      <c r="I67" s="3">
        <v>2420</v>
      </c>
      <c r="J67" s="3">
        <v>2000000</v>
      </c>
      <c r="K67" s="3">
        <v>50000</v>
      </c>
      <c r="L67" s="3">
        <v>63700</v>
      </c>
      <c r="M67" s="3">
        <v>28.7</v>
      </c>
      <c r="N67" s="5">
        <f t="shared" ref="N67:N130" si="8">I67*E67/(F67+E67)</f>
        <v>1210</v>
      </c>
      <c r="O67" s="3">
        <v>2000000</v>
      </c>
      <c r="P67" s="3">
        <v>50000</v>
      </c>
      <c r="Q67" s="3">
        <v>63700</v>
      </c>
      <c r="R67" s="5">
        <v>28.7</v>
      </c>
      <c r="T67" s="3">
        <v>3320000</v>
      </c>
      <c r="U67" s="4"/>
      <c r="V67" s="5">
        <f t="shared" ref="V67:V130" si="9">I67*F67/(E67+F67)</f>
        <v>1210</v>
      </c>
      <c r="W67" s="8"/>
      <c r="X67" s="9" t="str">
        <f t="shared" si="7"/>
        <v>a</v>
      </c>
      <c r="Y67" s="9" t="str">
        <f t="shared" si="7"/>
        <v>a</v>
      </c>
      <c r="Z67" s="31">
        <f t="shared" ref="Z67:Z130" si="10">(H67*(0.5*E67-G67)^2)+(F67*G67)*(0.5*E67-0.5*G67)</f>
        <v>33628.672000000006</v>
      </c>
      <c r="AA67" s="31">
        <f t="shared" ref="AA67:AA130" si="11">(H67*(0.5*F67-G67)^2)+(E67*G67)*(0.5*F67-0.5*G67)</f>
        <v>33628.672000000006</v>
      </c>
    </row>
    <row r="68" spans="1:27" ht="13">
      <c r="A68" s="9">
        <v>66</v>
      </c>
      <c r="B68" s="3" t="s">
        <v>1421</v>
      </c>
      <c r="C68" s="3"/>
      <c r="D68" s="5">
        <v>21.1</v>
      </c>
      <c r="E68" s="3">
        <v>80</v>
      </c>
      <c r="F68" s="3">
        <v>80</v>
      </c>
      <c r="G68" s="5">
        <v>10</v>
      </c>
      <c r="H68" s="5">
        <v>10</v>
      </c>
      <c r="I68" s="3">
        <v>2690</v>
      </c>
      <c r="J68" s="3">
        <v>2140000</v>
      </c>
      <c r="K68" s="3">
        <v>53500</v>
      </c>
      <c r="L68" s="3">
        <v>69300</v>
      </c>
      <c r="M68" s="3">
        <v>28.2</v>
      </c>
      <c r="N68" s="5">
        <f t="shared" si="8"/>
        <v>1345</v>
      </c>
      <c r="O68" s="3">
        <v>2140000</v>
      </c>
      <c r="P68" s="3">
        <v>53500</v>
      </c>
      <c r="Q68" s="3">
        <v>69300</v>
      </c>
      <c r="R68" s="5">
        <v>28.2</v>
      </c>
      <c r="T68" s="3">
        <v>3600000</v>
      </c>
      <c r="U68" s="4"/>
      <c r="V68" s="5">
        <f t="shared" si="9"/>
        <v>1345</v>
      </c>
      <c r="W68" s="8"/>
      <c r="X68" s="9" t="str">
        <f t="shared" si="7"/>
        <v>a</v>
      </c>
      <c r="Y68" s="9" t="str">
        <f t="shared" si="7"/>
        <v>a</v>
      </c>
      <c r="Z68" s="31">
        <f t="shared" si="10"/>
        <v>37000</v>
      </c>
      <c r="AA68" s="31">
        <f t="shared" si="11"/>
        <v>37000</v>
      </c>
    </row>
    <row r="69" spans="1:27" ht="13">
      <c r="A69" s="9">
        <v>67</v>
      </c>
      <c r="B69" s="3" t="s">
        <v>1422</v>
      </c>
      <c r="C69" s="3"/>
      <c r="D69" s="5">
        <v>25.2</v>
      </c>
      <c r="E69" s="3">
        <v>80</v>
      </c>
      <c r="F69" s="3">
        <v>80</v>
      </c>
      <c r="G69" s="5">
        <v>12.5</v>
      </c>
      <c r="H69" s="5">
        <v>12.5</v>
      </c>
      <c r="I69" s="3">
        <v>3210</v>
      </c>
      <c r="J69" s="3">
        <v>2340000</v>
      </c>
      <c r="K69" s="3">
        <v>58600</v>
      </c>
      <c r="L69" s="3">
        <v>78900</v>
      </c>
      <c r="M69" s="3">
        <v>27</v>
      </c>
      <c r="N69" s="5">
        <f t="shared" si="8"/>
        <v>1605</v>
      </c>
      <c r="O69" s="3">
        <v>2340000</v>
      </c>
      <c r="P69" s="3">
        <v>58600</v>
      </c>
      <c r="Q69" s="3">
        <v>78900</v>
      </c>
      <c r="R69" s="5">
        <v>27</v>
      </c>
      <c r="T69" s="3">
        <v>4040000</v>
      </c>
      <c r="U69" s="4"/>
      <c r="V69" s="5">
        <f t="shared" si="9"/>
        <v>1605</v>
      </c>
      <c r="W69" s="8"/>
      <c r="X69" s="9" t="str">
        <f t="shared" si="7"/>
        <v>a</v>
      </c>
      <c r="Y69" s="9" t="str">
        <f t="shared" si="7"/>
        <v>a</v>
      </c>
      <c r="Z69" s="31">
        <f t="shared" si="10"/>
        <v>43203.125</v>
      </c>
      <c r="AA69" s="31">
        <f t="shared" si="11"/>
        <v>43203.125</v>
      </c>
    </row>
    <row r="70" spans="1:27" ht="13">
      <c r="A70" s="9">
        <v>68</v>
      </c>
      <c r="B70" s="3" t="s">
        <v>1423</v>
      </c>
      <c r="C70" s="3"/>
      <c r="D70" s="5">
        <v>6.24</v>
      </c>
      <c r="E70" s="3">
        <v>90</v>
      </c>
      <c r="F70" s="3">
        <v>50</v>
      </c>
      <c r="G70" s="5">
        <v>3</v>
      </c>
      <c r="H70" s="5">
        <v>3</v>
      </c>
      <c r="I70" s="3">
        <v>794</v>
      </c>
      <c r="J70" s="3">
        <v>844000</v>
      </c>
      <c r="K70" s="3">
        <v>18800</v>
      </c>
      <c r="L70" s="3">
        <v>23200</v>
      </c>
      <c r="M70" s="3">
        <v>32.6</v>
      </c>
      <c r="N70" s="5">
        <f t="shared" si="8"/>
        <v>510.42857142857144</v>
      </c>
      <c r="O70" s="3">
        <v>335000</v>
      </c>
      <c r="P70" s="3">
        <v>13400</v>
      </c>
      <c r="Q70" s="3">
        <v>15300</v>
      </c>
      <c r="R70" s="5">
        <v>20.5</v>
      </c>
      <c r="T70" s="3">
        <v>765000</v>
      </c>
      <c r="U70" s="4"/>
      <c r="V70" s="5">
        <f t="shared" si="9"/>
        <v>283.57142857142856</v>
      </c>
      <c r="W70" s="8"/>
      <c r="X70" s="9" t="str">
        <f t="shared" si="7"/>
        <v>a</v>
      </c>
      <c r="Y70" s="9" t="str">
        <f t="shared" si="7"/>
        <v>a</v>
      </c>
      <c r="Z70" s="31">
        <f t="shared" si="10"/>
        <v>11817</v>
      </c>
      <c r="AA70" s="31">
        <f t="shared" si="11"/>
        <v>7797</v>
      </c>
    </row>
    <row r="71" spans="1:27" ht="13">
      <c r="A71" s="9">
        <v>69</v>
      </c>
      <c r="B71" s="3" t="s">
        <v>1424</v>
      </c>
      <c r="C71" s="3"/>
      <c r="D71" s="5">
        <v>6.63</v>
      </c>
      <c r="E71" s="3">
        <v>90</v>
      </c>
      <c r="F71" s="3">
        <v>50</v>
      </c>
      <c r="G71" s="5">
        <v>3.2</v>
      </c>
      <c r="H71" s="5">
        <v>3.2</v>
      </c>
      <c r="I71" s="3">
        <v>844</v>
      </c>
      <c r="J71" s="3">
        <v>891000</v>
      </c>
      <c r="K71" s="3">
        <v>19800</v>
      </c>
      <c r="L71" s="3">
        <v>24600</v>
      </c>
      <c r="M71" s="3">
        <v>32.5</v>
      </c>
      <c r="N71" s="5">
        <f t="shared" si="8"/>
        <v>542.57142857142856</v>
      </c>
      <c r="O71" s="3">
        <v>353000</v>
      </c>
      <c r="P71" s="3">
        <v>14100</v>
      </c>
      <c r="Q71" s="3">
        <v>16200</v>
      </c>
      <c r="R71" s="5">
        <v>20.399999999999999</v>
      </c>
      <c r="T71" s="3">
        <v>809000</v>
      </c>
      <c r="U71" s="4"/>
      <c r="V71" s="5">
        <f t="shared" si="9"/>
        <v>301.42857142857144</v>
      </c>
      <c r="W71" s="8"/>
      <c r="X71" s="9" t="str">
        <f t="shared" si="7"/>
        <v>a</v>
      </c>
      <c r="Y71" s="9" t="str">
        <f t="shared" si="7"/>
        <v>a</v>
      </c>
      <c r="Z71" s="31">
        <f t="shared" si="10"/>
        <v>12535.168</v>
      </c>
      <c r="AA71" s="31">
        <f t="shared" si="11"/>
        <v>8259.9680000000008</v>
      </c>
    </row>
    <row r="72" spans="1:27" ht="13">
      <c r="A72" s="9">
        <v>70</v>
      </c>
      <c r="B72" s="3" t="s">
        <v>1425</v>
      </c>
      <c r="C72" s="3"/>
      <c r="D72" s="5">
        <v>7.4</v>
      </c>
      <c r="E72" s="3">
        <v>90</v>
      </c>
      <c r="F72" s="3">
        <v>50</v>
      </c>
      <c r="G72" s="5">
        <v>3.6</v>
      </c>
      <c r="H72" s="5">
        <v>3.6</v>
      </c>
      <c r="I72" s="3">
        <v>942</v>
      </c>
      <c r="J72" s="3">
        <v>983000</v>
      </c>
      <c r="K72" s="3">
        <v>21800</v>
      </c>
      <c r="L72" s="3">
        <v>27200</v>
      </c>
      <c r="M72" s="3">
        <v>32.299999999999997</v>
      </c>
      <c r="N72" s="5">
        <f t="shared" si="8"/>
        <v>605.57142857142856</v>
      </c>
      <c r="O72" s="3">
        <v>387000</v>
      </c>
      <c r="P72" s="3">
        <v>15500</v>
      </c>
      <c r="Q72" s="3">
        <v>18000</v>
      </c>
      <c r="R72" s="5">
        <v>20.3</v>
      </c>
      <c r="T72" s="3">
        <v>894000</v>
      </c>
      <c r="U72" s="4"/>
      <c r="V72" s="5">
        <f t="shared" si="9"/>
        <v>336.42857142857144</v>
      </c>
      <c r="W72" s="8"/>
      <c r="X72" s="9" t="str">
        <f t="shared" si="7"/>
        <v>a</v>
      </c>
      <c r="Y72" s="9" t="str">
        <f t="shared" si="7"/>
        <v>a</v>
      </c>
      <c r="Z72" s="31">
        <f t="shared" si="10"/>
        <v>13946.256000000001</v>
      </c>
      <c r="AA72" s="31">
        <f t="shared" si="11"/>
        <v>9165.4560000000001</v>
      </c>
    </row>
    <row r="73" spans="1:27" ht="13">
      <c r="A73" s="9">
        <v>71</v>
      </c>
      <c r="B73" s="3" t="s">
        <v>1426</v>
      </c>
      <c r="C73" s="3"/>
      <c r="D73" s="5">
        <v>8.15</v>
      </c>
      <c r="E73" s="3">
        <v>90</v>
      </c>
      <c r="F73" s="3">
        <v>50</v>
      </c>
      <c r="G73" s="5">
        <v>4</v>
      </c>
      <c r="H73" s="5">
        <v>4</v>
      </c>
      <c r="I73" s="3">
        <v>1040</v>
      </c>
      <c r="J73" s="3">
        <v>1070000</v>
      </c>
      <c r="K73" s="3">
        <v>23800</v>
      </c>
      <c r="L73" s="3">
        <v>29800</v>
      </c>
      <c r="M73" s="3">
        <v>32.1</v>
      </c>
      <c r="N73" s="5">
        <f t="shared" si="8"/>
        <v>668.57142857142856</v>
      </c>
      <c r="O73" s="3">
        <v>419000</v>
      </c>
      <c r="P73" s="3">
        <v>16800</v>
      </c>
      <c r="Q73" s="3">
        <v>19600</v>
      </c>
      <c r="R73" s="5">
        <v>20.100000000000001</v>
      </c>
      <c r="T73" s="3">
        <v>975000</v>
      </c>
      <c r="U73" s="4"/>
      <c r="V73" s="5">
        <f t="shared" si="9"/>
        <v>371.42857142857144</v>
      </c>
      <c r="W73" s="8"/>
      <c r="X73" s="9" t="str">
        <f t="shared" si="7"/>
        <v>a</v>
      </c>
      <c r="Y73" s="9" t="str">
        <f t="shared" si="7"/>
        <v>a</v>
      </c>
      <c r="Z73" s="31">
        <f t="shared" si="10"/>
        <v>15324</v>
      </c>
      <c r="AA73" s="31">
        <f t="shared" si="11"/>
        <v>10044</v>
      </c>
    </row>
    <row r="74" spans="1:27" ht="13">
      <c r="A74" s="9">
        <v>72</v>
      </c>
      <c r="B74" s="3" t="s">
        <v>1427</v>
      </c>
      <c r="C74" s="3"/>
      <c r="D74" s="5">
        <v>9.66</v>
      </c>
      <c r="E74" s="3">
        <v>90</v>
      </c>
      <c r="F74" s="3">
        <v>90</v>
      </c>
      <c r="G74" s="5">
        <v>3.6</v>
      </c>
      <c r="H74" s="5">
        <v>3.6</v>
      </c>
      <c r="I74" s="3">
        <v>1230</v>
      </c>
      <c r="J74" s="3">
        <v>1520000</v>
      </c>
      <c r="K74" s="3">
        <v>33800</v>
      </c>
      <c r="L74" s="3">
        <v>39700</v>
      </c>
      <c r="M74" s="3">
        <v>35.200000000000003</v>
      </c>
      <c r="N74" s="5">
        <f t="shared" si="8"/>
        <v>615</v>
      </c>
      <c r="O74" s="3">
        <v>1520000</v>
      </c>
      <c r="P74" s="3">
        <v>33800</v>
      </c>
      <c r="Q74" s="3">
        <v>39700</v>
      </c>
      <c r="R74" s="5">
        <v>35.200000000000003</v>
      </c>
      <c r="T74" s="3">
        <v>2370000</v>
      </c>
      <c r="U74" s="4"/>
      <c r="V74" s="5">
        <f t="shared" si="9"/>
        <v>615</v>
      </c>
      <c r="W74" s="8"/>
      <c r="X74" s="9" t="str">
        <f t="shared" si="7"/>
        <v>a</v>
      </c>
      <c r="Y74" s="9" t="str">
        <f t="shared" si="7"/>
        <v>a</v>
      </c>
      <c r="Z74" s="31">
        <f t="shared" si="10"/>
        <v>20167.056</v>
      </c>
      <c r="AA74" s="31">
        <f t="shared" si="11"/>
        <v>20167.056</v>
      </c>
    </row>
    <row r="75" spans="1:27" ht="13">
      <c r="A75" s="9">
        <v>73</v>
      </c>
      <c r="B75" s="3" t="s">
        <v>1428</v>
      </c>
      <c r="C75" s="3"/>
      <c r="D75" s="5">
        <v>9.99</v>
      </c>
      <c r="E75" s="3">
        <v>90</v>
      </c>
      <c r="F75" s="3">
        <v>50</v>
      </c>
      <c r="G75" s="5">
        <v>5</v>
      </c>
      <c r="H75" s="5">
        <v>5</v>
      </c>
      <c r="I75" s="3">
        <v>1270</v>
      </c>
      <c r="J75" s="3">
        <v>1270000</v>
      </c>
      <c r="K75" s="3">
        <v>28300</v>
      </c>
      <c r="L75" s="3">
        <v>36000</v>
      </c>
      <c r="M75" s="3">
        <v>31.6</v>
      </c>
      <c r="N75" s="5">
        <f t="shared" si="8"/>
        <v>816.42857142857144</v>
      </c>
      <c r="O75" s="3">
        <v>492000</v>
      </c>
      <c r="P75" s="3">
        <v>19700</v>
      </c>
      <c r="Q75" s="3">
        <v>23500</v>
      </c>
      <c r="R75" s="5">
        <v>19.7</v>
      </c>
      <c r="T75" s="3">
        <v>1160000</v>
      </c>
      <c r="U75" s="4"/>
      <c r="V75" s="5">
        <f t="shared" si="9"/>
        <v>453.57142857142856</v>
      </c>
      <c r="W75" s="8"/>
      <c r="X75" s="9" t="str">
        <f t="shared" si="7"/>
        <v>a</v>
      </c>
      <c r="Y75" s="9" t="str">
        <f t="shared" si="7"/>
        <v>a</v>
      </c>
      <c r="Z75" s="31">
        <f t="shared" si="10"/>
        <v>18625</v>
      </c>
      <c r="AA75" s="31">
        <f t="shared" si="11"/>
        <v>12125</v>
      </c>
    </row>
    <row r="76" spans="1:27" ht="13">
      <c r="A76" s="9">
        <v>74</v>
      </c>
      <c r="B76" s="3" t="s">
        <v>1429</v>
      </c>
      <c r="C76" s="3"/>
      <c r="D76" s="5">
        <v>10.7</v>
      </c>
      <c r="E76" s="3">
        <v>90</v>
      </c>
      <c r="F76" s="3">
        <v>90</v>
      </c>
      <c r="G76" s="5">
        <v>4</v>
      </c>
      <c r="H76" s="5">
        <v>4</v>
      </c>
      <c r="I76" s="3">
        <v>1360</v>
      </c>
      <c r="J76" s="3">
        <v>1660000</v>
      </c>
      <c r="K76" s="3">
        <v>37000</v>
      </c>
      <c r="L76" s="3">
        <v>43600</v>
      </c>
      <c r="M76" s="3">
        <v>35</v>
      </c>
      <c r="N76" s="5">
        <f t="shared" si="8"/>
        <v>680</v>
      </c>
      <c r="O76" s="3">
        <v>1660000</v>
      </c>
      <c r="P76" s="3">
        <v>37000</v>
      </c>
      <c r="Q76" s="3">
        <v>43600</v>
      </c>
      <c r="R76" s="5">
        <v>35</v>
      </c>
      <c r="T76" s="3">
        <v>2600000</v>
      </c>
      <c r="U76" s="4"/>
      <c r="V76" s="5">
        <f t="shared" si="9"/>
        <v>680</v>
      </c>
      <c r="W76" s="8"/>
      <c r="X76" s="9" t="str">
        <f t="shared" si="7"/>
        <v>a</v>
      </c>
      <c r="Y76" s="9" t="str">
        <f t="shared" si="7"/>
        <v>a</v>
      </c>
      <c r="Z76" s="31">
        <f t="shared" si="10"/>
        <v>22204</v>
      </c>
      <c r="AA76" s="31">
        <f t="shared" si="11"/>
        <v>22204</v>
      </c>
    </row>
    <row r="77" spans="1:27" ht="13">
      <c r="A77" s="9">
        <v>75</v>
      </c>
      <c r="B77" s="3" t="s">
        <v>1430</v>
      </c>
      <c r="C77" s="3"/>
      <c r="D77" s="5">
        <v>12.3</v>
      </c>
      <c r="E77" s="3">
        <v>90</v>
      </c>
      <c r="F77" s="3">
        <v>50</v>
      </c>
      <c r="G77" s="5">
        <v>6.3</v>
      </c>
      <c r="H77" s="5">
        <v>6.3</v>
      </c>
      <c r="I77" s="3">
        <v>1560</v>
      </c>
      <c r="J77" s="3">
        <v>1500000</v>
      </c>
      <c r="K77" s="3">
        <v>33300</v>
      </c>
      <c r="L77" s="3">
        <v>43200</v>
      </c>
      <c r="M77" s="3">
        <v>31</v>
      </c>
      <c r="N77" s="5">
        <f t="shared" si="8"/>
        <v>1002.8571428571429</v>
      </c>
      <c r="O77" s="3">
        <v>570000</v>
      </c>
      <c r="P77" s="3">
        <v>22800</v>
      </c>
      <c r="Q77" s="3">
        <v>28000</v>
      </c>
      <c r="R77" s="5">
        <v>19.100000000000001</v>
      </c>
      <c r="T77" s="3">
        <v>1380000</v>
      </c>
      <c r="U77" s="4"/>
      <c r="V77" s="5">
        <f t="shared" si="9"/>
        <v>557.14285714285711</v>
      </c>
      <c r="W77" s="8"/>
      <c r="X77" s="9" t="str">
        <f t="shared" si="7"/>
        <v>a</v>
      </c>
      <c r="Y77" s="9" t="str">
        <f t="shared" si="7"/>
        <v>a</v>
      </c>
      <c r="Z77" s="31">
        <f t="shared" si="10"/>
        <v>22618.197</v>
      </c>
      <c r="AA77" s="31">
        <f t="shared" si="11"/>
        <v>14591.997000000001</v>
      </c>
    </row>
    <row r="78" spans="1:27" ht="13">
      <c r="A78" s="9">
        <v>76</v>
      </c>
      <c r="B78" s="3" t="s">
        <v>1431</v>
      </c>
      <c r="C78" s="3"/>
      <c r="D78" s="5">
        <v>13.1</v>
      </c>
      <c r="E78" s="3">
        <v>90</v>
      </c>
      <c r="F78" s="3">
        <v>90</v>
      </c>
      <c r="G78" s="5">
        <v>5</v>
      </c>
      <c r="H78" s="5">
        <v>5</v>
      </c>
      <c r="I78" s="3">
        <v>1670</v>
      </c>
      <c r="J78" s="3">
        <v>2000000</v>
      </c>
      <c r="K78" s="3">
        <v>44400</v>
      </c>
      <c r="L78" s="3">
        <v>53000</v>
      </c>
      <c r="M78" s="3">
        <v>34.5</v>
      </c>
      <c r="N78" s="5">
        <f t="shared" si="8"/>
        <v>835</v>
      </c>
      <c r="O78" s="3">
        <v>2000000</v>
      </c>
      <c r="P78" s="3">
        <v>44400</v>
      </c>
      <c r="Q78" s="3">
        <v>53000</v>
      </c>
      <c r="R78" s="5">
        <v>34.5</v>
      </c>
      <c r="T78" s="3">
        <v>3160000</v>
      </c>
      <c r="U78" s="4"/>
      <c r="V78" s="5">
        <f t="shared" si="9"/>
        <v>835</v>
      </c>
      <c r="W78" s="8"/>
      <c r="X78" s="9" t="str">
        <f t="shared" si="7"/>
        <v>a</v>
      </c>
      <c r="Y78" s="9" t="str">
        <f t="shared" si="7"/>
        <v>a</v>
      </c>
      <c r="Z78" s="31">
        <f t="shared" si="10"/>
        <v>27125</v>
      </c>
      <c r="AA78" s="31">
        <f t="shared" si="11"/>
        <v>27125</v>
      </c>
    </row>
    <row r="79" spans="1:27" ht="13">
      <c r="A79" s="9">
        <v>77</v>
      </c>
      <c r="B79" s="3" t="s">
        <v>1432</v>
      </c>
      <c r="C79" s="3"/>
      <c r="D79" s="5">
        <v>13.6</v>
      </c>
      <c r="E79" s="3">
        <v>90</v>
      </c>
      <c r="F79" s="3">
        <v>50</v>
      </c>
      <c r="G79" s="5">
        <v>7.1</v>
      </c>
      <c r="H79" s="5">
        <v>7.1</v>
      </c>
      <c r="I79" s="3">
        <v>1730</v>
      </c>
      <c r="J79" s="3">
        <v>1620000</v>
      </c>
      <c r="K79" s="3">
        <v>36000</v>
      </c>
      <c r="L79" s="3">
        <v>47200</v>
      </c>
      <c r="M79" s="3">
        <v>30.6</v>
      </c>
      <c r="N79" s="5">
        <f t="shared" si="8"/>
        <v>1112.1428571428571</v>
      </c>
      <c r="O79" s="3">
        <v>609000</v>
      </c>
      <c r="P79" s="3">
        <v>24400</v>
      </c>
      <c r="Q79" s="3">
        <v>30500</v>
      </c>
      <c r="R79" s="5">
        <v>18.8</v>
      </c>
      <c r="T79" s="3">
        <v>1490000</v>
      </c>
      <c r="U79" s="4"/>
      <c r="V79" s="5">
        <f t="shared" si="9"/>
        <v>617.85714285714289</v>
      </c>
      <c r="W79" s="8"/>
      <c r="X79" s="9" t="str">
        <f t="shared" si="7"/>
        <v>a</v>
      </c>
      <c r="Y79" s="9" t="str">
        <f t="shared" si="7"/>
        <v>a</v>
      </c>
      <c r="Z79" s="31">
        <f t="shared" si="10"/>
        <v>24913.260999999999</v>
      </c>
      <c r="AA79" s="31">
        <f t="shared" si="11"/>
        <v>15981.460999999999</v>
      </c>
    </row>
    <row r="80" spans="1:27" ht="13">
      <c r="A80" s="9">
        <v>78</v>
      </c>
      <c r="B80" s="3" t="s">
        <v>1433</v>
      </c>
      <c r="C80" s="3"/>
      <c r="D80" s="5">
        <v>15</v>
      </c>
      <c r="E80" s="3">
        <v>90</v>
      </c>
      <c r="F80" s="3">
        <v>50</v>
      </c>
      <c r="G80" s="5">
        <v>8</v>
      </c>
      <c r="H80" s="5">
        <v>8</v>
      </c>
      <c r="I80" s="3">
        <v>1920</v>
      </c>
      <c r="J80" s="3">
        <v>1740000</v>
      </c>
      <c r="K80" s="3">
        <v>38600</v>
      </c>
      <c r="L80" s="3">
        <v>51400</v>
      </c>
      <c r="M80" s="3">
        <v>30.1</v>
      </c>
      <c r="N80" s="5">
        <f t="shared" si="8"/>
        <v>1234.2857142857142</v>
      </c>
      <c r="O80" s="3">
        <v>646000</v>
      </c>
      <c r="P80" s="3">
        <v>25800</v>
      </c>
      <c r="Q80" s="3">
        <v>32900</v>
      </c>
      <c r="R80" s="5">
        <v>18.399999999999999</v>
      </c>
      <c r="T80" s="3">
        <v>1600000</v>
      </c>
      <c r="U80" s="4"/>
      <c r="V80" s="5">
        <f t="shared" si="9"/>
        <v>685.71428571428567</v>
      </c>
      <c r="W80" s="8"/>
      <c r="X80" s="9" t="str">
        <f t="shared" si="7"/>
        <v>a</v>
      </c>
      <c r="Y80" s="9" t="str">
        <f t="shared" si="7"/>
        <v>a</v>
      </c>
      <c r="Z80" s="31">
        <f t="shared" si="10"/>
        <v>27352</v>
      </c>
      <c r="AA80" s="31">
        <f t="shared" si="11"/>
        <v>17432</v>
      </c>
    </row>
    <row r="81" spans="1:27" ht="13">
      <c r="A81" s="9">
        <v>79</v>
      </c>
      <c r="B81" s="3" t="s">
        <v>1434</v>
      </c>
      <c r="C81" s="3"/>
      <c r="D81" s="5">
        <v>16.2</v>
      </c>
      <c r="E81" s="3">
        <v>90</v>
      </c>
      <c r="F81" s="3">
        <v>90</v>
      </c>
      <c r="G81" s="5">
        <v>6.3</v>
      </c>
      <c r="H81" s="5">
        <v>6.3</v>
      </c>
      <c r="I81" s="3">
        <v>2070</v>
      </c>
      <c r="J81" s="3">
        <v>2380000</v>
      </c>
      <c r="K81" s="3">
        <v>53000</v>
      </c>
      <c r="L81" s="3">
        <v>64300</v>
      </c>
      <c r="M81" s="3">
        <v>34</v>
      </c>
      <c r="N81" s="5">
        <f t="shared" si="8"/>
        <v>1035</v>
      </c>
      <c r="O81" s="3">
        <v>2380000</v>
      </c>
      <c r="P81" s="3">
        <v>53000</v>
      </c>
      <c r="Q81" s="3">
        <v>64300</v>
      </c>
      <c r="R81" s="5">
        <v>34</v>
      </c>
      <c r="T81" s="3">
        <v>3820000</v>
      </c>
      <c r="U81" s="4"/>
      <c r="V81" s="5">
        <f t="shared" si="9"/>
        <v>1035</v>
      </c>
      <c r="W81" s="8"/>
      <c r="X81" s="9" t="str">
        <f t="shared" si="7"/>
        <v>a</v>
      </c>
      <c r="Y81" s="9" t="str">
        <f t="shared" si="7"/>
        <v>a</v>
      </c>
      <c r="Z81" s="31">
        <f t="shared" si="10"/>
        <v>33164.397000000004</v>
      </c>
      <c r="AA81" s="31">
        <f t="shared" si="11"/>
        <v>33164.397000000004</v>
      </c>
    </row>
    <row r="82" spans="1:27" ht="13">
      <c r="A82" s="9">
        <v>80</v>
      </c>
      <c r="B82" s="3" t="s">
        <v>1435</v>
      </c>
      <c r="C82" s="3"/>
      <c r="D82" s="5">
        <v>18.100000000000001</v>
      </c>
      <c r="E82" s="3">
        <v>90</v>
      </c>
      <c r="F82" s="3">
        <v>90</v>
      </c>
      <c r="G82" s="5">
        <v>7.1</v>
      </c>
      <c r="H82" s="5">
        <v>7.1</v>
      </c>
      <c r="I82" s="3">
        <v>2300</v>
      </c>
      <c r="J82" s="3">
        <v>2600000</v>
      </c>
      <c r="K82" s="3">
        <v>57700</v>
      </c>
      <c r="L82" s="3">
        <v>70800</v>
      </c>
      <c r="M82" s="3">
        <v>33.6</v>
      </c>
      <c r="N82" s="5">
        <f t="shared" si="8"/>
        <v>1150</v>
      </c>
      <c r="O82" s="3">
        <v>2600000</v>
      </c>
      <c r="P82" s="3">
        <v>57700</v>
      </c>
      <c r="Q82" s="3">
        <v>70800</v>
      </c>
      <c r="R82" s="5">
        <v>33.6</v>
      </c>
      <c r="T82" s="3">
        <v>4190000</v>
      </c>
      <c r="U82" s="4"/>
      <c r="V82" s="5">
        <f t="shared" si="9"/>
        <v>1150</v>
      </c>
      <c r="W82" s="8"/>
      <c r="X82" s="9" t="str">
        <f t="shared" si="7"/>
        <v>a</v>
      </c>
      <c r="Y82" s="9" t="str">
        <f t="shared" si="7"/>
        <v>a</v>
      </c>
      <c r="Z82" s="31">
        <f t="shared" si="10"/>
        <v>36685.061000000002</v>
      </c>
      <c r="AA82" s="31">
        <f t="shared" si="11"/>
        <v>36685.061000000002</v>
      </c>
    </row>
    <row r="83" spans="1:27" ht="13">
      <c r="A83" s="9">
        <v>81</v>
      </c>
      <c r="B83" s="3" t="s">
        <v>1436</v>
      </c>
      <c r="C83" s="3"/>
      <c r="D83" s="5">
        <v>20.100000000000001</v>
      </c>
      <c r="E83" s="3">
        <v>90</v>
      </c>
      <c r="F83" s="3">
        <v>90</v>
      </c>
      <c r="G83" s="5">
        <v>8</v>
      </c>
      <c r="H83" s="5">
        <v>8</v>
      </c>
      <c r="I83" s="3">
        <v>2560</v>
      </c>
      <c r="J83" s="3">
        <v>2810000</v>
      </c>
      <c r="K83" s="3">
        <v>62600</v>
      </c>
      <c r="L83" s="3">
        <v>77600</v>
      </c>
      <c r="M83" s="3">
        <v>33.200000000000003</v>
      </c>
      <c r="N83" s="5">
        <f t="shared" si="8"/>
        <v>1280</v>
      </c>
      <c r="O83" s="3">
        <v>2810000</v>
      </c>
      <c r="P83" s="3">
        <v>62600</v>
      </c>
      <c r="Q83" s="3">
        <v>77600</v>
      </c>
      <c r="R83" s="5">
        <v>33.200000000000003</v>
      </c>
      <c r="T83" s="3">
        <v>4590000</v>
      </c>
      <c r="U83" s="4"/>
      <c r="V83" s="5">
        <f t="shared" si="9"/>
        <v>1280</v>
      </c>
      <c r="W83" s="8"/>
      <c r="X83" s="9" t="str">
        <f t="shared" ref="X83:Y102" si="12">IF(fy=460,"a0","a")</f>
        <v>a</v>
      </c>
      <c r="Y83" s="9" t="str">
        <f t="shared" si="12"/>
        <v>a</v>
      </c>
      <c r="Z83" s="31">
        <f t="shared" si="10"/>
        <v>40472</v>
      </c>
      <c r="AA83" s="31">
        <f t="shared" si="11"/>
        <v>40472</v>
      </c>
    </row>
    <row r="84" spans="1:27" ht="13">
      <c r="A84" s="9">
        <v>82</v>
      </c>
      <c r="B84" s="3" t="s">
        <v>1437</v>
      </c>
      <c r="C84" s="3"/>
      <c r="D84" s="5">
        <v>21.8</v>
      </c>
      <c r="E84" s="3">
        <v>90</v>
      </c>
      <c r="F84" s="3">
        <v>90</v>
      </c>
      <c r="G84" s="5">
        <v>8.8000000000000007</v>
      </c>
      <c r="H84" s="5">
        <v>8.8000000000000007</v>
      </c>
      <c r="I84" s="3">
        <v>2780</v>
      </c>
      <c r="J84" s="3">
        <v>2990000</v>
      </c>
      <c r="K84" s="3">
        <v>66500</v>
      </c>
      <c r="L84" s="3">
        <v>83400</v>
      </c>
      <c r="M84" s="3">
        <v>32.799999999999997</v>
      </c>
      <c r="N84" s="5">
        <f t="shared" si="8"/>
        <v>1390</v>
      </c>
      <c r="O84" s="3">
        <v>2990000</v>
      </c>
      <c r="P84" s="3">
        <v>66500</v>
      </c>
      <c r="Q84" s="3">
        <v>83400</v>
      </c>
      <c r="R84" s="5">
        <v>32.799999999999997</v>
      </c>
      <c r="T84" s="3">
        <v>4920000</v>
      </c>
      <c r="U84" s="4"/>
      <c r="V84" s="5">
        <f t="shared" si="9"/>
        <v>1390</v>
      </c>
      <c r="W84" s="8"/>
      <c r="X84" s="9" t="str">
        <f t="shared" si="12"/>
        <v>a</v>
      </c>
      <c r="Y84" s="9" t="str">
        <f t="shared" si="12"/>
        <v>a</v>
      </c>
      <c r="Z84" s="31">
        <f t="shared" si="10"/>
        <v>43687.072000000007</v>
      </c>
      <c r="AA84" s="31">
        <f t="shared" si="11"/>
        <v>43687.072000000007</v>
      </c>
    </row>
    <row r="85" spans="1:27" ht="13">
      <c r="A85" s="9">
        <v>83</v>
      </c>
      <c r="B85" s="3" t="s">
        <v>1438</v>
      </c>
      <c r="C85" s="3"/>
      <c r="D85" s="5">
        <v>24.3</v>
      </c>
      <c r="E85" s="3">
        <v>90</v>
      </c>
      <c r="F85" s="3">
        <v>90</v>
      </c>
      <c r="G85" s="5">
        <v>10</v>
      </c>
      <c r="H85" s="5">
        <v>10</v>
      </c>
      <c r="I85" s="3">
        <v>3090</v>
      </c>
      <c r="J85" s="3">
        <v>3220000</v>
      </c>
      <c r="K85" s="3">
        <v>71600</v>
      </c>
      <c r="L85" s="3">
        <v>91300</v>
      </c>
      <c r="M85" s="3">
        <v>32.299999999999997</v>
      </c>
      <c r="N85" s="5">
        <f t="shared" si="8"/>
        <v>1545</v>
      </c>
      <c r="O85" s="3">
        <v>3220000</v>
      </c>
      <c r="P85" s="3">
        <v>71600</v>
      </c>
      <c r="Q85" s="3">
        <v>91300</v>
      </c>
      <c r="R85" s="5">
        <v>32.299999999999997</v>
      </c>
      <c r="T85" s="3">
        <v>5360000</v>
      </c>
      <c r="U85" s="4"/>
      <c r="V85" s="5">
        <f t="shared" si="9"/>
        <v>1545</v>
      </c>
      <c r="W85" s="8"/>
      <c r="X85" s="9" t="str">
        <f t="shared" si="12"/>
        <v>a</v>
      </c>
      <c r="Y85" s="9" t="str">
        <f t="shared" si="12"/>
        <v>a</v>
      </c>
      <c r="Z85" s="31">
        <f t="shared" si="10"/>
        <v>48250</v>
      </c>
      <c r="AA85" s="31">
        <f t="shared" si="11"/>
        <v>48250</v>
      </c>
    </row>
    <row r="86" spans="1:27" ht="13">
      <c r="A86" s="9">
        <v>84</v>
      </c>
      <c r="B86" s="3" t="s">
        <v>1439</v>
      </c>
      <c r="C86" s="3"/>
      <c r="D86" s="5">
        <v>29.1</v>
      </c>
      <c r="E86" s="3">
        <v>90</v>
      </c>
      <c r="F86" s="3">
        <v>90</v>
      </c>
      <c r="G86" s="5">
        <v>12.5</v>
      </c>
      <c r="H86" s="5">
        <v>12.5</v>
      </c>
      <c r="I86" s="3">
        <v>3710</v>
      </c>
      <c r="J86" s="3">
        <v>3590000</v>
      </c>
      <c r="K86" s="3">
        <v>79800</v>
      </c>
      <c r="L86" s="3">
        <v>105000</v>
      </c>
      <c r="M86" s="3">
        <v>31.1</v>
      </c>
      <c r="N86" s="5">
        <f t="shared" si="8"/>
        <v>1855</v>
      </c>
      <c r="O86" s="3">
        <v>3590000</v>
      </c>
      <c r="P86" s="3">
        <v>79800</v>
      </c>
      <c r="Q86" s="3">
        <v>105000</v>
      </c>
      <c r="R86" s="5">
        <v>31.1</v>
      </c>
      <c r="T86" s="3">
        <v>6120000</v>
      </c>
      <c r="U86" s="4"/>
      <c r="V86" s="5">
        <f t="shared" si="9"/>
        <v>1855</v>
      </c>
      <c r="W86" s="8"/>
      <c r="X86" s="9" t="str">
        <f t="shared" si="12"/>
        <v>a</v>
      </c>
      <c r="Y86" s="9" t="str">
        <f t="shared" si="12"/>
        <v>a</v>
      </c>
      <c r="Z86" s="31">
        <f t="shared" si="10"/>
        <v>56796.875</v>
      </c>
      <c r="AA86" s="31">
        <f t="shared" si="11"/>
        <v>56796.875</v>
      </c>
    </row>
    <row r="87" spans="1:27" ht="13">
      <c r="A87" s="9">
        <v>85</v>
      </c>
      <c r="B87" s="3" t="s">
        <v>1440</v>
      </c>
      <c r="C87" s="3"/>
      <c r="D87" s="5">
        <v>6.71</v>
      </c>
      <c r="E87" s="3">
        <v>100</v>
      </c>
      <c r="F87" s="3">
        <v>50</v>
      </c>
      <c r="G87" s="5">
        <v>3</v>
      </c>
      <c r="H87" s="5">
        <v>3</v>
      </c>
      <c r="I87" s="3">
        <v>854</v>
      </c>
      <c r="J87" s="3">
        <v>1100000</v>
      </c>
      <c r="K87" s="3">
        <v>21900</v>
      </c>
      <c r="L87" s="3">
        <v>27300</v>
      </c>
      <c r="M87" s="3">
        <v>35.799999999999997</v>
      </c>
      <c r="N87" s="5">
        <f t="shared" si="8"/>
        <v>569.33333333333337</v>
      </c>
      <c r="O87" s="3">
        <v>368000</v>
      </c>
      <c r="P87" s="3">
        <v>14700</v>
      </c>
      <c r="Q87" s="3">
        <v>16800</v>
      </c>
      <c r="R87" s="5">
        <v>20.8</v>
      </c>
      <c r="T87" s="3">
        <v>884000</v>
      </c>
      <c r="U87" s="4"/>
      <c r="V87" s="5">
        <f t="shared" si="9"/>
        <v>284.66666666666669</v>
      </c>
      <c r="W87" s="8"/>
      <c r="X87" s="9" t="str">
        <f t="shared" si="12"/>
        <v>a</v>
      </c>
      <c r="Y87" s="9" t="str">
        <f t="shared" si="12"/>
        <v>a</v>
      </c>
      <c r="Z87" s="31">
        <f t="shared" si="10"/>
        <v>13902</v>
      </c>
      <c r="AA87" s="31">
        <f t="shared" si="11"/>
        <v>8502</v>
      </c>
    </row>
    <row r="88" spans="1:27" ht="13">
      <c r="A88" s="9">
        <v>86</v>
      </c>
      <c r="B88" s="3" t="s">
        <v>1441</v>
      </c>
      <c r="C88" s="3"/>
      <c r="D88" s="5">
        <v>7.13</v>
      </c>
      <c r="E88" s="3">
        <v>100</v>
      </c>
      <c r="F88" s="3">
        <v>50</v>
      </c>
      <c r="G88" s="5">
        <v>3.2</v>
      </c>
      <c r="H88" s="5">
        <v>3.2</v>
      </c>
      <c r="I88" s="3">
        <v>908</v>
      </c>
      <c r="J88" s="3">
        <v>1160000</v>
      </c>
      <c r="K88" s="3">
        <v>23200</v>
      </c>
      <c r="L88" s="3">
        <v>28900</v>
      </c>
      <c r="M88" s="3">
        <v>35.700000000000003</v>
      </c>
      <c r="N88" s="5">
        <f t="shared" si="8"/>
        <v>605.33333333333337</v>
      </c>
      <c r="O88" s="3">
        <v>388000</v>
      </c>
      <c r="P88" s="3">
        <v>15500</v>
      </c>
      <c r="Q88" s="3">
        <v>17700</v>
      </c>
      <c r="R88" s="5">
        <v>20.7</v>
      </c>
      <c r="T88" s="3">
        <v>934000</v>
      </c>
      <c r="U88" s="4"/>
      <c r="V88" s="5">
        <f t="shared" si="9"/>
        <v>302.66666666666669</v>
      </c>
      <c r="W88" s="8"/>
      <c r="X88" s="9" t="str">
        <f t="shared" si="12"/>
        <v>a</v>
      </c>
      <c r="Y88" s="9" t="str">
        <f t="shared" si="12"/>
        <v>a</v>
      </c>
      <c r="Z88" s="31">
        <f t="shared" si="10"/>
        <v>14752.768</v>
      </c>
      <c r="AA88" s="31">
        <f t="shared" si="11"/>
        <v>9008.768</v>
      </c>
    </row>
    <row r="89" spans="1:27" ht="13">
      <c r="A89" s="9">
        <v>87</v>
      </c>
      <c r="B89" s="3" t="s">
        <v>1442</v>
      </c>
      <c r="C89" s="3"/>
      <c r="D89" s="5">
        <v>7.18</v>
      </c>
      <c r="E89" s="3">
        <v>100</v>
      </c>
      <c r="F89" s="3">
        <v>60</v>
      </c>
      <c r="G89" s="5">
        <v>3</v>
      </c>
      <c r="H89" s="5">
        <v>3</v>
      </c>
      <c r="I89" s="3">
        <v>914</v>
      </c>
      <c r="J89" s="3">
        <v>1240000</v>
      </c>
      <c r="K89" s="3">
        <v>24700</v>
      </c>
      <c r="L89" s="3">
        <v>30200</v>
      </c>
      <c r="M89" s="3">
        <v>36.799999999999997</v>
      </c>
      <c r="N89" s="5">
        <f t="shared" si="8"/>
        <v>571.25</v>
      </c>
      <c r="O89" s="3">
        <v>557000</v>
      </c>
      <c r="P89" s="3">
        <v>18600</v>
      </c>
      <c r="Q89" s="3">
        <v>21200</v>
      </c>
      <c r="R89" s="5">
        <v>24.7</v>
      </c>
      <c r="T89" s="3">
        <v>1210000</v>
      </c>
      <c r="U89" s="4"/>
      <c r="V89" s="5">
        <f t="shared" si="9"/>
        <v>342.75</v>
      </c>
      <c r="W89" s="8"/>
      <c r="X89" s="9" t="str">
        <f t="shared" si="12"/>
        <v>a</v>
      </c>
      <c r="Y89" s="9" t="str">
        <f t="shared" si="12"/>
        <v>a</v>
      </c>
      <c r="Z89" s="31">
        <f t="shared" si="10"/>
        <v>15357</v>
      </c>
      <c r="AA89" s="31">
        <f t="shared" si="11"/>
        <v>10737</v>
      </c>
    </row>
    <row r="90" spans="1:27" ht="13">
      <c r="A90" s="9">
        <v>88</v>
      </c>
      <c r="B90" s="3" t="s">
        <v>1443</v>
      </c>
      <c r="C90" s="3"/>
      <c r="D90" s="5">
        <v>7.63</v>
      </c>
      <c r="E90" s="3">
        <v>100</v>
      </c>
      <c r="F90" s="3">
        <v>60</v>
      </c>
      <c r="G90" s="5">
        <v>3.2</v>
      </c>
      <c r="H90" s="5">
        <v>3.2</v>
      </c>
      <c r="I90" s="3">
        <v>972</v>
      </c>
      <c r="J90" s="3">
        <v>1310000</v>
      </c>
      <c r="K90" s="3">
        <v>26200</v>
      </c>
      <c r="L90" s="3">
        <v>32000</v>
      </c>
      <c r="M90" s="3">
        <v>36.700000000000003</v>
      </c>
      <c r="N90" s="5">
        <f t="shared" si="8"/>
        <v>607.5</v>
      </c>
      <c r="O90" s="3">
        <v>588000</v>
      </c>
      <c r="P90" s="3">
        <v>19600</v>
      </c>
      <c r="Q90" s="3">
        <v>22400</v>
      </c>
      <c r="R90" s="5">
        <v>24.6</v>
      </c>
      <c r="T90" s="3">
        <v>1290000</v>
      </c>
      <c r="U90" s="4"/>
      <c r="V90" s="5">
        <f t="shared" si="9"/>
        <v>364.5</v>
      </c>
      <c r="W90" s="8"/>
      <c r="X90" s="9" t="str">
        <f t="shared" si="12"/>
        <v>a</v>
      </c>
      <c r="Y90" s="9" t="str">
        <f t="shared" si="12"/>
        <v>a</v>
      </c>
      <c r="Z90" s="31">
        <f t="shared" si="10"/>
        <v>16301.567999999999</v>
      </c>
      <c r="AA90" s="31">
        <f t="shared" si="11"/>
        <v>11386.368</v>
      </c>
    </row>
    <row r="91" spans="1:27" ht="13">
      <c r="A91" s="9">
        <v>89</v>
      </c>
      <c r="B91" s="3" t="s">
        <v>1444</v>
      </c>
      <c r="C91" s="3"/>
      <c r="D91" s="5">
        <v>7.96</v>
      </c>
      <c r="E91" s="3">
        <v>100</v>
      </c>
      <c r="F91" s="3">
        <v>50</v>
      </c>
      <c r="G91" s="5">
        <v>3.6</v>
      </c>
      <c r="H91" s="5">
        <v>3.6</v>
      </c>
      <c r="I91" s="3">
        <v>1010</v>
      </c>
      <c r="J91" s="3">
        <v>1280000</v>
      </c>
      <c r="K91" s="3">
        <v>25600</v>
      </c>
      <c r="L91" s="3">
        <v>32100</v>
      </c>
      <c r="M91" s="3">
        <v>35.5</v>
      </c>
      <c r="N91" s="5">
        <f t="shared" si="8"/>
        <v>673.33333333333337</v>
      </c>
      <c r="O91" s="3">
        <v>426000</v>
      </c>
      <c r="P91" s="3">
        <v>17000</v>
      </c>
      <c r="Q91" s="3">
        <v>19600</v>
      </c>
      <c r="R91" s="5">
        <v>20.5</v>
      </c>
      <c r="T91" s="3">
        <v>1030000</v>
      </c>
      <c r="U91" s="4"/>
      <c r="V91" s="5">
        <f t="shared" si="9"/>
        <v>336.66666666666669</v>
      </c>
      <c r="W91" s="8"/>
      <c r="X91" s="9" t="str">
        <f t="shared" si="12"/>
        <v>a</v>
      </c>
      <c r="Y91" s="9" t="str">
        <f t="shared" si="12"/>
        <v>a</v>
      </c>
      <c r="Z91" s="31">
        <f t="shared" si="10"/>
        <v>16426.655999999999</v>
      </c>
      <c r="AA91" s="31">
        <f t="shared" si="11"/>
        <v>10000.655999999999</v>
      </c>
    </row>
    <row r="92" spans="1:27" ht="13">
      <c r="A92" s="9">
        <v>90</v>
      </c>
      <c r="B92" s="3" t="s">
        <v>1445</v>
      </c>
      <c r="C92" s="3"/>
      <c r="D92" s="5">
        <v>8.5299999999999994</v>
      </c>
      <c r="E92" s="3">
        <v>100</v>
      </c>
      <c r="F92" s="3">
        <v>60</v>
      </c>
      <c r="G92" s="5">
        <v>3.6</v>
      </c>
      <c r="H92" s="5">
        <v>3.6</v>
      </c>
      <c r="I92" s="3">
        <v>1090</v>
      </c>
      <c r="J92" s="3">
        <v>1450000</v>
      </c>
      <c r="K92" s="3">
        <v>28900</v>
      </c>
      <c r="L92" s="3">
        <v>35600</v>
      </c>
      <c r="M92" s="3">
        <v>36.5</v>
      </c>
      <c r="N92" s="5">
        <f t="shared" si="8"/>
        <v>681.25</v>
      </c>
      <c r="O92" s="3">
        <v>648000</v>
      </c>
      <c r="P92" s="3">
        <v>21600</v>
      </c>
      <c r="Q92" s="3">
        <v>24900</v>
      </c>
      <c r="R92" s="5">
        <v>24.4</v>
      </c>
      <c r="T92" s="3">
        <v>1420000</v>
      </c>
      <c r="U92" s="4"/>
      <c r="V92" s="5">
        <f t="shared" si="9"/>
        <v>408.75</v>
      </c>
      <c r="W92" s="8"/>
      <c r="X92" s="9" t="str">
        <f t="shared" si="12"/>
        <v>a</v>
      </c>
      <c r="Y92" s="9" t="str">
        <f t="shared" si="12"/>
        <v>a</v>
      </c>
      <c r="Z92" s="31">
        <f t="shared" si="10"/>
        <v>18161.856</v>
      </c>
      <c r="AA92" s="31">
        <f t="shared" si="11"/>
        <v>12661.056</v>
      </c>
    </row>
    <row r="93" spans="1:27" ht="13">
      <c r="A93" s="9">
        <v>91</v>
      </c>
      <c r="B93" s="3" t="s">
        <v>1446</v>
      </c>
      <c r="C93" s="3"/>
      <c r="D93" s="5">
        <v>8.7799999999999994</v>
      </c>
      <c r="E93" s="3">
        <v>100</v>
      </c>
      <c r="F93" s="3">
        <v>50</v>
      </c>
      <c r="G93" s="5">
        <v>4</v>
      </c>
      <c r="H93" s="5">
        <v>4</v>
      </c>
      <c r="I93" s="3">
        <v>1120</v>
      </c>
      <c r="J93" s="3">
        <v>1400000</v>
      </c>
      <c r="K93" s="3">
        <v>27900</v>
      </c>
      <c r="L93" s="3">
        <v>35200</v>
      </c>
      <c r="M93" s="3">
        <v>35.299999999999997</v>
      </c>
      <c r="N93" s="5">
        <f t="shared" si="8"/>
        <v>746.66666666666663</v>
      </c>
      <c r="O93" s="3">
        <v>462000</v>
      </c>
      <c r="P93" s="3">
        <v>18500</v>
      </c>
      <c r="Q93" s="3">
        <v>21500</v>
      </c>
      <c r="R93" s="5">
        <v>20.3</v>
      </c>
      <c r="T93" s="3">
        <v>1130000</v>
      </c>
      <c r="U93" s="4"/>
      <c r="V93" s="5">
        <f t="shared" si="9"/>
        <v>373.33333333333331</v>
      </c>
      <c r="W93" s="8"/>
      <c r="X93" s="9" t="str">
        <f t="shared" si="12"/>
        <v>a</v>
      </c>
      <c r="Y93" s="9" t="str">
        <f t="shared" si="12"/>
        <v>a</v>
      </c>
      <c r="Z93" s="31">
        <f t="shared" si="10"/>
        <v>18064</v>
      </c>
      <c r="AA93" s="31">
        <f t="shared" si="11"/>
        <v>10964</v>
      </c>
    </row>
    <row r="94" spans="1:27" ht="13">
      <c r="A94" s="9">
        <v>92</v>
      </c>
      <c r="B94" s="3" t="s">
        <v>1447</v>
      </c>
      <c r="C94" s="3"/>
      <c r="D94" s="5">
        <v>9.41</v>
      </c>
      <c r="E94" s="3">
        <v>100</v>
      </c>
      <c r="F94" s="3">
        <v>60</v>
      </c>
      <c r="G94" s="5">
        <v>4</v>
      </c>
      <c r="H94" s="5">
        <v>4</v>
      </c>
      <c r="I94" s="3">
        <v>1200</v>
      </c>
      <c r="J94" s="3">
        <v>1580000</v>
      </c>
      <c r="K94" s="3">
        <v>31600</v>
      </c>
      <c r="L94" s="3">
        <v>39100</v>
      </c>
      <c r="M94" s="3">
        <v>36.299999999999997</v>
      </c>
      <c r="N94" s="5">
        <f t="shared" si="8"/>
        <v>750</v>
      </c>
      <c r="O94" s="3">
        <v>705000</v>
      </c>
      <c r="P94" s="3">
        <v>23500</v>
      </c>
      <c r="Q94" s="3">
        <v>27300</v>
      </c>
      <c r="R94" s="5">
        <v>24.3</v>
      </c>
      <c r="T94" s="3">
        <v>1560000</v>
      </c>
      <c r="U94" s="4"/>
      <c r="V94" s="5">
        <f t="shared" si="9"/>
        <v>450</v>
      </c>
      <c r="W94" s="8"/>
      <c r="X94" s="9" t="str">
        <f t="shared" si="12"/>
        <v>a</v>
      </c>
      <c r="Y94" s="9" t="str">
        <f t="shared" si="12"/>
        <v>a</v>
      </c>
      <c r="Z94" s="31">
        <f t="shared" si="10"/>
        <v>19984</v>
      </c>
      <c r="AA94" s="31">
        <f t="shared" si="11"/>
        <v>13904</v>
      </c>
    </row>
    <row r="95" spans="1:27" ht="13">
      <c r="A95" s="9">
        <v>93</v>
      </c>
      <c r="B95" s="3" t="s">
        <v>1448</v>
      </c>
      <c r="C95" s="3"/>
      <c r="D95" s="5">
        <v>10.8</v>
      </c>
      <c r="E95" s="3">
        <v>100</v>
      </c>
      <c r="F95" s="3">
        <v>50</v>
      </c>
      <c r="G95" s="5">
        <v>5</v>
      </c>
      <c r="H95" s="5">
        <v>5</v>
      </c>
      <c r="I95" s="3">
        <v>1370</v>
      </c>
      <c r="J95" s="3">
        <v>1670000</v>
      </c>
      <c r="K95" s="3">
        <v>33300</v>
      </c>
      <c r="L95" s="3">
        <v>42600</v>
      </c>
      <c r="M95" s="3">
        <v>34.799999999999997</v>
      </c>
      <c r="N95" s="5">
        <f t="shared" si="8"/>
        <v>913.33333333333337</v>
      </c>
      <c r="O95" s="3">
        <v>543000</v>
      </c>
      <c r="P95" s="3">
        <v>21700</v>
      </c>
      <c r="Q95" s="3">
        <v>25800</v>
      </c>
      <c r="R95" s="5">
        <v>19.899999999999999</v>
      </c>
      <c r="T95" s="3">
        <v>1350000</v>
      </c>
      <c r="U95" s="4"/>
      <c r="V95" s="5">
        <f t="shared" si="9"/>
        <v>456.66666666666669</v>
      </c>
      <c r="W95" s="8"/>
      <c r="X95" s="9" t="str">
        <f t="shared" si="12"/>
        <v>a</v>
      </c>
      <c r="Y95" s="9" t="str">
        <f t="shared" si="12"/>
        <v>a</v>
      </c>
      <c r="Z95" s="31">
        <f t="shared" si="10"/>
        <v>22000</v>
      </c>
      <c r="AA95" s="31">
        <f t="shared" si="11"/>
        <v>13250</v>
      </c>
    </row>
    <row r="96" spans="1:27" ht="13">
      <c r="A96" s="9">
        <v>94</v>
      </c>
      <c r="B96" s="3" t="s">
        <v>1449</v>
      </c>
      <c r="C96" s="3"/>
      <c r="D96" s="5">
        <v>10.8</v>
      </c>
      <c r="E96" s="3">
        <v>100</v>
      </c>
      <c r="F96" s="3">
        <v>100</v>
      </c>
      <c r="G96" s="5">
        <v>3.6</v>
      </c>
      <c r="H96" s="5">
        <v>3.6</v>
      </c>
      <c r="I96" s="3">
        <v>1370</v>
      </c>
      <c r="J96" s="3">
        <v>2120000</v>
      </c>
      <c r="K96" s="3">
        <v>42300</v>
      </c>
      <c r="L96" s="3">
        <v>49500</v>
      </c>
      <c r="M96" s="3">
        <v>39.200000000000003</v>
      </c>
      <c r="N96" s="5">
        <f t="shared" si="8"/>
        <v>685</v>
      </c>
      <c r="O96" s="3">
        <v>2120000</v>
      </c>
      <c r="P96" s="3">
        <v>42300</v>
      </c>
      <c r="Q96" s="3">
        <v>49500</v>
      </c>
      <c r="R96" s="5">
        <v>39.200000000000003</v>
      </c>
      <c r="T96" s="3">
        <v>3280000</v>
      </c>
      <c r="U96" s="4"/>
      <c r="V96" s="5">
        <f t="shared" si="9"/>
        <v>685</v>
      </c>
      <c r="W96" s="8"/>
      <c r="X96" s="9" t="str">
        <f t="shared" si="12"/>
        <v>a</v>
      </c>
      <c r="Y96" s="9" t="str">
        <f t="shared" si="12"/>
        <v>a</v>
      </c>
      <c r="Z96" s="31">
        <f t="shared" si="10"/>
        <v>25102.655999999999</v>
      </c>
      <c r="AA96" s="31">
        <f t="shared" si="11"/>
        <v>25102.655999999999</v>
      </c>
    </row>
    <row r="97" spans="1:27" ht="13">
      <c r="A97" s="9">
        <v>95</v>
      </c>
      <c r="B97" s="3" t="s">
        <v>1450</v>
      </c>
      <c r="C97" s="3"/>
      <c r="D97" s="5">
        <v>11.6</v>
      </c>
      <c r="E97" s="3">
        <v>100</v>
      </c>
      <c r="F97" s="3">
        <v>60</v>
      </c>
      <c r="G97" s="5">
        <v>5</v>
      </c>
      <c r="H97" s="5">
        <v>5</v>
      </c>
      <c r="I97" s="3">
        <v>1470</v>
      </c>
      <c r="J97" s="3">
        <v>1890000</v>
      </c>
      <c r="K97" s="3">
        <v>37800</v>
      </c>
      <c r="L97" s="3">
        <v>47400</v>
      </c>
      <c r="M97" s="3">
        <v>35.799999999999997</v>
      </c>
      <c r="N97" s="5">
        <f t="shared" si="8"/>
        <v>918.75</v>
      </c>
      <c r="O97" s="3">
        <v>836000</v>
      </c>
      <c r="P97" s="3">
        <v>27900</v>
      </c>
      <c r="Q97" s="3">
        <v>32900</v>
      </c>
      <c r="R97" s="5">
        <v>23.8</v>
      </c>
      <c r="T97" s="3">
        <v>1880000</v>
      </c>
      <c r="U97" s="4"/>
      <c r="V97" s="5">
        <f t="shared" si="9"/>
        <v>551.25</v>
      </c>
      <c r="W97" s="8"/>
      <c r="X97" s="9" t="str">
        <f t="shared" si="12"/>
        <v>a</v>
      </c>
      <c r="Y97" s="9" t="str">
        <f t="shared" si="12"/>
        <v>a</v>
      </c>
      <c r="Z97" s="31">
        <f t="shared" si="10"/>
        <v>24375</v>
      </c>
      <c r="AA97" s="31">
        <f t="shared" si="11"/>
        <v>16875</v>
      </c>
    </row>
    <row r="98" spans="1:27" ht="13">
      <c r="A98" s="9">
        <v>96</v>
      </c>
      <c r="B98" s="3" t="s">
        <v>1451</v>
      </c>
      <c r="C98" s="3"/>
      <c r="D98" s="5">
        <v>11.9</v>
      </c>
      <c r="E98" s="3">
        <v>100</v>
      </c>
      <c r="F98" s="3">
        <v>100</v>
      </c>
      <c r="G98" s="5">
        <v>4</v>
      </c>
      <c r="H98" s="5">
        <v>4</v>
      </c>
      <c r="I98" s="3">
        <v>1520</v>
      </c>
      <c r="J98" s="3">
        <v>2320000</v>
      </c>
      <c r="K98" s="3">
        <v>46400</v>
      </c>
      <c r="L98" s="3">
        <v>54400</v>
      </c>
      <c r="M98" s="3">
        <v>39.1</v>
      </c>
      <c r="N98" s="5">
        <f t="shared" si="8"/>
        <v>760</v>
      </c>
      <c r="O98" s="3">
        <v>2320000</v>
      </c>
      <c r="P98" s="3">
        <v>46400</v>
      </c>
      <c r="Q98" s="3">
        <v>54400</v>
      </c>
      <c r="R98" s="5">
        <v>39.1</v>
      </c>
      <c r="T98" s="3">
        <v>3610000</v>
      </c>
      <c r="U98" s="4"/>
      <c r="V98" s="5">
        <f t="shared" si="9"/>
        <v>760</v>
      </c>
      <c r="W98" s="8"/>
      <c r="X98" s="9" t="str">
        <f t="shared" si="12"/>
        <v>a</v>
      </c>
      <c r="Y98" s="9" t="str">
        <f t="shared" si="12"/>
        <v>a</v>
      </c>
      <c r="Z98" s="31">
        <f t="shared" si="10"/>
        <v>27664</v>
      </c>
      <c r="AA98" s="31">
        <f t="shared" si="11"/>
        <v>27664</v>
      </c>
    </row>
    <row r="99" spans="1:27" ht="13">
      <c r="A99" s="9">
        <v>97</v>
      </c>
      <c r="B99" s="3" t="s">
        <v>1452</v>
      </c>
      <c r="C99" s="3"/>
      <c r="D99" s="5">
        <v>13.3</v>
      </c>
      <c r="E99" s="3">
        <v>100</v>
      </c>
      <c r="F99" s="3">
        <v>50</v>
      </c>
      <c r="G99" s="5">
        <v>6.3</v>
      </c>
      <c r="H99" s="5">
        <v>6.3</v>
      </c>
      <c r="I99" s="3">
        <v>1690</v>
      </c>
      <c r="J99" s="3">
        <v>1970000</v>
      </c>
      <c r="K99" s="3">
        <v>39400</v>
      </c>
      <c r="L99" s="3">
        <v>51300</v>
      </c>
      <c r="M99" s="3">
        <v>34.200000000000003</v>
      </c>
      <c r="N99" s="5">
        <f t="shared" si="8"/>
        <v>1126.6666666666667</v>
      </c>
      <c r="O99" s="3">
        <v>630000</v>
      </c>
      <c r="P99" s="3">
        <v>25200</v>
      </c>
      <c r="Q99" s="3">
        <v>30800</v>
      </c>
      <c r="R99" s="5">
        <v>19.3</v>
      </c>
      <c r="T99" s="3">
        <v>1600000</v>
      </c>
      <c r="U99" s="4"/>
      <c r="V99" s="5">
        <f t="shared" si="9"/>
        <v>563.33333333333337</v>
      </c>
      <c r="W99" s="8"/>
      <c r="X99" s="9" t="str">
        <f t="shared" si="12"/>
        <v>a</v>
      </c>
      <c r="Y99" s="9" t="str">
        <f t="shared" si="12"/>
        <v>a</v>
      </c>
      <c r="Z99" s="31">
        <f t="shared" si="10"/>
        <v>26788.797000000002</v>
      </c>
      <c r="AA99" s="31">
        <f t="shared" si="11"/>
        <v>15968.547</v>
      </c>
    </row>
    <row r="100" spans="1:27" ht="13">
      <c r="A100" s="9">
        <v>98</v>
      </c>
      <c r="B100" s="3" t="s">
        <v>1453</v>
      </c>
      <c r="C100" s="3"/>
      <c r="D100" s="5">
        <v>14.2</v>
      </c>
      <c r="E100" s="3">
        <v>100</v>
      </c>
      <c r="F100" s="3">
        <v>60</v>
      </c>
      <c r="G100" s="5">
        <v>6.3</v>
      </c>
      <c r="H100" s="5">
        <v>6.3</v>
      </c>
      <c r="I100" s="3">
        <v>1810</v>
      </c>
      <c r="J100" s="3">
        <v>2250000</v>
      </c>
      <c r="K100" s="3">
        <v>45000</v>
      </c>
      <c r="L100" s="3">
        <v>57300</v>
      </c>
      <c r="M100" s="3">
        <v>35.200000000000003</v>
      </c>
      <c r="N100" s="5">
        <f t="shared" si="8"/>
        <v>1131.25</v>
      </c>
      <c r="O100" s="3">
        <v>981000</v>
      </c>
      <c r="P100" s="3">
        <v>32700</v>
      </c>
      <c r="Q100" s="3">
        <v>39500</v>
      </c>
      <c r="R100" s="5">
        <v>23.3</v>
      </c>
      <c r="T100" s="3">
        <v>2240000</v>
      </c>
      <c r="U100" s="4"/>
      <c r="V100" s="5">
        <f t="shared" si="9"/>
        <v>678.75</v>
      </c>
      <c r="W100" s="8"/>
      <c r="X100" s="9" t="str">
        <f t="shared" si="12"/>
        <v>a</v>
      </c>
      <c r="Y100" s="9" t="str">
        <f t="shared" si="12"/>
        <v>a</v>
      </c>
      <c r="Z100" s="31">
        <f t="shared" si="10"/>
        <v>29740.347000000002</v>
      </c>
      <c r="AA100" s="31">
        <f t="shared" si="11"/>
        <v>20454.147000000001</v>
      </c>
    </row>
    <row r="101" spans="1:27" ht="13">
      <c r="A101" s="9">
        <v>99</v>
      </c>
      <c r="B101" s="3" t="s">
        <v>1454</v>
      </c>
      <c r="C101" s="3"/>
      <c r="D101" s="5">
        <v>14.7</v>
      </c>
      <c r="E101" s="3">
        <v>100</v>
      </c>
      <c r="F101" s="3">
        <v>50</v>
      </c>
      <c r="G101" s="5">
        <v>7.1</v>
      </c>
      <c r="H101" s="5">
        <v>7.1</v>
      </c>
      <c r="I101" s="3">
        <v>1870</v>
      </c>
      <c r="J101" s="3">
        <v>2140000</v>
      </c>
      <c r="K101" s="3">
        <v>42700</v>
      </c>
      <c r="L101" s="3">
        <v>56300</v>
      </c>
      <c r="M101" s="3">
        <v>33.799999999999997</v>
      </c>
      <c r="N101" s="5">
        <f t="shared" si="8"/>
        <v>1246.6666666666667</v>
      </c>
      <c r="O101" s="3">
        <v>675000</v>
      </c>
      <c r="P101" s="3">
        <v>27000</v>
      </c>
      <c r="Q101" s="3">
        <v>33500</v>
      </c>
      <c r="R101" s="5">
        <v>19</v>
      </c>
      <c r="T101" s="3">
        <v>1730000</v>
      </c>
      <c r="U101" s="4"/>
      <c r="V101" s="5">
        <f t="shared" si="9"/>
        <v>623.33333333333337</v>
      </c>
      <c r="W101" s="8"/>
      <c r="X101" s="9" t="str">
        <f t="shared" si="12"/>
        <v>a</v>
      </c>
      <c r="Y101" s="9" t="str">
        <f t="shared" si="12"/>
        <v>a</v>
      </c>
      <c r="Z101" s="31">
        <f t="shared" si="10"/>
        <v>29556.661</v>
      </c>
      <c r="AA101" s="31">
        <f t="shared" si="11"/>
        <v>17504.411</v>
      </c>
    </row>
    <row r="102" spans="1:27" ht="13">
      <c r="A102" s="9">
        <v>100</v>
      </c>
      <c r="B102" s="3" t="s">
        <v>1455</v>
      </c>
      <c r="C102" s="3"/>
      <c r="D102" s="5">
        <v>14.7</v>
      </c>
      <c r="E102" s="3">
        <v>100</v>
      </c>
      <c r="F102" s="3">
        <v>100</v>
      </c>
      <c r="G102" s="5">
        <v>5</v>
      </c>
      <c r="H102" s="5">
        <v>5</v>
      </c>
      <c r="I102" s="3">
        <v>1870</v>
      </c>
      <c r="J102" s="3">
        <v>2790000</v>
      </c>
      <c r="K102" s="3">
        <v>55900</v>
      </c>
      <c r="L102" s="3">
        <v>66400</v>
      </c>
      <c r="M102" s="3">
        <v>38.6</v>
      </c>
      <c r="N102" s="5">
        <f t="shared" si="8"/>
        <v>935</v>
      </c>
      <c r="O102" s="3">
        <v>2790000</v>
      </c>
      <c r="P102" s="3">
        <v>55900</v>
      </c>
      <c r="Q102" s="3">
        <v>66400</v>
      </c>
      <c r="R102" s="5">
        <v>38.6</v>
      </c>
      <c r="T102" s="3">
        <v>4390000</v>
      </c>
      <c r="U102" s="4"/>
      <c r="V102" s="5">
        <f t="shared" si="9"/>
        <v>935</v>
      </c>
      <c r="W102" s="8"/>
      <c r="X102" s="9" t="str">
        <f t="shared" si="12"/>
        <v>a</v>
      </c>
      <c r="Y102" s="9" t="str">
        <f t="shared" si="12"/>
        <v>a</v>
      </c>
      <c r="Z102" s="31">
        <f t="shared" si="10"/>
        <v>33875</v>
      </c>
      <c r="AA102" s="31">
        <f t="shared" si="11"/>
        <v>33875</v>
      </c>
    </row>
    <row r="103" spans="1:27" ht="13">
      <c r="A103" s="9">
        <v>101</v>
      </c>
      <c r="B103" s="3" t="s">
        <v>1456</v>
      </c>
      <c r="C103" s="3"/>
      <c r="D103" s="5">
        <v>15.8</v>
      </c>
      <c r="E103" s="3">
        <v>100</v>
      </c>
      <c r="F103" s="3">
        <v>60</v>
      </c>
      <c r="G103" s="5">
        <v>7.1</v>
      </c>
      <c r="H103" s="5">
        <v>7.1</v>
      </c>
      <c r="I103" s="3">
        <v>2020</v>
      </c>
      <c r="J103" s="3">
        <v>2440000</v>
      </c>
      <c r="K103" s="3">
        <v>48800</v>
      </c>
      <c r="L103" s="3">
        <v>62900</v>
      </c>
      <c r="M103" s="3">
        <v>34.799999999999997</v>
      </c>
      <c r="N103" s="5">
        <f t="shared" si="8"/>
        <v>1262.5</v>
      </c>
      <c r="O103" s="3">
        <v>1060000</v>
      </c>
      <c r="P103" s="3">
        <v>35300</v>
      </c>
      <c r="Q103" s="3">
        <v>43200</v>
      </c>
      <c r="R103" s="5">
        <v>22.9</v>
      </c>
      <c r="T103" s="3">
        <v>2450000</v>
      </c>
      <c r="U103" s="4"/>
      <c r="V103" s="5">
        <f t="shared" si="9"/>
        <v>757.5</v>
      </c>
      <c r="W103" s="8"/>
      <c r="X103" s="9" t="str">
        <f t="shared" ref="X103:Y122" si="13">IF(fy=460,"a0","a")</f>
        <v>a</v>
      </c>
      <c r="Y103" s="9" t="str">
        <f t="shared" si="13"/>
        <v>a</v>
      </c>
      <c r="Z103" s="31">
        <f t="shared" si="10"/>
        <v>32854.610999999997</v>
      </c>
      <c r="AA103" s="31">
        <f t="shared" si="11"/>
        <v>22502.811000000002</v>
      </c>
    </row>
    <row r="104" spans="1:27" ht="13">
      <c r="A104" s="9">
        <v>102</v>
      </c>
      <c r="B104" s="3" t="s">
        <v>1457</v>
      </c>
      <c r="C104" s="3"/>
      <c r="D104" s="5">
        <v>16.3</v>
      </c>
      <c r="E104" s="3">
        <v>100</v>
      </c>
      <c r="F104" s="3">
        <v>50</v>
      </c>
      <c r="G104" s="5">
        <v>8</v>
      </c>
      <c r="H104" s="5">
        <v>8</v>
      </c>
      <c r="I104" s="3">
        <v>2080</v>
      </c>
      <c r="J104" s="3">
        <v>2300000</v>
      </c>
      <c r="K104" s="3">
        <v>46000</v>
      </c>
      <c r="L104" s="3">
        <v>61400</v>
      </c>
      <c r="M104" s="3">
        <v>33.299999999999997</v>
      </c>
      <c r="N104" s="5">
        <f t="shared" si="8"/>
        <v>1386.6666666666667</v>
      </c>
      <c r="O104" s="3">
        <v>717000</v>
      </c>
      <c r="P104" s="3">
        <v>28700</v>
      </c>
      <c r="Q104" s="3">
        <v>36300</v>
      </c>
      <c r="R104" s="5">
        <v>18.600000000000001</v>
      </c>
      <c r="T104" s="3">
        <v>1860000</v>
      </c>
      <c r="U104" s="4"/>
      <c r="V104" s="5">
        <f t="shared" si="9"/>
        <v>693.33333333333337</v>
      </c>
      <c r="W104" s="8"/>
      <c r="X104" s="9" t="str">
        <f t="shared" si="13"/>
        <v>a</v>
      </c>
      <c r="Y104" s="9" t="str">
        <f t="shared" si="13"/>
        <v>a</v>
      </c>
      <c r="Z104" s="31">
        <f t="shared" si="10"/>
        <v>32512</v>
      </c>
      <c r="AA104" s="31">
        <f t="shared" si="11"/>
        <v>19112</v>
      </c>
    </row>
    <row r="105" spans="1:27" ht="13">
      <c r="A105" s="9">
        <v>103</v>
      </c>
      <c r="B105" s="3" t="s">
        <v>1458</v>
      </c>
      <c r="C105" s="3"/>
      <c r="D105" s="5">
        <v>17.5</v>
      </c>
      <c r="E105" s="3">
        <v>100</v>
      </c>
      <c r="F105" s="3">
        <v>60</v>
      </c>
      <c r="G105" s="5">
        <v>8</v>
      </c>
      <c r="H105" s="5">
        <v>8</v>
      </c>
      <c r="I105" s="3">
        <v>2240</v>
      </c>
      <c r="J105" s="3">
        <v>2640000</v>
      </c>
      <c r="K105" s="3">
        <v>52800</v>
      </c>
      <c r="L105" s="3">
        <v>68700</v>
      </c>
      <c r="M105" s="3">
        <v>34.4</v>
      </c>
      <c r="N105" s="5">
        <f t="shared" si="8"/>
        <v>1400</v>
      </c>
      <c r="O105" s="3">
        <v>1130000</v>
      </c>
      <c r="P105" s="3">
        <v>37800</v>
      </c>
      <c r="Q105" s="3">
        <v>47100</v>
      </c>
      <c r="R105" s="5">
        <v>22.5</v>
      </c>
      <c r="T105" s="3">
        <v>2650000</v>
      </c>
      <c r="U105" s="4"/>
      <c r="V105" s="5">
        <f t="shared" si="9"/>
        <v>840</v>
      </c>
      <c r="W105" s="8"/>
      <c r="X105" s="9" t="str">
        <f t="shared" si="13"/>
        <v>a</v>
      </c>
      <c r="Y105" s="9" t="str">
        <f t="shared" si="13"/>
        <v>a</v>
      </c>
      <c r="Z105" s="31">
        <f t="shared" si="10"/>
        <v>36192</v>
      </c>
      <c r="AA105" s="31">
        <f t="shared" si="11"/>
        <v>24672</v>
      </c>
    </row>
    <row r="106" spans="1:27" ht="13">
      <c r="A106" s="9">
        <v>104</v>
      </c>
      <c r="B106" s="3" t="s">
        <v>1459</v>
      </c>
      <c r="C106" s="3"/>
      <c r="D106" s="5">
        <v>17.600000000000001</v>
      </c>
      <c r="E106" s="3">
        <v>100</v>
      </c>
      <c r="F106" s="3">
        <v>50</v>
      </c>
      <c r="G106" s="5">
        <v>8.8000000000000007</v>
      </c>
      <c r="H106" s="5">
        <v>8.8000000000000007</v>
      </c>
      <c r="I106" s="3">
        <v>2250</v>
      </c>
      <c r="J106" s="3">
        <v>2430000</v>
      </c>
      <c r="K106" s="3">
        <v>48500</v>
      </c>
      <c r="L106" s="3">
        <v>65600</v>
      </c>
      <c r="M106" s="3">
        <v>32.9</v>
      </c>
      <c r="N106" s="5">
        <f t="shared" si="8"/>
        <v>1500</v>
      </c>
      <c r="O106" s="3">
        <v>748000</v>
      </c>
      <c r="P106" s="3">
        <v>29900</v>
      </c>
      <c r="Q106" s="3">
        <v>38500</v>
      </c>
      <c r="R106" s="5">
        <v>18.2</v>
      </c>
      <c r="T106" s="3">
        <v>1970000</v>
      </c>
      <c r="U106" s="4"/>
      <c r="V106" s="5">
        <f t="shared" si="9"/>
        <v>750</v>
      </c>
      <c r="W106" s="8"/>
      <c r="X106" s="9" t="str">
        <f t="shared" si="13"/>
        <v>a</v>
      </c>
      <c r="Y106" s="9" t="str">
        <f t="shared" si="13"/>
        <v>a</v>
      </c>
      <c r="Z106" s="31">
        <f t="shared" si="10"/>
        <v>35001.472000000009</v>
      </c>
      <c r="AA106" s="31">
        <f t="shared" si="11"/>
        <v>20437.472000000005</v>
      </c>
    </row>
    <row r="107" spans="1:27" ht="13">
      <c r="A107" s="9">
        <v>105</v>
      </c>
      <c r="B107" s="3" t="s">
        <v>1460</v>
      </c>
      <c r="C107" s="3"/>
      <c r="D107" s="5">
        <v>18.2</v>
      </c>
      <c r="E107" s="3">
        <v>100</v>
      </c>
      <c r="F107" s="3">
        <v>100</v>
      </c>
      <c r="G107" s="5">
        <v>6.3</v>
      </c>
      <c r="H107" s="5">
        <v>6.3</v>
      </c>
      <c r="I107" s="3">
        <v>2320</v>
      </c>
      <c r="J107" s="3">
        <v>3360000</v>
      </c>
      <c r="K107" s="3">
        <v>67100</v>
      </c>
      <c r="L107" s="3">
        <v>80900</v>
      </c>
      <c r="M107" s="3">
        <v>38</v>
      </c>
      <c r="N107" s="5">
        <f t="shared" si="8"/>
        <v>1160</v>
      </c>
      <c r="O107" s="3">
        <v>3360000</v>
      </c>
      <c r="P107" s="3">
        <v>67100</v>
      </c>
      <c r="Q107" s="3">
        <v>80900</v>
      </c>
      <c r="R107" s="5">
        <v>38</v>
      </c>
      <c r="T107" s="3">
        <v>5340000</v>
      </c>
      <c r="U107" s="4"/>
      <c r="V107" s="5">
        <f t="shared" si="9"/>
        <v>1160</v>
      </c>
      <c r="W107" s="8"/>
      <c r="X107" s="9" t="str">
        <f t="shared" si="13"/>
        <v>a</v>
      </c>
      <c r="Y107" s="9" t="str">
        <f t="shared" si="13"/>
        <v>a</v>
      </c>
      <c r="Z107" s="31">
        <f t="shared" si="10"/>
        <v>41546.547000000006</v>
      </c>
      <c r="AA107" s="31">
        <f t="shared" si="11"/>
        <v>41546.547000000006</v>
      </c>
    </row>
    <row r="108" spans="1:27" ht="13">
      <c r="A108" s="9">
        <v>106</v>
      </c>
      <c r="B108" s="3" t="s">
        <v>1461</v>
      </c>
      <c r="C108" s="3"/>
      <c r="D108" s="5">
        <v>19</v>
      </c>
      <c r="E108" s="3">
        <v>100</v>
      </c>
      <c r="F108" s="3">
        <v>60</v>
      </c>
      <c r="G108" s="5">
        <v>8.8000000000000007</v>
      </c>
      <c r="H108" s="5">
        <v>8.8000000000000007</v>
      </c>
      <c r="I108" s="3">
        <v>2420</v>
      </c>
      <c r="J108" s="3">
        <v>2790000</v>
      </c>
      <c r="K108" s="3">
        <v>55900</v>
      </c>
      <c r="L108" s="3">
        <v>73600</v>
      </c>
      <c r="M108" s="3">
        <v>34</v>
      </c>
      <c r="N108" s="5">
        <f t="shared" si="8"/>
        <v>1512.5</v>
      </c>
      <c r="O108" s="3">
        <v>1190000</v>
      </c>
      <c r="P108" s="3">
        <v>39700</v>
      </c>
      <c r="Q108" s="3">
        <v>50200</v>
      </c>
      <c r="R108" s="5">
        <v>22.2</v>
      </c>
      <c r="T108" s="3">
        <v>2820000</v>
      </c>
      <c r="U108" s="4"/>
      <c r="V108" s="5">
        <f t="shared" si="9"/>
        <v>907.5</v>
      </c>
      <c r="W108" s="8"/>
      <c r="X108" s="9" t="str">
        <f t="shared" si="13"/>
        <v>a</v>
      </c>
      <c r="Y108" s="9" t="str">
        <f t="shared" si="13"/>
        <v>a</v>
      </c>
      <c r="Z108" s="31">
        <f t="shared" si="10"/>
        <v>39014.272000000004</v>
      </c>
      <c r="AA108" s="31">
        <f t="shared" si="11"/>
        <v>26483.072000000004</v>
      </c>
    </row>
    <row r="109" spans="1:27" ht="13">
      <c r="A109" s="9">
        <v>107</v>
      </c>
      <c r="B109" s="3" t="s">
        <v>1462</v>
      </c>
      <c r="C109" s="3"/>
      <c r="D109" s="5">
        <v>19.600000000000001</v>
      </c>
      <c r="E109" s="3">
        <v>100</v>
      </c>
      <c r="F109" s="3">
        <v>50</v>
      </c>
      <c r="G109" s="5">
        <v>10</v>
      </c>
      <c r="H109" s="5">
        <v>10</v>
      </c>
      <c r="I109" s="3">
        <v>2490</v>
      </c>
      <c r="J109" s="3">
        <v>2590000</v>
      </c>
      <c r="K109" s="3">
        <v>51800</v>
      </c>
      <c r="L109" s="3">
        <v>71200</v>
      </c>
      <c r="M109" s="3">
        <v>32.200000000000003</v>
      </c>
      <c r="N109" s="5">
        <f t="shared" si="8"/>
        <v>1660</v>
      </c>
      <c r="O109" s="3">
        <v>784000</v>
      </c>
      <c r="P109" s="3">
        <v>31400</v>
      </c>
      <c r="Q109" s="3">
        <v>41400</v>
      </c>
      <c r="R109" s="5">
        <v>17.7</v>
      </c>
      <c r="T109" s="3">
        <v>2090000</v>
      </c>
      <c r="U109" s="4"/>
      <c r="V109" s="5">
        <f t="shared" si="9"/>
        <v>830</v>
      </c>
      <c r="W109" s="8"/>
      <c r="X109" s="9" t="str">
        <f t="shared" si="13"/>
        <v>a</v>
      </c>
      <c r="Y109" s="9" t="str">
        <f t="shared" si="13"/>
        <v>a</v>
      </c>
      <c r="Z109" s="31">
        <f t="shared" si="10"/>
        <v>38500</v>
      </c>
      <c r="AA109" s="31">
        <f t="shared" si="11"/>
        <v>22250</v>
      </c>
    </row>
    <row r="110" spans="1:27" ht="13">
      <c r="A110" s="9">
        <v>108</v>
      </c>
      <c r="B110" s="3" t="s">
        <v>1463</v>
      </c>
      <c r="C110" s="3"/>
      <c r="D110" s="5">
        <v>20.3</v>
      </c>
      <c r="E110" s="3">
        <v>100</v>
      </c>
      <c r="F110" s="3">
        <v>100</v>
      </c>
      <c r="G110" s="5">
        <v>7.1</v>
      </c>
      <c r="H110" s="5">
        <v>7.1</v>
      </c>
      <c r="I110" s="3">
        <v>2580</v>
      </c>
      <c r="J110" s="3">
        <v>3670000</v>
      </c>
      <c r="K110" s="3">
        <v>73400</v>
      </c>
      <c r="L110" s="3">
        <v>89200</v>
      </c>
      <c r="M110" s="3">
        <v>37.700000000000003</v>
      </c>
      <c r="N110" s="5">
        <f t="shared" si="8"/>
        <v>1290</v>
      </c>
      <c r="O110" s="3">
        <v>3670000</v>
      </c>
      <c r="P110" s="3">
        <v>73400</v>
      </c>
      <c r="Q110" s="3">
        <v>89200</v>
      </c>
      <c r="R110" s="5">
        <v>37.700000000000003</v>
      </c>
      <c r="T110" s="3">
        <v>5890000</v>
      </c>
      <c r="U110" s="4"/>
      <c r="V110" s="5">
        <f t="shared" si="9"/>
        <v>1290</v>
      </c>
      <c r="W110" s="8"/>
      <c r="X110" s="9" t="str">
        <f t="shared" si="13"/>
        <v>a</v>
      </c>
      <c r="Y110" s="9" t="str">
        <f t="shared" si="13"/>
        <v>a</v>
      </c>
      <c r="Z110" s="31">
        <f t="shared" si="10"/>
        <v>46046.411</v>
      </c>
      <c r="AA110" s="31">
        <f t="shared" si="11"/>
        <v>46046.411</v>
      </c>
    </row>
    <row r="111" spans="1:27" ht="13">
      <c r="A111" s="9">
        <v>109</v>
      </c>
      <c r="B111" s="3" t="s">
        <v>1464</v>
      </c>
      <c r="C111" s="3"/>
      <c r="D111" s="5">
        <v>21.1</v>
      </c>
      <c r="E111" s="3">
        <v>100</v>
      </c>
      <c r="F111" s="3">
        <v>60</v>
      </c>
      <c r="G111" s="5">
        <v>10</v>
      </c>
      <c r="H111" s="5">
        <v>10</v>
      </c>
      <c r="I111" s="3">
        <v>2690</v>
      </c>
      <c r="J111" s="3">
        <v>2990000</v>
      </c>
      <c r="K111" s="3">
        <v>59900</v>
      </c>
      <c r="L111" s="3">
        <v>80200</v>
      </c>
      <c r="M111" s="3">
        <v>33.299999999999997</v>
      </c>
      <c r="N111" s="5">
        <f t="shared" si="8"/>
        <v>1681.25</v>
      </c>
      <c r="O111" s="3">
        <v>1260000</v>
      </c>
      <c r="P111" s="3">
        <v>42100</v>
      </c>
      <c r="Q111" s="3">
        <v>54400</v>
      </c>
      <c r="R111" s="5">
        <v>21.6</v>
      </c>
      <c r="T111" s="3">
        <v>3040000</v>
      </c>
      <c r="U111" s="4"/>
      <c r="V111" s="5">
        <f t="shared" si="9"/>
        <v>1008.75</v>
      </c>
      <c r="W111" s="8"/>
      <c r="X111" s="9" t="str">
        <f t="shared" si="13"/>
        <v>a</v>
      </c>
      <c r="Y111" s="9" t="str">
        <f t="shared" si="13"/>
        <v>a</v>
      </c>
      <c r="Z111" s="31">
        <f t="shared" si="10"/>
        <v>43000</v>
      </c>
      <c r="AA111" s="31">
        <f t="shared" si="11"/>
        <v>29000</v>
      </c>
    </row>
    <row r="112" spans="1:27" ht="13">
      <c r="A112" s="9">
        <v>110</v>
      </c>
      <c r="B112" s="3" t="s">
        <v>1465</v>
      </c>
      <c r="C112" s="3"/>
      <c r="D112" s="5">
        <v>22.6</v>
      </c>
      <c r="E112" s="3">
        <v>100</v>
      </c>
      <c r="F112" s="3">
        <v>100</v>
      </c>
      <c r="G112" s="5">
        <v>8</v>
      </c>
      <c r="H112" s="5">
        <v>8</v>
      </c>
      <c r="I112" s="3">
        <v>2880</v>
      </c>
      <c r="J112" s="3">
        <v>4000000</v>
      </c>
      <c r="K112" s="3">
        <v>79900</v>
      </c>
      <c r="L112" s="3">
        <v>98200</v>
      </c>
      <c r="M112" s="3">
        <v>37.299999999999997</v>
      </c>
      <c r="N112" s="5">
        <f t="shared" si="8"/>
        <v>1440</v>
      </c>
      <c r="O112" s="3">
        <v>4000000</v>
      </c>
      <c r="P112" s="3">
        <v>79900</v>
      </c>
      <c r="Q112" s="3">
        <v>98200</v>
      </c>
      <c r="R112" s="5">
        <v>37.299999999999997</v>
      </c>
      <c r="T112" s="3">
        <v>6460000</v>
      </c>
      <c r="U112" s="4"/>
      <c r="V112" s="5">
        <f t="shared" si="9"/>
        <v>1440</v>
      </c>
      <c r="W112" s="8"/>
      <c r="X112" s="9" t="str">
        <f t="shared" si="13"/>
        <v>a</v>
      </c>
      <c r="Y112" s="9" t="str">
        <f t="shared" si="13"/>
        <v>a</v>
      </c>
      <c r="Z112" s="31">
        <f t="shared" si="10"/>
        <v>50912</v>
      </c>
      <c r="AA112" s="31">
        <f t="shared" si="11"/>
        <v>50912</v>
      </c>
    </row>
    <row r="113" spans="1:27" ht="13">
      <c r="A113" s="9">
        <v>111</v>
      </c>
      <c r="B113" s="3" t="s">
        <v>1466</v>
      </c>
      <c r="C113" s="3"/>
      <c r="D113" s="5">
        <v>24.5</v>
      </c>
      <c r="E113" s="3">
        <v>100</v>
      </c>
      <c r="F113" s="3">
        <v>100</v>
      </c>
      <c r="G113" s="5">
        <v>8.8000000000000007</v>
      </c>
      <c r="H113" s="5">
        <v>8.8000000000000007</v>
      </c>
      <c r="I113" s="3">
        <v>3130</v>
      </c>
      <c r="J113" s="3">
        <v>4260000</v>
      </c>
      <c r="K113" s="3">
        <v>85200</v>
      </c>
      <c r="L113" s="3">
        <v>106000</v>
      </c>
      <c r="M113" s="3">
        <v>36.9</v>
      </c>
      <c r="N113" s="5">
        <f t="shared" si="8"/>
        <v>1565</v>
      </c>
      <c r="O113" s="3">
        <v>4260000</v>
      </c>
      <c r="P113" s="3">
        <v>85200</v>
      </c>
      <c r="Q113" s="3">
        <v>106000</v>
      </c>
      <c r="R113" s="5">
        <v>36.9</v>
      </c>
      <c r="T113" s="3">
        <v>6940000</v>
      </c>
      <c r="U113" s="4"/>
      <c r="V113" s="5">
        <f t="shared" si="9"/>
        <v>1565</v>
      </c>
      <c r="W113" s="8"/>
      <c r="X113" s="9" t="str">
        <f t="shared" si="13"/>
        <v>a</v>
      </c>
      <c r="Y113" s="9" t="str">
        <f t="shared" si="13"/>
        <v>a</v>
      </c>
      <c r="Z113" s="31">
        <f t="shared" si="10"/>
        <v>55065.472000000009</v>
      </c>
      <c r="AA113" s="31">
        <f t="shared" si="11"/>
        <v>55065.472000000009</v>
      </c>
    </row>
    <row r="114" spans="1:27" ht="13">
      <c r="A114" s="9">
        <v>112</v>
      </c>
      <c r="B114" s="3" t="s">
        <v>1467</v>
      </c>
      <c r="C114" s="3"/>
      <c r="D114" s="5">
        <v>25.2</v>
      </c>
      <c r="E114" s="3">
        <v>100</v>
      </c>
      <c r="F114" s="3">
        <v>60</v>
      </c>
      <c r="G114" s="5">
        <v>12.5</v>
      </c>
      <c r="H114" s="5">
        <v>12.5</v>
      </c>
      <c r="I114" s="3">
        <v>3210</v>
      </c>
      <c r="J114" s="3">
        <v>3290000</v>
      </c>
      <c r="K114" s="3">
        <v>65900</v>
      </c>
      <c r="L114" s="3">
        <v>91600</v>
      </c>
      <c r="M114" s="3">
        <v>32.1</v>
      </c>
      <c r="N114" s="5">
        <f t="shared" si="8"/>
        <v>2006.25</v>
      </c>
      <c r="O114" s="3">
        <v>1360000</v>
      </c>
      <c r="P114" s="3">
        <v>45200</v>
      </c>
      <c r="Q114" s="3">
        <v>61200</v>
      </c>
      <c r="R114" s="5">
        <v>20.6</v>
      </c>
      <c r="T114" s="3">
        <v>3360000</v>
      </c>
      <c r="U114" s="4"/>
      <c r="V114" s="5">
        <f t="shared" si="9"/>
        <v>1203.75</v>
      </c>
      <c r="W114" s="8"/>
      <c r="X114" s="9" t="str">
        <f t="shared" si="13"/>
        <v>a</v>
      </c>
      <c r="Y114" s="9" t="str">
        <f t="shared" si="13"/>
        <v>a</v>
      </c>
      <c r="Z114" s="31">
        <f t="shared" si="10"/>
        <v>50390.625</v>
      </c>
      <c r="AA114" s="31">
        <f t="shared" si="11"/>
        <v>33515.625</v>
      </c>
    </row>
    <row r="115" spans="1:27" ht="13">
      <c r="A115" s="9">
        <v>113</v>
      </c>
      <c r="B115" s="3" t="s">
        <v>1468</v>
      </c>
      <c r="C115" s="3"/>
      <c r="D115" s="5">
        <v>27.4</v>
      </c>
      <c r="E115" s="3">
        <v>100</v>
      </c>
      <c r="F115" s="3">
        <v>100</v>
      </c>
      <c r="G115" s="5">
        <v>10</v>
      </c>
      <c r="H115" s="5">
        <v>10</v>
      </c>
      <c r="I115" s="3">
        <v>3490</v>
      </c>
      <c r="J115" s="3">
        <v>4620000</v>
      </c>
      <c r="K115" s="3">
        <v>92400</v>
      </c>
      <c r="L115" s="3">
        <v>116000</v>
      </c>
      <c r="M115" s="3">
        <v>36.4</v>
      </c>
      <c r="N115" s="5">
        <f t="shared" si="8"/>
        <v>1745</v>
      </c>
      <c r="O115" s="3">
        <v>4620000</v>
      </c>
      <c r="P115" s="3">
        <v>92400</v>
      </c>
      <c r="Q115" s="3">
        <v>116000</v>
      </c>
      <c r="R115" s="5">
        <v>36.4</v>
      </c>
      <c r="T115" s="3">
        <v>7610000</v>
      </c>
      <c r="U115" s="4"/>
      <c r="V115" s="5">
        <f t="shared" si="9"/>
        <v>1745</v>
      </c>
      <c r="W115" s="8"/>
      <c r="X115" s="9" t="str">
        <f t="shared" si="13"/>
        <v>a</v>
      </c>
      <c r="Y115" s="9" t="str">
        <f t="shared" si="13"/>
        <v>a</v>
      </c>
      <c r="Z115" s="31">
        <f t="shared" si="10"/>
        <v>61000</v>
      </c>
      <c r="AA115" s="31">
        <f t="shared" si="11"/>
        <v>61000</v>
      </c>
    </row>
    <row r="116" spans="1:27" ht="13">
      <c r="A116" s="9">
        <v>114</v>
      </c>
      <c r="B116" s="3" t="s">
        <v>1469</v>
      </c>
      <c r="C116" s="3"/>
      <c r="D116" s="5">
        <v>33</v>
      </c>
      <c r="E116" s="3">
        <v>100</v>
      </c>
      <c r="F116" s="3">
        <v>100</v>
      </c>
      <c r="G116" s="5">
        <v>12.5</v>
      </c>
      <c r="H116" s="5">
        <v>12.5</v>
      </c>
      <c r="I116" s="3">
        <v>4210</v>
      </c>
      <c r="J116" s="3">
        <v>5220000</v>
      </c>
      <c r="K116" s="3">
        <v>104000</v>
      </c>
      <c r="L116" s="3">
        <v>135000</v>
      </c>
      <c r="M116" s="3">
        <v>35.200000000000003</v>
      </c>
      <c r="N116" s="5">
        <f t="shared" si="8"/>
        <v>2105</v>
      </c>
      <c r="O116" s="3">
        <v>5220000</v>
      </c>
      <c r="P116" s="3">
        <v>104000</v>
      </c>
      <c r="Q116" s="3">
        <v>135000</v>
      </c>
      <c r="R116" s="5">
        <v>35.200000000000003</v>
      </c>
      <c r="T116" s="3">
        <v>8790000</v>
      </c>
      <c r="U116" s="4"/>
      <c r="V116" s="5">
        <f t="shared" si="9"/>
        <v>2105</v>
      </c>
      <c r="W116" s="8"/>
      <c r="X116" s="9" t="str">
        <f t="shared" si="13"/>
        <v>a</v>
      </c>
      <c r="Y116" s="9" t="str">
        <f t="shared" si="13"/>
        <v>a</v>
      </c>
      <c r="Z116" s="31">
        <f t="shared" si="10"/>
        <v>72265.625</v>
      </c>
      <c r="AA116" s="31">
        <f t="shared" si="11"/>
        <v>72265.625</v>
      </c>
    </row>
    <row r="117" spans="1:27" ht="13">
      <c r="A117" s="9">
        <v>115</v>
      </c>
      <c r="B117" s="3" t="s">
        <v>1470</v>
      </c>
      <c r="C117" s="3"/>
      <c r="D117" s="5">
        <v>8.1199999999999992</v>
      </c>
      <c r="E117" s="3">
        <v>120</v>
      </c>
      <c r="F117" s="3">
        <v>60</v>
      </c>
      <c r="G117" s="5">
        <v>3</v>
      </c>
      <c r="H117" s="5">
        <v>3</v>
      </c>
      <c r="I117" s="3">
        <v>1030</v>
      </c>
      <c r="J117" s="3">
        <v>1940000</v>
      </c>
      <c r="K117" s="3">
        <v>32300</v>
      </c>
      <c r="L117" s="3">
        <v>40000</v>
      </c>
      <c r="M117" s="3">
        <v>43.3</v>
      </c>
      <c r="N117" s="5">
        <f t="shared" si="8"/>
        <v>686.66666666666663</v>
      </c>
      <c r="O117" s="3">
        <v>655000</v>
      </c>
      <c r="P117" s="3">
        <v>21800</v>
      </c>
      <c r="Q117" s="3">
        <v>24600</v>
      </c>
      <c r="R117" s="5">
        <v>25.2</v>
      </c>
      <c r="T117" s="3">
        <v>1560000</v>
      </c>
      <c r="U117" s="4"/>
      <c r="V117" s="5">
        <f t="shared" si="9"/>
        <v>343.33333333333331</v>
      </c>
      <c r="W117" s="8"/>
      <c r="X117" s="9" t="str">
        <f t="shared" si="13"/>
        <v>a</v>
      </c>
      <c r="Y117" s="9" t="str">
        <f t="shared" si="13"/>
        <v>a</v>
      </c>
      <c r="Z117" s="31">
        <f t="shared" si="10"/>
        <v>20277</v>
      </c>
      <c r="AA117" s="31">
        <f t="shared" si="11"/>
        <v>12447</v>
      </c>
    </row>
    <row r="118" spans="1:27" ht="13">
      <c r="A118" s="9">
        <v>116</v>
      </c>
      <c r="B118" s="3" t="s">
        <v>1471</v>
      </c>
      <c r="C118" s="3"/>
      <c r="D118" s="5">
        <v>8.64</v>
      </c>
      <c r="E118" s="3">
        <v>120</v>
      </c>
      <c r="F118" s="3">
        <v>60</v>
      </c>
      <c r="G118" s="5">
        <v>3.2</v>
      </c>
      <c r="H118" s="5">
        <v>3.2</v>
      </c>
      <c r="I118" s="3">
        <v>1100</v>
      </c>
      <c r="J118" s="3">
        <v>2050000</v>
      </c>
      <c r="K118" s="3">
        <v>34200</v>
      </c>
      <c r="L118" s="3">
        <v>42400</v>
      </c>
      <c r="M118" s="3">
        <v>43.2</v>
      </c>
      <c r="N118" s="5">
        <f t="shared" si="8"/>
        <v>733.33333333333337</v>
      </c>
      <c r="O118" s="3">
        <v>692000</v>
      </c>
      <c r="P118" s="3">
        <v>23100</v>
      </c>
      <c r="Q118" s="3">
        <v>26100</v>
      </c>
      <c r="R118" s="5">
        <v>25.1</v>
      </c>
      <c r="T118" s="3">
        <v>1650000</v>
      </c>
      <c r="U118" s="4"/>
      <c r="V118" s="5">
        <f t="shared" si="9"/>
        <v>366.66666666666669</v>
      </c>
      <c r="W118" s="8"/>
      <c r="X118" s="9" t="str">
        <f t="shared" si="13"/>
        <v>a</v>
      </c>
      <c r="Y118" s="9" t="str">
        <f t="shared" si="13"/>
        <v>a</v>
      </c>
      <c r="Z118" s="31">
        <f t="shared" si="10"/>
        <v>21536.768</v>
      </c>
      <c r="AA118" s="31">
        <f t="shared" si="11"/>
        <v>13203.967999999999</v>
      </c>
    </row>
    <row r="119" spans="1:27" ht="13">
      <c r="A119" s="9">
        <v>117</v>
      </c>
      <c r="B119" s="3" t="s">
        <v>1472</v>
      </c>
      <c r="C119" s="3"/>
      <c r="D119" s="5">
        <v>9.66</v>
      </c>
      <c r="E119" s="3">
        <v>120</v>
      </c>
      <c r="F119" s="3">
        <v>60</v>
      </c>
      <c r="G119" s="5">
        <v>3.6</v>
      </c>
      <c r="H119" s="5">
        <v>3.6</v>
      </c>
      <c r="I119" s="3">
        <v>1230</v>
      </c>
      <c r="J119" s="3">
        <v>2270000</v>
      </c>
      <c r="K119" s="3">
        <v>37900</v>
      </c>
      <c r="L119" s="3">
        <v>47200</v>
      </c>
      <c r="M119" s="3">
        <v>43</v>
      </c>
      <c r="N119" s="5">
        <f t="shared" si="8"/>
        <v>820</v>
      </c>
      <c r="O119" s="3">
        <v>763000</v>
      </c>
      <c r="P119" s="3">
        <v>25400</v>
      </c>
      <c r="Q119" s="3">
        <v>28900</v>
      </c>
      <c r="R119" s="5">
        <v>24.9</v>
      </c>
      <c r="T119" s="3">
        <v>1830000</v>
      </c>
      <c r="U119" s="4"/>
      <c r="V119" s="5">
        <f t="shared" si="9"/>
        <v>410</v>
      </c>
      <c r="W119" s="8"/>
      <c r="X119" s="9" t="str">
        <f t="shared" si="13"/>
        <v>a</v>
      </c>
      <c r="Y119" s="9" t="str">
        <f t="shared" si="13"/>
        <v>a</v>
      </c>
      <c r="Z119" s="31">
        <f t="shared" si="10"/>
        <v>24022.656000000003</v>
      </c>
      <c r="AA119" s="31">
        <f t="shared" si="11"/>
        <v>14691.455999999998</v>
      </c>
    </row>
    <row r="120" spans="1:27" ht="13">
      <c r="A120" s="9">
        <v>118</v>
      </c>
      <c r="B120" s="3" t="s">
        <v>1473</v>
      </c>
      <c r="C120" s="3"/>
      <c r="D120" s="5">
        <v>10.7</v>
      </c>
      <c r="E120" s="3">
        <v>120</v>
      </c>
      <c r="F120" s="3">
        <v>60</v>
      </c>
      <c r="G120" s="5">
        <v>4</v>
      </c>
      <c r="H120" s="5">
        <v>4</v>
      </c>
      <c r="I120" s="3">
        <v>1360</v>
      </c>
      <c r="J120" s="3">
        <v>2490000</v>
      </c>
      <c r="K120" s="3">
        <v>41500</v>
      </c>
      <c r="L120" s="3">
        <v>51900</v>
      </c>
      <c r="M120" s="3">
        <v>42.8</v>
      </c>
      <c r="N120" s="5">
        <f t="shared" si="8"/>
        <v>906.66666666666663</v>
      </c>
      <c r="O120" s="3">
        <v>831000</v>
      </c>
      <c r="P120" s="3">
        <v>27700</v>
      </c>
      <c r="Q120" s="3">
        <v>31700</v>
      </c>
      <c r="R120" s="5">
        <v>24.7</v>
      </c>
      <c r="T120" s="3">
        <v>2010000</v>
      </c>
      <c r="U120" s="4"/>
      <c r="V120" s="5">
        <f t="shared" si="9"/>
        <v>453.33333333333331</v>
      </c>
      <c r="W120" s="8"/>
      <c r="X120" s="9" t="str">
        <f t="shared" si="13"/>
        <v>a</v>
      </c>
      <c r="Y120" s="9" t="str">
        <f t="shared" si="13"/>
        <v>a</v>
      </c>
      <c r="Z120" s="31">
        <f t="shared" si="10"/>
        <v>26464</v>
      </c>
      <c r="AA120" s="31">
        <f t="shared" si="11"/>
        <v>16144</v>
      </c>
    </row>
    <row r="121" spans="1:27" ht="13">
      <c r="A121" s="9">
        <v>119</v>
      </c>
      <c r="B121" s="3" t="s">
        <v>1474</v>
      </c>
      <c r="C121" s="3"/>
      <c r="D121" s="5">
        <v>10.8</v>
      </c>
      <c r="E121" s="3">
        <v>120</v>
      </c>
      <c r="F121" s="3">
        <v>80</v>
      </c>
      <c r="G121" s="5">
        <v>3.6</v>
      </c>
      <c r="H121" s="5">
        <v>3.6</v>
      </c>
      <c r="I121" s="3">
        <v>1370</v>
      </c>
      <c r="J121" s="3">
        <v>2760000</v>
      </c>
      <c r="K121" s="3">
        <v>46000</v>
      </c>
      <c r="L121" s="3">
        <v>55600</v>
      </c>
      <c r="M121" s="3">
        <v>44.8</v>
      </c>
      <c r="N121" s="5">
        <f t="shared" si="8"/>
        <v>822</v>
      </c>
      <c r="O121" s="3">
        <v>1470000</v>
      </c>
      <c r="P121" s="3">
        <v>36700</v>
      </c>
      <c r="Q121" s="3">
        <v>42000</v>
      </c>
      <c r="R121" s="5">
        <v>32.700000000000003</v>
      </c>
      <c r="T121" s="3">
        <v>3010000</v>
      </c>
      <c r="U121" s="4"/>
      <c r="V121" s="5">
        <f t="shared" si="9"/>
        <v>548</v>
      </c>
      <c r="W121" s="8"/>
      <c r="X121" s="9" t="str">
        <f t="shared" si="13"/>
        <v>a</v>
      </c>
      <c r="Y121" s="9" t="str">
        <f t="shared" si="13"/>
        <v>a</v>
      </c>
      <c r="Z121" s="31">
        <f t="shared" si="10"/>
        <v>28213.056000000004</v>
      </c>
      <c r="AA121" s="31">
        <f t="shared" si="11"/>
        <v>21272.256000000001</v>
      </c>
    </row>
    <row r="122" spans="1:27" ht="13">
      <c r="A122" s="9">
        <v>120</v>
      </c>
      <c r="B122" s="3" t="s">
        <v>1475</v>
      </c>
      <c r="C122" s="3"/>
      <c r="D122" s="5">
        <v>11.9</v>
      </c>
      <c r="E122" s="3">
        <v>120</v>
      </c>
      <c r="F122" s="3">
        <v>80</v>
      </c>
      <c r="G122" s="5">
        <v>4</v>
      </c>
      <c r="H122" s="5">
        <v>4</v>
      </c>
      <c r="I122" s="3">
        <v>1520</v>
      </c>
      <c r="J122" s="3">
        <v>3030000</v>
      </c>
      <c r="K122" s="3">
        <v>50400</v>
      </c>
      <c r="L122" s="3">
        <v>61200</v>
      </c>
      <c r="M122" s="3">
        <v>44.6</v>
      </c>
      <c r="N122" s="5">
        <f t="shared" si="8"/>
        <v>912</v>
      </c>
      <c r="O122" s="3">
        <v>1610000</v>
      </c>
      <c r="P122" s="3">
        <v>40200</v>
      </c>
      <c r="Q122" s="3">
        <v>46100</v>
      </c>
      <c r="R122" s="5">
        <v>32.5</v>
      </c>
      <c r="T122" s="3">
        <v>3300000</v>
      </c>
      <c r="U122" s="4"/>
      <c r="V122" s="5">
        <f t="shared" si="9"/>
        <v>608</v>
      </c>
      <c r="W122" s="8"/>
      <c r="X122" s="9" t="str">
        <f t="shared" si="13"/>
        <v>a</v>
      </c>
      <c r="Y122" s="9" t="str">
        <f t="shared" si="13"/>
        <v>a</v>
      </c>
      <c r="Z122" s="31">
        <f t="shared" si="10"/>
        <v>31104</v>
      </c>
      <c r="AA122" s="31">
        <f t="shared" si="11"/>
        <v>23424</v>
      </c>
    </row>
    <row r="123" spans="1:27" ht="13">
      <c r="A123" s="9">
        <v>121</v>
      </c>
      <c r="B123" s="3" t="s">
        <v>1476</v>
      </c>
      <c r="C123" s="3"/>
      <c r="D123" s="5">
        <v>13.1</v>
      </c>
      <c r="E123" s="3">
        <v>120</v>
      </c>
      <c r="F123" s="3">
        <v>60</v>
      </c>
      <c r="G123" s="5">
        <v>5</v>
      </c>
      <c r="H123" s="5">
        <v>5</v>
      </c>
      <c r="I123" s="3">
        <v>1670</v>
      </c>
      <c r="J123" s="3">
        <v>2990000</v>
      </c>
      <c r="K123" s="3">
        <v>49900</v>
      </c>
      <c r="L123" s="3">
        <v>63100</v>
      </c>
      <c r="M123" s="3">
        <v>42.3</v>
      </c>
      <c r="N123" s="5">
        <f t="shared" si="8"/>
        <v>1113.3333333333333</v>
      </c>
      <c r="O123" s="3">
        <v>988000</v>
      </c>
      <c r="P123" s="3">
        <v>32900</v>
      </c>
      <c r="Q123" s="3">
        <v>38400</v>
      </c>
      <c r="R123" s="5">
        <v>24.3</v>
      </c>
      <c r="T123" s="3">
        <v>2420000</v>
      </c>
      <c r="U123" s="4"/>
      <c r="V123" s="5">
        <f t="shared" si="9"/>
        <v>556.66666666666663</v>
      </c>
      <c r="W123" s="8"/>
      <c r="X123" s="9" t="str">
        <f t="shared" ref="X123:Y142" si="14">IF(fy=460,"a0","a")</f>
        <v>a</v>
      </c>
      <c r="Y123" s="9" t="str">
        <f t="shared" si="14"/>
        <v>a</v>
      </c>
      <c r="Z123" s="31">
        <f t="shared" si="10"/>
        <v>32375</v>
      </c>
      <c r="AA123" s="31">
        <f t="shared" si="11"/>
        <v>19625</v>
      </c>
    </row>
    <row r="124" spans="1:27" ht="13">
      <c r="A124" s="9">
        <v>122</v>
      </c>
      <c r="B124" s="3" t="s">
        <v>1477</v>
      </c>
      <c r="C124" s="3"/>
      <c r="D124" s="5">
        <v>14.4</v>
      </c>
      <c r="E124" s="3">
        <v>120</v>
      </c>
      <c r="F124" s="3">
        <v>120</v>
      </c>
      <c r="G124" s="5">
        <v>4</v>
      </c>
      <c r="H124" s="5">
        <v>4</v>
      </c>
      <c r="I124" s="3">
        <v>1840</v>
      </c>
      <c r="J124" s="3">
        <v>4100000</v>
      </c>
      <c r="K124" s="3">
        <v>68400</v>
      </c>
      <c r="L124" s="3">
        <v>79700</v>
      </c>
      <c r="M124" s="3">
        <v>47.2</v>
      </c>
      <c r="N124" s="5">
        <f t="shared" si="8"/>
        <v>920</v>
      </c>
      <c r="O124" s="3">
        <v>4100000</v>
      </c>
      <c r="P124" s="3">
        <v>68400</v>
      </c>
      <c r="Q124" s="3">
        <v>79700</v>
      </c>
      <c r="R124" s="5">
        <v>47.2</v>
      </c>
      <c r="T124" s="3">
        <v>6350000</v>
      </c>
      <c r="U124" s="4"/>
      <c r="V124" s="5">
        <f t="shared" si="9"/>
        <v>920</v>
      </c>
      <c r="W124" s="8"/>
      <c r="X124" s="9" t="str">
        <f t="shared" si="14"/>
        <v>a</v>
      </c>
      <c r="Y124" s="9" t="str">
        <f t="shared" si="14"/>
        <v>a</v>
      </c>
      <c r="Z124" s="31">
        <f t="shared" si="10"/>
        <v>40384</v>
      </c>
      <c r="AA124" s="31">
        <f t="shared" si="11"/>
        <v>40384</v>
      </c>
    </row>
    <row r="125" spans="1:27" ht="13">
      <c r="A125" s="9">
        <v>123</v>
      </c>
      <c r="B125" s="3" t="s">
        <v>1478</v>
      </c>
      <c r="C125" s="3"/>
      <c r="D125" s="5">
        <v>14.7</v>
      </c>
      <c r="E125" s="3">
        <v>120</v>
      </c>
      <c r="F125" s="3">
        <v>80</v>
      </c>
      <c r="G125" s="5">
        <v>5</v>
      </c>
      <c r="H125" s="5">
        <v>5</v>
      </c>
      <c r="I125" s="3">
        <v>1870</v>
      </c>
      <c r="J125" s="3">
        <v>3650000</v>
      </c>
      <c r="K125" s="3">
        <v>60900</v>
      </c>
      <c r="L125" s="3">
        <v>74600</v>
      </c>
      <c r="M125" s="3">
        <v>44.2</v>
      </c>
      <c r="N125" s="5">
        <f t="shared" si="8"/>
        <v>1122</v>
      </c>
      <c r="O125" s="3">
        <v>1930000</v>
      </c>
      <c r="P125" s="3">
        <v>48200</v>
      </c>
      <c r="Q125" s="3">
        <v>56100</v>
      </c>
      <c r="R125" s="5">
        <v>32.1</v>
      </c>
      <c r="T125" s="3">
        <v>4010000</v>
      </c>
      <c r="U125" s="4"/>
      <c r="V125" s="5">
        <f t="shared" si="9"/>
        <v>748</v>
      </c>
      <c r="W125" s="8"/>
      <c r="X125" s="9" t="str">
        <f t="shared" si="14"/>
        <v>a</v>
      </c>
      <c r="Y125" s="9" t="str">
        <f t="shared" si="14"/>
        <v>a</v>
      </c>
      <c r="Z125" s="31">
        <f t="shared" si="10"/>
        <v>38125</v>
      </c>
      <c r="AA125" s="31">
        <f t="shared" si="11"/>
        <v>28625</v>
      </c>
    </row>
    <row r="126" spans="1:27" ht="13">
      <c r="A126" s="9">
        <v>124</v>
      </c>
      <c r="B126" s="3" t="s">
        <v>1479</v>
      </c>
      <c r="C126" s="3"/>
      <c r="D126" s="5">
        <v>16.2</v>
      </c>
      <c r="E126" s="3">
        <v>120</v>
      </c>
      <c r="F126" s="3">
        <v>60</v>
      </c>
      <c r="G126" s="5">
        <v>6.3</v>
      </c>
      <c r="H126" s="5">
        <v>6.3</v>
      </c>
      <c r="I126" s="3">
        <v>2070</v>
      </c>
      <c r="J126" s="3">
        <v>3580000</v>
      </c>
      <c r="K126" s="3">
        <v>59700</v>
      </c>
      <c r="L126" s="3">
        <v>76700</v>
      </c>
      <c r="M126" s="3">
        <v>41.6</v>
      </c>
      <c r="N126" s="5">
        <f t="shared" si="8"/>
        <v>1380</v>
      </c>
      <c r="O126" s="3">
        <v>1160000</v>
      </c>
      <c r="P126" s="3">
        <v>38800</v>
      </c>
      <c r="Q126" s="3">
        <v>46300</v>
      </c>
      <c r="R126" s="5">
        <v>23.7</v>
      </c>
      <c r="T126" s="3">
        <v>2900000</v>
      </c>
      <c r="U126" s="4"/>
      <c r="V126" s="5">
        <f t="shared" si="9"/>
        <v>690</v>
      </c>
      <c r="W126" s="8"/>
      <c r="X126" s="9" t="str">
        <f t="shared" si="14"/>
        <v>a</v>
      </c>
      <c r="Y126" s="9" t="str">
        <f t="shared" si="14"/>
        <v>a</v>
      </c>
      <c r="Z126" s="31">
        <f t="shared" si="10"/>
        <v>39656.547000000006</v>
      </c>
      <c r="AA126" s="31">
        <f t="shared" si="11"/>
        <v>23837.247000000003</v>
      </c>
    </row>
    <row r="127" spans="1:27" ht="13">
      <c r="A127" s="9">
        <v>125</v>
      </c>
      <c r="B127" s="3" t="s">
        <v>1480</v>
      </c>
      <c r="C127" s="3"/>
      <c r="D127" s="5">
        <v>17.8</v>
      </c>
      <c r="E127" s="3">
        <v>120</v>
      </c>
      <c r="F127" s="3">
        <v>120</v>
      </c>
      <c r="G127" s="5">
        <v>5</v>
      </c>
      <c r="H127" s="5">
        <v>5</v>
      </c>
      <c r="I127" s="3">
        <v>2270</v>
      </c>
      <c r="J127" s="3">
        <v>4980000</v>
      </c>
      <c r="K127" s="3">
        <v>83000</v>
      </c>
      <c r="L127" s="3">
        <v>97600</v>
      </c>
      <c r="M127" s="3">
        <v>46.8</v>
      </c>
      <c r="N127" s="5">
        <f t="shared" si="8"/>
        <v>1135</v>
      </c>
      <c r="O127" s="3">
        <v>4980000</v>
      </c>
      <c r="P127" s="3">
        <v>83000</v>
      </c>
      <c r="Q127" s="3">
        <v>97600</v>
      </c>
      <c r="R127" s="5">
        <v>46.8</v>
      </c>
      <c r="T127" s="3">
        <v>7770000</v>
      </c>
      <c r="U127" s="4"/>
      <c r="V127" s="5">
        <f t="shared" si="9"/>
        <v>1135</v>
      </c>
      <c r="W127" s="8"/>
      <c r="X127" s="9" t="str">
        <f t="shared" si="14"/>
        <v>a</v>
      </c>
      <c r="Y127" s="9" t="str">
        <f t="shared" si="14"/>
        <v>a</v>
      </c>
      <c r="Z127" s="31">
        <f t="shared" si="10"/>
        <v>49625</v>
      </c>
      <c r="AA127" s="31">
        <f t="shared" si="11"/>
        <v>49625</v>
      </c>
    </row>
    <row r="128" spans="1:27" ht="13">
      <c r="A128" s="9">
        <v>126</v>
      </c>
      <c r="B128" s="3" t="s">
        <v>1481</v>
      </c>
      <c r="C128" s="3"/>
      <c r="D128" s="5">
        <v>18.100000000000001</v>
      </c>
      <c r="E128" s="3">
        <v>120</v>
      </c>
      <c r="F128" s="3">
        <v>60</v>
      </c>
      <c r="G128" s="5">
        <v>7.1</v>
      </c>
      <c r="H128" s="5">
        <v>7.1</v>
      </c>
      <c r="I128" s="3">
        <v>2300</v>
      </c>
      <c r="J128" s="3">
        <v>3910000</v>
      </c>
      <c r="K128" s="3">
        <v>65200</v>
      </c>
      <c r="L128" s="3">
        <v>84400</v>
      </c>
      <c r="M128" s="3">
        <v>41.2</v>
      </c>
      <c r="N128" s="5">
        <f t="shared" si="8"/>
        <v>1533.3333333333333</v>
      </c>
      <c r="O128" s="3">
        <v>1260000</v>
      </c>
      <c r="P128" s="3">
        <v>41900</v>
      </c>
      <c r="Q128" s="3">
        <v>50800</v>
      </c>
      <c r="R128" s="5">
        <v>23.4</v>
      </c>
      <c r="T128" s="3">
        <v>3170000</v>
      </c>
      <c r="U128" s="4"/>
      <c r="V128" s="5">
        <f t="shared" si="9"/>
        <v>766.66666666666663</v>
      </c>
      <c r="W128" s="8"/>
      <c r="X128" s="9" t="str">
        <f t="shared" si="14"/>
        <v>a</v>
      </c>
      <c r="Y128" s="9" t="str">
        <f t="shared" si="14"/>
        <v>a</v>
      </c>
      <c r="Z128" s="31">
        <f t="shared" si="10"/>
        <v>43916.411</v>
      </c>
      <c r="AA128" s="31">
        <f t="shared" si="11"/>
        <v>26258.710999999996</v>
      </c>
    </row>
    <row r="129" spans="1:27" ht="13">
      <c r="A129" s="9">
        <v>127</v>
      </c>
      <c r="B129" s="3" t="s">
        <v>1482</v>
      </c>
      <c r="C129" s="3"/>
      <c r="D129" s="5">
        <v>18.2</v>
      </c>
      <c r="E129" s="3">
        <v>120</v>
      </c>
      <c r="F129" s="3">
        <v>80</v>
      </c>
      <c r="G129" s="5">
        <v>6.3</v>
      </c>
      <c r="H129" s="5">
        <v>6.3</v>
      </c>
      <c r="I129" s="3">
        <v>2320</v>
      </c>
      <c r="J129" s="3">
        <v>4400000</v>
      </c>
      <c r="K129" s="3">
        <v>73300</v>
      </c>
      <c r="L129" s="3">
        <v>91000</v>
      </c>
      <c r="M129" s="3">
        <v>43.6</v>
      </c>
      <c r="N129" s="5">
        <f t="shared" si="8"/>
        <v>1392</v>
      </c>
      <c r="O129" s="3">
        <v>2300000</v>
      </c>
      <c r="P129" s="3">
        <v>57600</v>
      </c>
      <c r="Q129" s="3">
        <v>68200</v>
      </c>
      <c r="R129" s="5">
        <v>31.5</v>
      </c>
      <c r="T129" s="3">
        <v>4870000</v>
      </c>
      <c r="U129" s="4"/>
      <c r="V129" s="5">
        <f t="shared" si="9"/>
        <v>928</v>
      </c>
      <c r="W129" s="8"/>
      <c r="X129" s="9" t="str">
        <f t="shared" si="14"/>
        <v>a</v>
      </c>
      <c r="Y129" s="9" t="str">
        <f t="shared" si="14"/>
        <v>a</v>
      </c>
      <c r="Z129" s="31">
        <f t="shared" si="10"/>
        <v>46819.647000000004</v>
      </c>
      <c r="AA129" s="31">
        <f t="shared" si="11"/>
        <v>35013.447</v>
      </c>
    </row>
    <row r="130" spans="1:27" ht="13">
      <c r="A130" s="9">
        <v>128</v>
      </c>
      <c r="B130" s="3" t="s">
        <v>1483</v>
      </c>
      <c r="C130" s="3"/>
      <c r="D130" s="5">
        <v>20.100000000000001</v>
      </c>
      <c r="E130" s="3">
        <v>120</v>
      </c>
      <c r="F130" s="3">
        <v>60</v>
      </c>
      <c r="G130" s="5">
        <v>8</v>
      </c>
      <c r="H130" s="5">
        <v>8</v>
      </c>
      <c r="I130" s="3">
        <v>2560</v>
      </c>
      <c r="J130" s="3">
        <v>4250000</v>
      </c>
      <c r="K130" s="3">
        <v>70800</v>
      </c>
      <c r="L130" s="3">
        <v>92700</v>
      </c>
      <c r="M130" s="3">
        <v>40.799999999999997</v>
      </c>
      <c r="N130" s="5">
        <f t="shared" si="8"/>
        <v>1706.6666666666667</v>
      </c>
      <c r="O130" s="3">
        <v>1350000</v>
      </c>
      <c r="P130" s="3">
        <v>45000</v>
      </c>
      <c r="Q130" s="3">
        <v>55400</v>
      </c>
      <c r="R130" s="5">
        <v>23</v>
      </c>
      <c r="T130" s="3">
        <v>3440000</v>
      </c>
      <c r="U130" s="4"/>
      <c r="V130" s="5">
        <f t="shared" si="9"/>
        <v>853.33333333333337</v>
      </c>
      <c r="W130" s="8"/>
      <c r="X130" s="9" t="str">
        <f t="shared" si="14"/>
        <v>a</v>
      </c>
      <c r="Y130" s="9" t="str">
        <f t="shared" si="14"/>
        <v>a</v>
      </c>
      <c r="Z130" s="31">
        <f t="shared" si="10"/>
        <v>48512</v>
      </c>
      <c r="AA130" s="31">
        <f t="shared" si="11"/>
        <v>28832</v>
      </c>
    </row>
    <row r="131" spans="1:27" ht="13">
      <c r="A131" s="9">
        <v>129</v>
      </c>
      <c r="B131" s="3" t="s">
        <v>1484</v>
      </c>
      <c r="C131" s="3"/>
      <c r="D131" s="5">
        <v>20.3</v>
      </c>
      <c r="E131" s="3">
        <v>120</v>
      </c>
      <c r="F131" s="3">
        <v>80</v>
      </c>
      <c r="G131" s="5">
        <v>7.1</v>
      </c>
      <c r="H131" s="5">
        <v>7.1</v>
      </c>
      <c r="I131" s="3">
        <v>2580</v>
      </c>
      <c r="J131" s="3">
        <v>4820000</v>
      </c>
      <c r="K131" s="3">
        <v>80300</v>
      </c>
      <c r="L131" s="3">
        <v>100000</v>
      </c>
      <c r="M131" s="3">
        <v>43.2</v>
      </c>
      <c r="N131" s="5">
        <f t="shared" ref="N131:N194" si="15">I131*E131/(F131+E131)</f>
        <v>1548</v>
      </c>
      <c r="O131" s="3">
        <v>2510000</v>
      </c>
      <c r="P131" s="3">
        <v>62800</v>
      </c>
      <c r="Q131" s="3">
        <v>75200</v>
      </c>
      <c r="R131" s="5">
        <v>31.2</v>
      </c>
      <c r="T131" s="3">
        <v>5350000</v>
      </c>
      <c r="U131" s="4"/>
      <c r="V131" s="5">
        <f t="shared" ref="V131:V194" si="16">I131*F131/(E131+F131)</f>
        <v>1032</v>
      </c>
      <c r="W131" s="8"/>
      <c r="X131" s="9" t="str">
        <f t="shared" si="14"/>
        <v>a</v>
      </c>
      <c r="Y131" s="9" t="str">
        <f t="shared" si="14"/>
        <v>a</v>
      </c>
      <c r="Z131" s="31">
        <f t="shared" ref="Z131:Z194" si="17">(H131*(0.5*E131-G131)^2)+(F131*G131)*(0.5*E131-0.5*G131)</f>
        <v>51932.311000000002</v>
      </c>
      <c r="AA131" s="31">
        <f t="shared" ref="AA131:AA194" si="18">(H131*(0.5*F131-G131)^2)+(E131*G131)*(0.5*F131-0.5*G131)</f>
        <v>38740.510999999999</v>
      </c>
    </row>
    <row r="132" spans="1:27" ht="13">
      <c r="A132" s="9">
        <v>130</v>
      </c>
      <c r="B132" s="3" t="s">
        <v>1485</v>
      </c>
      <c r="C132" s="3"/>
      <c r="D132" s="5">
        <v>21.8</v>
      </c>
      <c r="E132" s="3">
        <v>120</v>
      </c>
      <c r="F132" s="3">
        <v>60</v>
      </c>
      <c r="G132" s="5">
        <v>8.8000000000000007</v>
      </c>
      <c r="H132" s="5">
        <v>8.8000000000000007</v>
      </c>
      <c r="I132" s="3">
        <v>2780</v>
      </c>
      <c r="J132" s="3">
        <v>4520000</v>
      </c>
      <c r="K132" s="3">
        <v>75300</v>
      </c>
      <c r="L132" s="3">
        <v>99600</v>
      </c>
      <c r="M132" s="3">
        <v>40.4</v>
      </c>
      <c r="N132" s="5">
        <f t="shared" si="15"/>
        <v>1853.3333333333333</v>
      </c>
      <c r="O132" s="3">
        <v>1420000</v>
      </c>
      <c r="P132" s="3">
        <v>47500</v>
      </c>
      <c r="Q132" s="3">
        <v>59200</v>
      </c>
      <c r="R132" s="5">
        <v>22.7</v>
      </c>
      <c r="T132" s="3">
        <v>3660000</v>
      </c>
      <c r="U132" s="4"/>
      <c r="V132" s="5">
        <f t="shared" si="16"/>
        <v>926.66666666666663</v>
      </c>
      <c r="W132" s="8"/>
      <c r="X132" s="9" t="str">
        <f t="shared" si="14"/>
        <v>a</v>
      </c>
      <c r="Y132" s="9" t="str">
        <f t="shared" si="14"/>
        <v>a</v>
      </c>
      <c r="Z132" s="31">
        <f t="shared" si="17"/>
        <v>52425.472000000009</v>
      </c>
      <c r="AA132" s="31">
        <f t="shared" si="18"/>
        <v>30988.672000000002</v>
      </c>
    </row>
    <row r="133" spans="1:27" ht="13">
      <c r="A133" s="9">
        <v>131</v>
      </c>
      <c r="B133" s="3" t="s">
        <v>1486</v>
      </c>
      <c r="C133" s="3"/>
      <c r="D133" s="5">
        <v>22.2</v>
      </c>
      <c r="E133" s="3">
        <v>120</v>
      </c>
      <c r="F133" s="3">
        <v>120</v>
      </c>
      <c r="G133" s="5">
        <v>6.3</v>
      </c>
      <c r="H133" s="5">
        <v>6.3</v>
      </c>
      <c r="I133" s="3">
        <v>2820</v>
      </c>
      <c r="J133" s="3">
        <v>6030000</v>
      </c>
      <c r="K133" s="3">
        <v>100000</v>
      </c>
      <c r="L133" s="3">
        <v>120000</v>
      </c>
      <c r="M133" s="3">
        <v>46.2</v>
      </c>
      <c r="N133" s="5">
        <f t="shared" si="15"/>
        <v>1410</v>
      </c>
      <c r="O133" s="3">
        <v>6030000</v>
      </c>
      <c r="P133" s="3">
        <v>100000</v>
      </c>
      <c r="Q133" s="3">
        <v>120000</v>
      </c>
      <c r="R133" s="5">
        <v>46.2</v>
      </c>
      <c r="T133" s="3">
        <v>9500000</v>
      </c>
      <c r="U133" s="4"/>
      <c r="V133" s="5">
        <f t="shared" si="16"/>
        <v>1410</v>
      </c>
      <c r="W133" s="8"/>
      <c r="X133" s="9" t="str">
        <f t="shared" si="14"/>
        <v>a</v>
      </c>
      <c r="Y133" s="9" t="str">
        <f t="shared" si="14"/>
        <v>a</v>
      </c>
      <c r="Z133" s="31">
        <f t="shared" si="17"/>
        <v>61145.847000000002</v>
      </c>
      <c r="AA133" s="31">
        <f t="shared" si="18"/>
        <v>61145.847000000002</v>
      </c>
    </row>
    <row r="134" spans="1:27" ht="13">
      <c r="A134" s="9">
        <v>132</v>
      </c>
      <c r="B134" s="3" t="s">
        <v>1487</v>
      </c>
      <c r="C134" s="3"/>
      <c r="D134" s="5">
        <v>22.6</v>
      </c>
      <c r="E134" s="3">
        <v>120</v>
      </c>
      <c r="F134" s="3">
        <v>80</v>
      </c>
      <c r="G134" s="5">
        <v>8</v>
      </c>
      <c r="H134" s="5">
        <v>8</v>
      </c>
      <c r="I134" s="3">
        <v>2880</v>
      </c>
      <c r="J134" s="3">
        <v>5250000</v>
      </c>
      <c r="K134" s="3">
        <v>87500</v>
      </c>
      <c r="L134" s="3">
        <v>111000</v>
      </c>
      <c r="M134" s="3">
        <v>42.7</v>
      </c>
      <c r="N134" s="5">
        <f t="shared" si="15"/>
        <v>1728</v>
      </c>
      <c r="O134" s="3">
        <v>2730000</v>
      </c>
      <c r="P134" s="3">
        <v>68100</v>
      </c>
      <c r="Q134" s="3">
        <v>82600</v>
      </c>
      <c r="R134" s="5">
        <v>30.8</v>
      </c>
      <c r="T134" s="3">
        <v>5870000</v>
      </c>
      <c r="U134" s="4"/>
      <c r="V134" s="5">
        <f t="shared" si="16"/>
        <v>1152</v>
      </c>
      <c r="W134" s="8"/>
      <c r="X134" s="9" t="str">
        <f t="shared" si="14"/>
        <v>a</v>
      </c>
      <c r="Y134" s="9" t="str">
        <f t="shared" si="14"/>
        <v>a</v>
      </c>
      <c r="Z134" s="31">
        <f t="shared" si="17"/>
        <v>57472</v>
      </c>
      <c r="AA134" s="31">
        <f t="shared" si="18"/>
        <v>42752</v>
      </c>
    </row>
    <row r="135" spans="1:27" ht="13">
      <c r="A135" s="9">
        <v>133</v>
      </c>
      <c r="B135" s="3" t="s">
        <v>1488</v>
      </c>
      <c r="C135" s="3"/>
      <c r="D135" s="5">
        <v>24.3</v>
      </c>
      <c r="E135" s="3">
        <v>120</v>
      </c>
      <c r="F135" s="3">
        <v>60</v>
      </c>
      <c r="G135" s="5">
        <v>10</v>
      </c>
      <c r="H135" s="5">
        <v>10</v>
      </c>
      <c r="I135" s="3">
        <v>3090</v>
      </c>
      <c r="J135" s="3">
        <v>4880000</v>
      </c>
      <c r="K135" s="3">
        <v>81400</v>
      </c>
      <c r="L135" s="3">
        <v>109000</v>
      </c>
      <c r="M135" s="3">
        <v>39.700000000000003</v>
      </c>
      <c r="N135" s="5">
        <f t="shared" si="15"/>
        <v>2060</v>
      </c>
      <c r="O135" s="3">
        <v>1520000</v>
      </c>
      <c r="P135" s="3">
        <v>50500</v>
      </c>
      <c r="Q135" s="3">
        <v>64400</v>
      </c>
      <c r="R135" s="5">
        <v>22.1</v>
      </c>
      <c r="T135" s="3">
        <v>3960000</v>
      </c>
      <c r="U135" s="4"/>
      <c r="V135" s="5">
        <f t="shared" si="16"/>
        <v>1030</v>
      </c>
      <c r="W135" s="8"/>
      <c r="X135" s="9" t="str">
        <f t="shared" si="14"/>
        <v>a</v>
      </c>
      <c r="Y135" s="9" t="str">
        <f t="shared" si="14"/>
        <v>a</v>
      </c>
      <c r="Z135" s="31">
        <f t="shared" si="17"/>
        <v>58000</v>
      </c>
      <c r="AA135" s="31">
        <f t="shared" si="18"/>
        <v>34000</v>
      </c>
    </row>
    <row r="136" spans="1:27" ht="13">
      <c r="A136" s="9">
        <v>134</v>
      </c>
      <c r="B136" s="3" t="s">
        <v>1489</v>
      </c>
      <c r="C136" s="3"/>
      <c r="D136" s="5">
        <v>24.5</v>
      </c>
      <c r="E136" s="3">
        <v>120</v>
      </c>
      <c r="F136" s="3">
        <v>80</v>
      </c>
      <c r="G136" s="5">
        <v>8.8000000000000007</v>
      </c>
      <c r="H136" s="5">
        <v>8.8000000000000007</v>
      </c>
      <c r="I136" s="3">
        <v>3130</v>
      </c>
      <c r="J136" s="3">
        <v>5610000</v>
      </c>
      <c r="K136" s="3">
        <v>93500</v>
      </c>
      <c r="L136" s="3">
        <v>119000</v>
      </c>
      <c r="M136" s="3">
        <v>42.4</v>
      </c>
      <c r="N136" s="5">
        <f t="shared" si="15"/>
        <v>1878</v>
      </c>
      <c r="O136" s="3">
        <v>2900000</v>
      </c>
      <c r="P136" s="3">
        <v>72400</v>
      </c>
      <c r="Q136" s="3">
        <v>88700</v>
      </c>
      <c r="R136" s="5">
        <v>30.4</v>
      </c>
      <c r="T136" s="3">
        <v>6290000</v>
      </c>
      <c r="U136" s="4"/>
      <c r="V136" s="5">
        <f t="shared" si="16"/>
        <v>1252</v>
      </c>
      <c r="W136" s="8"/>
      <c r="X136" s="9" t="str">
        <f t="shared" si="14"/>
        <v>a</v>
      </c>
      <c r="Y136" s="9" t="str">
        <f t="shared" si="14"/>
        <v>a</v>
      </c>
      <c r="Z136" s="31">
        <f t="shared" si="17"/>
        <v>62211.072000000007</v>
      </c>
      <c r="AA136" s="31">
        <f t="shared" si="18"/>
        <v>46159.872000000003</v>
      </c>
    </row>
    <row r="137" spans="1:27" ht="13">
      <c r="A137" s="9">
        <v>135</v>
      </c>
      <c r="B137" s="3" t="s">
        <v>1490</v>
      </c>
      <c r="C137" s="3"/>
      <c r="D137" s="5">
        <v>24.7</v>
      </c>
      <c r="E137" s="3">
        <v>120</v>
      </c>
      <c r="F137" s="3">
        <v>120</v>
      </c>
      <c r="G137" s="5">
        <v>7.1</v>
      </c>
      <c r="H137" s="5">
        <v>7.1</v>
      </c>
      <c r="I137" s="3">
        <v>3150</v>
      </c>
      <c r="J137" s="3">
        <v>6630000</v>
      </c>
      <c r="K137" s="3">
        <v>110000</v>
      </c>
      <c r="L137" s="3">
        <v>133000</v>
      </c>
      <c r="M137" s="3">
        <v>45.9</v>
      </c>
      <c r="N137" s="5">
        <f t="shared" si="15"/>
        <v>1575</v>
      </c>
      <c r="O137" s="3">
        <v>6630000</v>
      </c>
      <c r="P137" s="3">
        <v>110000</v>
      </c>
      <c r="Q137" s="3">
        <v>133000</v>
      </c>
      <c r="R137" s="5">
        <v>45.9</v>
      </c>
      <c r="T137" s="3">
        <v>10510000</v>
      </c>
      <c r="U137" s="4"/>
      <c r="V137" s="5">
        <f t="shared" si="16"/>
        <v>1575</v>
      </c>
      <c r="W137" s="8"/>
      <c r="X137" s="9" t="str">
        <f t="shared" si="14"/>
        <v>a</v>
      </c>
      <c r="Y137" s="9" t="str">
        <f t="shared" si="14"/>
        <v>a</v>
      </c>
      <c r="Z137" s="31">
        <f t="shared" si="17"/>
        <v>67964.111000000004</v>
      </c>
      <c r="AA137" s="31">
        <f t="shared" si="18"/>
        <v>67964.111000000004</v>
      </c>
    </row>
    <row r="138" spans="1:27" ht="13">
      <c r="A138" s="9">
        <v>136</v>
      </c>
      <c r="B138" s="3" t="s">
        <v>1491</v>
      </c>
      <c r="C138" s="3"/>
      <c r="D138" s="5">
        <v>27.4</v>
      </c>
      <c r="E138" s="3">
        <v>120</v>
      </c>
      <c r="F138" s="3">
        <v>80</v>
      </c>
      <c r="G138" s="5">
        <v>10</v>
      </c>
      <c r="H138" s="5">
        <v>10</v>
      </c>
      <c r="I138" s="3">
        <v>3490</v>
      </c>
      <c r="J138" s="3">
        <v>6090000</v>
      </c>
      <c r="K138" s="3">
        <v>102000</v>
      </c>
      <c r="L138" s="3">
        <v>131000</v>
      </c>
      <c r="M138" s="3">
        <v>41.8</v>
      </c>
      <c r="N138" s="5">
        <f t="shared" si="15"/>
        <v>2094</v>
      </c>
      <c r="O138" s="3">
        <v>3130000</v>
      </c>
      <c r="P138" s="3">
        <v>78100</v>
      </c>
      <c r="Q138" s="3">
        <v>97300</v>
      </c>
      <c r="R138" s="5">
        <v>29.9</v>
      </c>
      <c r="T138" s="3">
        <v>6880000</v>
      </c>
      <c r="U138" s="4"/>
      <c r="V138" s="5">
        <f t="shared" si="16"/>
        <v>1396</v>
      </c>
      <c r="W138" s="8"/>
      <c r="X138" s="9" t="str">
        <f t="shared" si="14"/>
        <v>a</v>
      </c>
      <c r="Y138" s="9" t="str">
        <f t="shared" si="14"/>
        <v>a</v>
      </c>
      <c r="Z138" s="31">
        <f t="shared" si="17"/>
        <v>69000</v>
      </c>
      <c r="AA138" s="31">
        <f t="shared" si="18"/>
        <v>51000</v>
      </c>
    </row>
    <row r="139" spans="1:27" ht="13">
      <c r="A139" s="9">
        <v>137</v>
      </c>
      <c r="B139" s="3" t="s">
        <v>1492</v>
      </c>
      <c r="C139" s="3"/>
      <c r="D139" s="5">
        <v>27.6</v>
      </c>
      <c r="E139" s="3">
        <v>120</v>
      </c>
      <c r="F139" s="3">
        <v>120</v>
      </c>
      <c r="G139" s="5">
        <v>8</v>
      </c>
      <c r="H139" s="5">
        <v>8</v>
      </c>
      <c r="I139" s="3">
        <v>3520</v>
      </c>
      <c r="J139" s="3">
        <v>7260000</v>
      </c>
      <c r="K139" s="3">
        <v>121000</v>
      </c>
      <c r="L139" s="3">
        <v>146000</v>
      </c>
      <c r="M139" s="3">
        <v>45.5</v>
      </c>
      <c r="N139" s="5">
        <f t="shared" si="15"/>
        <v>1760</v>
      </c>
      <c r="O139" s="3">
        <v>7260000</v>
      </c>
      <c r="P139" s="3">
        <v>121000</v>
      </c>
      <c r="Q139" s="3">
        <v>146000</v>
      </c>
      <c r="R139" s="5">
        <v>45.5</v>
      </c>
      <c r="T139" s="3">
        <v>11600000</v>
      </c>
      <c r="U139" s="4"/>
      <c r="V139" s="5">
        <f t="shared" si="16"/>
        <v>1760</v>
      </c>
      <c r="W139" s="8"/>
      <c r="X139" s="9" t="str">
        <f t="shared" si="14"/>
        <v>a</v>
      </c>
      <c r="Y139" s="9" t="str">
        <f t="shared" si="14"/>
        <v>a</v>
      </c>
      <c r="Z139" s="31">
        <f t="shared" si="17"/>
        <v>75392</v>
      </c>
      <c r="AA139" s="31">
        <f t="shared" si="18"/>
        <v>75392</v>
      </c>
    </row>
    <row r="140" spans="1:27" ht="13">
      <c r="A140" s="9">
        <v>138</v>
      </c>
      <c r="B140" s="3" t="s">
        <v>1493</v>
      </c>
      <c r="C140" s="3"/>
      <c r="D140" s="5">
        <v>29.1</v>
      </c>
      <c r="E140" s="3">
        <v>120</v>
      </c>
      <c r="F140" s="3">
        <v>60</v>
      </c>
      <c r="G140" s="5">
        <v>12.5</v>
      </c>
      <c r="H140" s="5">
        <v>12.5</v>
      </c>
      <c r="I140" s="3">
        <v>3710</v>
      </c>
      <c r="J140" s="3">
        <v>5460000</v>
      </c>
      <c r="K140" s="3">
        <v>91100</v>
      </c>
      <c r="L140" s="3">
        <v>126000</v>
      </c>
      <c r="M140" s="3">
        <v>38.4</v>
      </c>
      <c r="N140" s="5">
        <f t="shared" si="15"/>
        <v>2473.3333333333335</v>
      </c>
      <c r="O140" s="3">
        <v>1650000</v>
      </c>
      <c r="P140" s="3">
        <v>54900</v>
      </c>
      <c r="Q140" s="3">
        <v>73100</v>
      </c>
      <c r="R140" s="5">
        <v>21.1</v>
      </c>
      <c r="T140" s="3">
        <v>4420000</v>
      </c>
      <c r="U140" s="4"/>
      <c r="V140" s="5">
        <f t="shared" si="16"/>
        <v>1236.6666666666667</v>
      </c>
      <c r="W140" s="8"/>
      <c r="X140" s="9" t="str">
        <f t="shared" si="14"/>
        <v>a</v>
      </c>
      <c r="Y140" s="9" t="str">
        <f t="shared" si="14"/>
        <v>a</v>
      </c>
      <c r="Z140" s="31">
        <f t="shared" si="17"/>
        <v>68515.625</v>
      </c>
      <c r="AA140" s="31">
        <f t="shared" si="18"/>
        <v>39453.125</v>
      </c>
    </row>
    <row r="141" spans="1:27" ht="13">
      <c r="A141" s="9">
        <v>139</v>
      </c>
      <c r="B141" s="3" t="s">
        <v>1494</v>
      </c>
      <c r="C141" s="3"/>
      <c r="D141" s="5">
        <v>30.1</v>
      </c>
      <c r="E141" s="3">
        <v>120</v>
      </c>
      <c r="F141" s="3">
        <v>120</v>
      </c>
      <c r="G141" s="5">
        <v>8.8000000000000007</v>
      </c>
      <c r="H141" s="5">
        <v>8.8000000000000007</v>
      </c>
      <c r="I141" s="3">
        <v>3830</v>
      </c>
      <c r="J141" s="3">
        <v>7790000</v>
      </c>
      <c r="K141" s="3">
        <v>130000</v>
      </c>
      <c r="L141" s="3">
        <v>158000</v>
      </c>
      <c r="M141" s="3">
        <v>45.1</v>
      </c>
      <c r="N141" s="5">
        <f t="shared" si="15"/>
        <v>1915</v>
      </c>
      <c r="O141" s="3">
        <v>7790000</v>
      </c>
      <c r="P141" s="3">
        <v>130000</v>
      </c>
      <c r="Q141" s="3">
        <v>158000</v>
      </c>
      <c r="R141" s="5">
        <v>45.1</v>
      </c>
      <c r="T141" s="3">
        <v>12520000</v>
      </c>
      <c r="U141" s="4"/>
      <c r="V141" s="5">
        <f t="shared" si="16"/>
        <v>1915</v>
      </c>
      <c r="W141" s="8"/>
      <c r="X141" s="9" t="str">
        <f t="shared" si="14"/>
        <v>a</v>
      </c>
      <c r="Y141" s="9" t="str">
        <f t="shared" si="14"/>
        <v>a</v>
      </c>
      <c r="Z141" s="31">
        <f t="shared" si="17"/>
        <v>81782.271999999997</v>
      </c>
      <c r="AA141" s="31">
        <f t="shared" si="18"/>
        <v>81782.271999999997</v>
      </c>
    </row>
    <row r="142" spans="1:27" ht="13">
      <c r="A142" s="9">
        <v>140</v>
      </c>
      <c r="B142" s="3" t="s">
        <v>1495</v>
      </c>
      <c r="C142" s="3"/>
      <c r="D142" s="5">
        <v>33</v>
      </c>
      <c r="E142" s="3">
        <v>120</v>
      </c>
      <c r="F142" s="3">
        <v>80</v>
      </c>
      <c r="G142" s="5">
        <v>12.5</v>
      </c>
      <c r="H142" s="5">
        <v>12.5</v>
      </c>
      <c r="I142" s="3">
        <v>4210</v>
      </c>
      <c r="J142" s="3">
        <v>6920000</v>
      </c>
      <c r="K142" s="3">
        <v>115000</v>
      </c>
      <c r="L142" s="3">
        <v>153000</v>
      </c>
      <c r="M142" s="3">
        <v>40.5</v>
      </c>
      <c r="N142" s="5">
        <f t="shared" si="15"/>
        <v>2526</v>
      </c>
      <c r="O142" s="3">
        <v>3490000</v>
      </c>
      <c r="P142" s="3">
        <v>87400</v>
      </c>
      <c r="Q142" s="3">
        <v>113000</v>
      </c>
      <c r="R142" s="5">
        <v>28.8</v>
      </c>
      <c r="T142" s="3">
        <v>7890000</v>
      </c>
      <c r="U142" s="4"/>
      <c r="V142" s="5">
        <f t="shared" si="16"/>
        <v>1684</v>
      </c>
      <c r="W142" s="8"/>
      <c r="X142" s="9" t="str">
        <f t="shared" si="14"/>
        <v>a</v>
      </c>
      <c r="Y142" s="9" t="str">
        <f t="shared" si="14"/>
        <v>a</v>
      </c>
      <c r="Z142" s="31">
        <f t="shared" si="17"/>
        <v>81953.125</v>
      </c>
      <c r="AA142" s="31">
        <f t="shared" si="18"/>
        <v>60078.125</v>
      </c>
    </row>
    <row r="143" spans="1:27" ht="13">
      <c r="A143" s="9">
        <v>141</v>
      </c>
      <c r="B143" s="3" t="s">
        <v>1496</v>
      </c>
      <c r="C143" s="3"/>
      <c r="D143" s="5">
        <v>33.700000000000003</v>
      </c>
      <c r="E143" s="3">
        <v>120</v>
      </c>
      <c r="F143" s="3">
        <v>120</v>
      </c>
      <c r="G143" s="5">
        <v>10</v>
      </c>
      <c r="H143" s="5">
        <v>10</v>
      </c>
      <c r="I143" s="3">
        <v>4290</v>
      </c>
      <c r="J143" s="3">
        <v>8520000</v>
      </c>
      <c r="K143" s="3">
        <v>142000</v>
      </c>
      <c r="L143" s="3">
        <v>175000</v>
      </c>
      <c r="M143" s="3">
        <v>44.6</v>
      </c>
      <c r="N143" s="5">
        <f t="shared" si="15"/>
        <v>2145</v>
      </c>
      <c r="O143" s="3">
        <v>8520000</v>
      </c>
      <c r="P143" s="3">
        <v>142000</v>
      </c>
      <c r="Q143" s="3">
        <v>175000</v>
      </c>
      <c r="R143" s="5">
        <v>44.6</v>
      </c>
      <c r="T143" s="3">
        <v>13820000</v>
      </c>
      <c r="U143" s="4"/>
      <c r="V143" s="5">
        <f t="shared" si="16"/>
        <v>2145</v>
      </c>
      <c r="W143" s="8"/>
      <c r="X143" s="9" t="str">
        <f t="shared" ref="X143:Y162" si="19">IF(fy=460,"a0","a")</f>
        <v>a</v>
      </c>
      <c r="Y143" s="9" t="str">
        <f t="shared" si="19"/>
        <v>a</v>
      </c>
      <c r="Z143" s="31">
        <f t="shared" si="17"/>
        <v>91000</v>
      </c>
      <c r="AA143" s="31">
        <f t="shared" si="18"/>
        <v>91000</v>
      </c>
    </row>
    <row r="144" spans="1:27" ht="13">
      <c r="A144" s="9">
        <v>142</v>
      </c>
      <c r="B144" s="3" t="s">
        <v>1497</v>
      </c>
      <c r="C144" s="3"/>
      <c r="D144" s="5">
        <v>40.9</v>
      </c>
      <c r="E144" s="3">
        <v>120</v>
      </c>
      <c r="F144" s="3">
        <v>120</v>
      </c>
      <c r="G144" s="5">
        <v>12.5</v>
      </c>
      <c r="H144" s="5">
        <v>12.5</v>
      </c>
      <c r="I144" s="3">
        <v>5210</v>
      </c>
      <c r="J144" s="3">
        <v>9820000</v>
      </c>
      <c r="K144" s="3">
        <v>164000</v>
      </c>
      <c r="L144" s="3">
        <v>207000</v>
      </c>
      <c r="M144" s="3">
        <v>43.4</v>
      </c>
      <c r="N144" s="5">
        <f t="shared" si="15"/>
        <v>2605</v>
      </c>
      <c r="O144" s="3">
        <v>9820000</v>
      </c>
      <c r="P144" s="3">
        <v>164000</v>
      </c>
      <c r="Q144" s="3">
        <v>207000</v>
      </c>
      <c r="R144" s="5">
        <v>43.4</v>
      </c>
      <c r="T144" s="3">
        <v>16230000</v>
      </c>
      <c r="U144" s="4"/>
      <c r="V144" s="5">
        <f t="shared" si="16"/>
        <v>2605</v>
      </c>
      <c r="W144" s="8"/>
      <c r="X144" s="9" t="str">
        <f t="shared" si="19"/>
        <v>a</v>
      </c>
      <c r="Y144" s="9" t="str">
        <f t="shared" si="19"/>
        <v>a</v>
      </c>
      <c r="Z144" s="31">
        <f t="shared" si="17"/>
        <v>108828.125</v>
      </c>
      <c r="AA144" s="31">
        <f t="shared" si="18"/>
        <v>108828.125</v>
      </c>
    </row>
    <row r="145" spans="1:27" ht="13">
      <c r="A145" s="9">
        <v>143</v>
      </c>
      <c r="B145" s="3" t="s">
        <v>1498</v>
      </c>
      <c r="C145" s="3"/>
      <c r="D145" s="5">
        <v>13.2</v>
      </c>
      <c r="E145" s="3">
        <v>140</v>
      </c>
      <c r="F145" s="3">
        <v>80</v>
      </c>
      <c r="G145" s="5">
        <v>4</v>
      </c>
      <c r="H145" s="5">
        <v>4</v>
      </c>
      <c r="I145" s="3">
        <v>1680</v>
      </c>
      <c r="J145" s="3">
        <v>4410000</v>
      </c>
      <c r="K145" s="3">
        <v>62900</v>
      </c>
      <c r="L145" s="3">
        <v>77100</v>
      </c>
      <c r="M145" s="3">
        <v>51.2</v>
      </c>
      <c r="N145" s="5">
        <f t="shared" si="15"/>
        <v>1069.090909090909</v>
      </c>
      <c r="O145" s="3">
        <v>1840000</v>
      </c>
      <c r="P145" s="3">
        <v>46000</v>
      </c>
      <c r="Q145" s="3">
        <v>52200</v>
      </c>
      <c r="R145" s="5">
        <v>33.1</v>
      </c>
      <c r="T145" s="3">
        <v>4110000</v>
      </c>
      <c r="U145" s="4"/>
      <c r="V145" s="5">
        <f t="shared" si="16"/>
        <v>610.90909090909088</v>
      </c>
      <c r="W145" s="8"/>
      <c r="X145" s="9" t="str">
        <f t="shared" si="19"/>
        <v>a</v>
      </c>
      <c r="Y145" s="9" t="str">
        <f t="shared" si="19"/>
        <v>a</v>
      </c>
      <c r="Z145" s="31">
        <f t="shared" si="17"/>
        <v>39184</v>
      </c>
      <c r="AA145" s="31">
        <f t="shared" si="18"/>
        <v>26464</v>
      </c>
    </row>
    <row r="146" spans="1:27" ht="13">
      <c r="A146" s="9">
        <v>144</v>
      </c>
      <c r="B146" s="3" t="s">
        <v>1499</v>
      </c>
      <c r="C146" s="3"/>
      <c r="D146" s="5">
        <v>16.3</v>
      </c>
      <c r="E146" s="3">
        <v>140</v>
      </c>
      <c r="F146" s="3">
        <v>80</v>
      </c>
      <c r="G146" s="5">
        <v>5</v>
      </c>
      <c r="H146" s="5">
        <v>5</v>
      </c>
      <c r="I146" s="3">
        <v>2070</v>
      </c>
      <c r="J146" s="3">
        <v>5340000</v>
      </c>
      <c r="K146" s="3">
        <v>76300</v>
      </c>
      <c r="L146" s="3">
        <v>94300</v>
      </c>
      <c r="M146" s="3">
        <v>50.8</v>
      </c>
      <c r="N146" s="5">
        <f t="shared" si="15"/>
        <v>1317.2727272727273</v>
      </c>
      <c r="O146" s="3">
        <v>2210000</v>
      </c>
      <c r="P146" s="3">
        <v>55300</v>
      </c>
      <c r="Q146" s="3">
        <v>63600</v>
      </c>
      <c r="R146" s="5">
        <v>32.700000000000003</v>
      </c>
      <c r="T146" s="3">
        <v>4990000</v>
      </c>
      <c r="U146" s="4"/>
      <c r="V146" s="5">
        <f t="shared" si="16"/>
        <v>752.72727272727275</v>
      </c>
      <c r="W146" s="8"/>
      <c r="X146" s="9" t="str">
        <f t="shared" si="19"/>
        <v>a</v>
      </c>
      <c r="Y146" s="9" t="str">
        <f t="shared" si="19"/>
        <v>a</v>
      </c>
      <c r="Z146" s="31">
        <f t="shared" si="17"/>
        <v>48125</v>
      </c>
      <c r="AA146" s="31">
        <f t="shared" si="18"/>
        <v>32375</v>
      </c>
    </row>
    <row r="147" spans="1:27" ht="13">
      <c r="A147" s="9">
        <v>145</v>
      </c>
      <c r="B147" s="3" t="s">
        <v>1500</v>
      </c>
      <c r="C147" s="3"/>
      <c r="D147" s="5">
        <v>20.2</v>
      </c>
      <c r="E147" s="3">
        <v>140</v>
      </c>
      <c r="F147" s="3">
        <v>80</v>
      </c>
      <c r="G147" s="5">
        <v>6.3</v>
      </c>
      <c r="H147" s="5">
        <v>6.3</v>
      </c>
      <c r="I147" s="3">
        <v>2570</v>
      </c>
      <c r="J147" s="3">
        <v>6460000</v>
      </c>
      <c r="K147" s="3">
        <v>92300</v>
      </c>
      <c r="L147" s="3">
        <v>115000</v>
      </c>
      <c r="M147" s="3">
        <v>50.1</v>
      </c>
      <c r="N147" s="5">
        <f t="shared" si="15"/>
        <v>1635.4545454545455</v>
      </c>
      <c r="O147" s="3">
        <v>2650000</v>
      </c>
      <c r="P147" s="3">
        <v>66200</v>
      </c>
      <c r="Q147" s="3">
        <v>77500</v>
      </c>
      <c r="R147" s="5">
        <v>32.1</v>
      </c>
      <c r="T147" s="3">
        <v>6070000</v>
      </c>
      <c r="U147" s="4"/>
      <c r="V147" s="5">
        <f t="shared" si="16"/>
        <v>934.5454545454545</v>
      </c>
      <c r="W147" s="8"/>
      <c r="X147" s="9" t="str">
        <f t="shared" si="19"/>
        <v>a</v>
      </c>
      <c r="Y147" s="9" t="str">
        <f t="shared" si="19"/>
        <v>a</v>
      </c>
      <c r="Z147" s="31">
        <f t="shared" si="17"/>
        <v>59255.846999999994</v>
      </c>
      <c r="AA147" s="31">
        <f t="shared" si="18"/>
        <v>39656.547000000006</v>
      </c>
    </row>
    <row r="148" spans="1:27" ht="13">
      <c r="A148" s="9">
        <v>146</v>
      </c>
      <c r="B148" s="3" t="s">
        <v>1501</v>
      </c>
      <c r="C148" s="3"/>
      <c r="D148" s="5">
        <v>21</v>
      </c>
      <c r="E148" s="3">
        <v>140</v>
      </c>
      <c r="F148" s="3">
        <v>140</v>
      </c>
      <c r="G148" s="5">
        <v>5</v>
      </c>
      <c r="H148" s="5">
        <v>5</v>
      </c>
      <c r="I148" s="3">
        <v>2670</v>
      </c>
      <c r="J148" s="3">
        <v>8070000</v>
      </c>
      <c r="K148" s="3">
        <v>115000</v>
      </c>
      <c r="L148" s="3">
        <v>135000</v>
      </c>
      <c r="M148" s="3">
        <v>55</v>
      </c>
      <c r="N148" s="5">
        <f t="shared" si="15"/>
        <v>1335</v>
      </c>
      <c r="O148" s="3">
        <v>8070000</v>
      </c>
      <c r="P148" s="3">
        <v>115000</v>
      </c>
      <c r="Q148" s="3">
        <v>135000</v>
      </c>
      <c r="R148" s="5">
        <v>55</v>
      </c>
      <c r="T148" s="3">
        <v>12530000</v>
      </c>
      <c r="U148" s="4"/>
      <c r="V148" s="5">
        <f t="shared" si="16"/>
        <v>1335</v>
      </c>
      <c r="W148" s="8"/>
      <c r="X148" s="9" t="str">
        <f t="shared" si="19"/>
        <v>a</v>
      </c>
      <c r="Y148" s="9" t="str">
        <f t="shared" si="19"/>
        <v>a</v>
      </c>
      <c r="Z148" s="31">
        <f t="shared" si="17"/>
        <v>68375</v>
      </c>
      <c r="AA148" s="31">
        <f t="shared" si="18"/>
        <v>68375</v>
      </c>
    </row>
    <row r="149" spans="1:27" ht="13">
      <c r="A149" s="9">
        <v>147</v>
      </c>
      <c r="B149" s="3" t="s">
        <v>1502</v>
      </c>
      <c r="C149" s="3"/>
      <c r="D149" s="5">
        <v>25.1</v>
      </c>
      <c r="E149" s="3">
        <v>140</v>
      </c>
      <c r="F149" s="3">
        <v>80</v>
      </c>
      <c r="G149" s="5">
        <v>8</v>
      </c>
      <c r="H149" s="5">
        <v>8</v>
      </c>
      <c r="I149" s="3">
        <v>3200</v>
      </c>
      <c r="J149" s="3">
        <v>7760000</v>
      </c>
      <c r="K149" s="3">
        <v>111000</v>
      </c>
      <c r="L149" s="3">
        <v>141000</v>
      </c>
      <c r="M149" s="3">
        <v>49.3</v>
      </c>
      <c r="N149" s="5">
        <f t="shared" si="15"/>
        <v>2036.3636363636363</v>
      </c>
      <c r="O149" s="3">
        <v>3140000</v>
      </c>
      <c r="P149" s="3">
        <v>78500</v>
      </c>
      <c r="Q149" s="3">
        <v>94100</v>
      </c>
      <c r="R149" s="5">
        <v>31.4</v>
      </c>
      <c r="T149" s="3">
        <v>7330000</v>
      </c>
      <c r="U149" s="4"/>
      <c r="V149" s="5">
        <f t="shared" si="16"/>
        <v>1163.6363636363637</v>
      </c>
      <c r="W149" s="8"/>
      <c r="X149" s="9" t="str">
        <f t="shared" si="19"/>
        <v>a</v>
      </c>
      <c r="Y149" s="9" t="str">
        <f t="shared" si="19"/>
        <v>a</v>
      </c>
      <c r="Z149" s="31">
        <f t="shared" si="17"/>
        <v>72992</v>
      </c>
      <c r="AA149" s="31">
        <f t="shared" si="18"/>
        <v>48512</v>
      </c>
    </row>
    <row r="150" spans="1:27" ht="13">
      <c r="A150" s="9">
        <v>148</v>
      </c>
      <c r="B150" s="3" t="s">
        <v>1503</v>
      </c>
      <c r="C150" s="3"/>
      <c r="D150" s="5">
        <v>26.1</v>
      </c>
      <c r="E150" s="3">
        <v>140</v>
      </c>
      <c r="F150" s="3">
        <v>140</v>
      </c>
      <c r="G150" s="5">
        <v>6.3</v>
      </c>
      <c r="H150" s="5">
        <v>6.3</v>
      </c>
      <c r="I150" s="3">
        <v>3330</v>
      </c>
      <c r="J150" s="3">
        <v>9840000</v>
      </c>
      <c r="K150" s="3">
        <v>141000</v>
      </c>
      <c r="L150" s="3">
        <v>166000</v>
      </c>
      <c r="M150" s="3">
        <v>54.4</v>
      </c>
      <c r="N150" s="5">
        <f t="shared" si="15"/>
        <v>1665</v>
      </c>
      <c r="O150" s="3">
        <v>9840000</v>
      </c>
      <c r="P150" s="3">
        <v>141000</v>
      </c>
      <c r="Q150" s="3">
        <v>166000</v>
      </c>
      <c r="R150" s="5">
        <v>54.4</v>
      </c>
      <c r="T150" s="3">
        <v>15400000</v>
      </c>
      <c r="U150" s="4"/>
      <c r="V150" s="5">
        <f t="shared" si="16"/>
        <v>1665</v>
      </c>
      <c r="W150" s="8"/>
      <c r="X150" s="9" t="str">
        <f t="shared" si="19"/>
        <v>a</v>
      </c>
      <c r="Y150" s="9" t="str">
        <f t="shared" si="19"/>
        <v>a</v>
      </c>
      <c r="Z150" s="31">
        <f t="shared" si="17"/>
        <v>84525.146999999997</v>
      </c>
      <c r="AA150" s="31">
        <f t="shared" si="18"/>
        <v>84525.146999999997</v>
      </c>
    </row>
    <row r="151" spans="1:27" ht="13">
      <c r="A151" s="9">
        <v>149</v>
      </c>
      <c r="B151" s="3" t="s">
        <v>1504</v>
      </c>
      <c r="C151" s="3"/>
      <c r="D151" s="5">
        <v>29.2</v>
      </c>
      <c r="E151" s="3">
        <v>140</v>
      </c>
      <c r="F151" s="3">
        <v>140</v>
      </c>
      <c r="G151" s="5">
        <v>7.1</v>
      </c>
      <c r="H151" s="5">
        <v>7.1</v>
      </c>
      <c r="I151" s="3">
        <v>3720</v>
      </c>
      <c r="J151" s="3">
        <v>10860000</v>
      </c>
      <c r="K151" s="3">
        <v>155000</v>
      </c>
      <c r="L151" s="3">
        <v>184000</v>
      </c>
      <c r="M151" s="3">
        <v>54</v>
      </c>
      <c r="N151" s="5">
        <f t="shared" si="15"/>
        <v>1860</v>
      </c>
      <c r="O151" s="3">
        <v>10860000</v>
      </c>
      <c r="P151" s="3">
        <v>155000</v>
      </c>
      <c r="Q151" s="3">
        <v>184000</v>
      </c>
      <c r="R151" s="5">
        <v>54</v>
      </c>
      <c r="T151" s="3">
        <v>17090000</v>
      </c>
      <c r="U151" s="4"/>
      <c r="V151" s="5">
        <f t="shared" si="16"/>
        <v>1860</v>
      </c>
      <c r="W151" s="8"/>
      <c r="X151" s="9" t="str">
        <f t="shared" si="19"/>
        <v>a</v>
      </c>
      <c r="Y151" s="9" t="str">
        <f t="shared" si="19"/>
        <v>a</v>
      </c>
      <c r="Z151" s="31">
        <f t="shared" si="17"/>
        <v>94141.811000000002</v>
      </c>
      <c r="AA151" s="31">
        <f t="shared" si="18"/>
        <v>94141.811000000002</v>
      </c>
    </row>
    <row r="152" spans="1:27" ht="13">
      <c r="A152" s="9">
        <v>150</v>
      </c>
      <c r="B152" s="3" t="s">
        <v>1505</v>
      </c>
      <c r="C152" s="3"/>
      <c r="D152" s="5">
        <v>30.6</v>
      </c>
      <c r="E152" s="3">
        <v>140</v>
      </c>
      <c r="F152" s="3">
        <v>80</v>
      </c>
      <c r="G152" s="5">
        <v>10</v>
      </c>
      <c r="H152" s="5">
        <v>10</v>
      </c>
      <c r="I152" s="3">
        <v>3890</v>
      </c>
      <c r="J152" s="3">
        <v>9080000</v>
      </c>
      <c r="K152" s="3">
        <v>130000</v>
      </c>
      <c r="L152" s="3">
        <v>168000</v>
      </c>
      <c r="M152" s="3">
        <v>48.3</v>
      </c>
      <c r="N152" s="5">
        <f t="shared" si="15"/>
        <v>2475.4545454545455</v>
      </c>
      <c r="O152" s="3">
        <v>3620000</v>
      </c>
      <c r="P152" s="3">
        <v>90500</v>
      </c>
      <c r="Q152" s="3">
        <v>111000</v>
      </c>
      <c r="R152" s="5">
        <v>30.5</v>
      </c>
      <c r="T152" s="3">
        <v>8620000</v>
      </c>
      <c r="U152" s="4"/>
      <c r="V152" s="5">
        <f t="shared" si="16"/>
        <v>1414.5454545454545</v>
      </c>
      <c r="W152" s="8"/>
      <c r="X152" s="9" t="str">
        <f t="shared" si="19"/>
        <v>a</v>
      </c>
      <c r="Y152" s="9" t="str">
        <f t="shared" si="19"/>
        <v>a</v>
      </c>
      <c r="Z152" s="31">
        <f t="shared" si="17"/>
        <v>88000</v>
      </c>
      <c r="AA152" s="31">
        <f t="shared" si="18"/>
        <v>58000</v>
      </c>
    </row>
    <row r="153" spans="1:27" ht="13">
      <c r="A153" s="9">
        <v>151</v>
      </c>
      <c r="B153" s="3" t="s">
        <v>1506</v>
      </c>
      <c r="C153" s="3"/>
      <c r="D153" s="5">
        <v>32.6</v>
      </c>
      <c r="E153" s="3">
        <v>140</v>
      </c>
      <c r="F153" s="3">
        <v>140</v>
      </c>
      <c r="G153" s="5">
        <v>8</v>
      </c>
      <c r="H153" s="5">
        <v>8</v>
      </c>
      <c r="I153" s="3">
        <v>4160</v>
      </c>
      <c r="J153" s="3">
        <v>11950000</v>
      </c>
      <c r="K153" s="3">
        <v>171000</v>
      </c>
      <c r="L153" s="3">
        <v>204000</v>
      </c>
      <c r="M153" s="3">
        <v>53.6</v>
      </c>
      <c r="N153" s="5">
        <f t="shared" si="15"/>
        <v>2080</v>
      </c>
      <c r="O153" s="3">
        <v>11950000</v>
      </c>
      <c r="P153" s="3">
        <v>171000</v>
      </c>
      <c r="Q153" s="3">
        <v>204000</v>
      </c>
      <c r="R153" s="5">
        <v>53.6</v>
      </c>
      <c r="T153" s="3">
        <v>18920000</v>
      </c>
      <c r="U153" s="4"/>
      <c r="V153" s="5">
        <f t="shared" si="16"/>
        <v>2080</v>
      </c>
      <c r="W153" s="8"/>
      <c r="X153" s="9" t="str">
        <f t="shared" si="19"/>
        <v>a</v>
      </c>
      <c r="Y153" s="9" t="str">
        <f t="shared" si="19"/>
        <v>a</v>
      </c>
      <c r="Z153" s="31">
        <f t="shared" si="17"/>
        <v>104672</v>
      </c>
      <c r="AA153" s="31">
        <f t="shared" si="18"/>
        <v>104672</v>
      </c>
    </row>
    <row r="154" spans="1:27" ht="13">
      <c r="A154" s="9">
        <v>152</v>
      </c>
      <c r="B154" s="3" t="s">
        <v>1507</v>
      </c>
      <c r="C154" s="3"/>
      <c r="D154" s="5">
        <v>35.6</v>
      </c>
      <c r="E154" s="3">
        <v>140</v>
      </c>
      <c r="F154" s="3">
        <v>140</v>
      </c>
      <c r="G154" s="5">
        <v>8.8000000000000007</v>
      </c>
      <c r="H154" s="5">
        <v>8.8000000000000007</v>
      </c>
      <c r="I154" s="3">
        <v>4540</v>
      </c>
      <c r="J154" s="3">
        <v>12870000</v>
      </c>
      <c r="K154" s="3">
        <v>184000</v>
      </c>
      <c r="L154" s="3">
        <v>221000</v>
      </c>
      <c r="M154" s="3">
        <v>53.3</v>
      </c>
      <c r="N154" s="5">
        <f t="shared" si="15"/>
        <v>2270</v>
      </c>
      <c r="O154" s="3">
        <v>12870000</v>
      </c>
      <c r="P154" s="3">
        <v>184000</v>
      </c>
      <c r="Q154" s="3">
        <v>221000</v>
      </c>
      <c r="R154" s="5">
        <v>53.3</v>
      </c>
      <c r="T154" s="3">
        <v>20480000</v>
      </c>
      <c r="U154" s="4"/>
      <c r="V154" s="5">
        <f t="shared" si="16"/>
        <v>2270</v>
      </c>
      <c r="W154" s="8"/>
      <c r="X154" s="9" t="str">
        <f t="shared" si="19"/>
        <v>a</v>
      </c>
      <c r="Y154" s="9" t="str">
        <f t="shared" si="19"/>
        <v>a</v>
      </c>
      <c r="Z154" s="31">
        <f t="shared" si="17"/>
        <v>113779.07200000001</v>
      </c>
      <c r="AA154" s="31">
        <f t="shared" si="18"/>
        <v>113779.07200000001</v>
      </c>
    </row>
    <row r="155" spans="1:27" ht="13">
      <c r="A155" s="9">
        <v>153</v>
      </c>
      <c r="B155" s="3" t="s">
        <v>1508</v>
      </c>
      <c r="C155" s="3"/>
      <c r="D155" s="5">
        <v>40</v>
      </c>
      <c r="E155" s="3">
        <v>140</v>
      </c>
      <c r="F155" s="3">
        <v>140</v>
      </c>
      <c r="G155" s="5">
        <v>10</v>
      </c>
      <c r="H155" s="5">
        <v>10</v>
      </c>
      <c r="I155" s="3">
        <v>5090</v>
      </c>
      <c r="J155" s="3">
        <v>14160000</v>
      </c>
      <c r="K155" s="3">
        <v>202000</v>
      </c>
      <c r="L155" s="3">
        <v>246000</v>
      </c>
      <c r="M155" s="3">
        <v>52.7</v>
      </c>
      <c r="N155" s="5">
        <f t="shared" si="15"/>
        <v>2545</v>
      </c>
      <c r="O155" s="3">
        <v>14160000</v>
      </c>
      <c r="P155" s="3">
        <v>202000</v>
      </c>
      <c r="Q155" s="3">
        <v>246000</v>
      </c>
      <c r="R155" s="5">
        <v>52.7</v>
      </c>
      <c r="T155" s="3">
        <v>22720000</v>
      </c>
      <c r="U155" s="4"/>
      <c r="V155" s="5">
        <f t="shared" si="16"/>
        <v>2545</v>
      </c>
      <c r="W155" s="8"/>
      <c r="X155" s="9" t="str">
        <f t="shared" si="19"/>
        <v>a</v>
      </c>
      <c r="Y155" s="9" t="str">
        <f t="shared" si="19"/>
        <v>a</v>
      </c>
      <c r="Z155" s="31">
        <f t="shared" si="17"/>
        <v>127000</v>
      </c>
      <c r="AA155" s="31">
        <f t="shared" si="18"/>
        <v>127000</v>
      </c>
    </row>
    <row r="156" spans="1:27" ht="13">
      <c r="A156" s="9">
        <v>154</v>
      </c>
      <c r="B156" s="3" t="s">
        <v>1509</v>
      </c>
      <c r="C156" s="3"/>
      <c r="D156" s="5">
        <v>48.7</v>
      </c>
      <c r="E156" s="3">
        <v>140</v>
      </c>
      <c r="F156" s="3">
        <v>140</v>
      </c>
      <c r="G156" s="5">
        <v>12.5</v>
      </c>
      <c r="H156" s="5">
        <v>12.5</v>
      </c>
      <c r="I156" s="3">
        <v>6210</v>
      </c>
      <c r="J156" s="3">
        <v>16530000</v>
      </c>
      <c r="K156" s="3">
        <v>236000</v>
      </c>
      <c r="L156" s="3">
        <v>293000</v>
      </c>
      <c r="M156" s="3">
        <v>51.6</v>
      </c>
      <c r="N156" s="5">
        <f t="shared" si="15"/>
        <v>3105</v>
      </c>
      <c r="O156" s="3">
        <v>16530000</v>
      </c>
      <c r="P156" s="3">
        <v>236000</v>
      </c>
      <c r="Q156" s="3">
        <v>293000</v>
      </c>
      <c r="R156" s="5">
        <v>51.6</v>
      </c>
      <c r="T156" s="3">
        <v>26960000</v>
      </c>
      <c r="U156" s="4"/>
      <c r="V156" s="5">
        <f t="shared" si="16"/>
        <v>3105</v>
      </c>
      <c r="W156" s="8"/>
      <c r="X156" s="9" t="str">
        <f t="shared" si="19"/>
        <v>a</v>
      </c>
      <c r="Y156" s="9" t="str">
        <f t="shared" si="19"/>
        <v>a</v>
      </c>
      <c r="Z156" s="31">
        <f t="shared" si="17"/>
        <v>152890.625</v>
      </c>
      <c r="AA156" s="31">
        <f t="shared" si="18"/>
        <v>152890.625</v>
      </c>
    </row>
    <row r="157" spans="1:27" ht="13">
      <c r="A157" s="9">
        <v>155</v>
      </c>
      <c r="B157" s="3" t="s">
        <v>1510</v>
      </c>
      <c r="C157" s="3"/>
      <c r="D157" s="5">
        <v>15.1</v>
      </c>
      <c r="E157" s="3">
        <v>150</v>
      </c>
      <c r="F157" s="3">
        <v>100</v>
      </c>
      <c r="G157" s="5">
        <v>4</v>
      </c>
      <c r="H157" s="5">
        <v>4</v>
      </c>
      <c r="I157" s="3">
        <v>1920</v>
      </c>
      <c r="J157" s="3">
        <v>6070000</v>
      </c>
      <c r="K157" s="3">
        <v>81000</v>
      </c>
      <c r="L157" s="3">
        <v>97400</v>
      </c>
      <c r="M157" s="3">
        <v>56.3</v>
      </c>
      <c r="N157" s="5">
        <f t="shared" si="15"/>
        <v>1152</v>
      </c>
      <c r="O157" s="3">
        <v>3240000</v>
      </c>
      <c r="P157" s="3">
        <v>64800</v>
      </c>
      <c r="Q157" s="3">
        <v>73600</v>
      </c>
      <c r="R157" s="5">
        <v>41.1</v>
      </c>
      <c r="T157" s="3">
        <v>6600000</v>
      </c>
      <c r="U157" s="4"/>
      <c r="V157" s="5">
        <f t="shared" si="16"/>
        <v>768</v>
      </c>
      <c r="W157" s="8"/>
      <c r="X157" s="9" t="str">
        <f t="shared" si="19"/>
        <v>a</v>
      </c>
      <c r="Y157" s="9" t="str">
        <f t="shared" si="19"/>
        <v>a</v>
      </c>
      <c r="Z157" s="31">
        <f t="shared" si="17"/>
        <v>49364</v>
      </c>
      <c r="AA157" s="31">
        <f t="shared" si="18"/>
        <v>37264</v>
      </c>
    </row>
    <row r="158" spans="1:27" ht="13">
      <c r="A158" s="9">
        <v>156</v>
      </c>
      <c r="B158" s="3" t="s">
        <v>1511</v>
      </c>
      <c r="C158" s="3"/>
      <c r="D158" s="5">
        <v>18.600000000000001</v>
      </c>
      <c r="E158" s="3">
        <v>150</v>
      </c>
      <c r="F158" s="3">
        <v>100</v>
      </c>
      <c r="G158" s="5">
        <v>5</v>
      </c>
      <c r="H158" s="5">
        <v>5</v>
      </c>
      <c r="I158" s="3">
        <v>2370</v>
      </c>
      <c r="J158" s="3">
        <v>7390000</v>
      </c>
      <c r="K158" s="3">
        <v>98500</v>
      </c>
      <c r="L158" s="3">
        <v>119000</v>
      </c>
      <c r="M158" s="3">
        <v>55.8</v>
      </c>
      <c r="N158" s="5">
        <f t="shared" si="15"/>
        <v>1422</v>
      </c>
      <c r="O158" s="3">
        <v>3920000</v>
      </c>
      <c r="P158" s="3">
        <v>78500</v>
      </c>
      <c r="Q158" s="3">
        <v>90100</v>
      </c>
      <c r="R158" s="5">
        <v>40.700000000000003</v>
      </c>
      <c r="T158" s="3">
        <v>8070000</v>
      </c>
      <c r="U158" s="4"/>
      <c r="V158" s="5">
        <f t="shared" si="16"/>
        <v>948</v>
      </c>
      <c r="W158" s="8"/>
      <c r="X158" s="9" t="str">
        <f t="shared" si="19"/>
        <v>a</v>
      </c>
      <c r="Y158" s="9" t="str">
        <f t="shared" si="19"/>
        <v>a</v>
      </c>
      <c r="Z158" s="31">
        <f t="shared" si="17"/>
        <v>60750</v>
      </c>
      <c r="AA158" s="31">
        <f t="shared" si="18"/>
        <v>45750</v>
      </c>
    </row>
    <row r="159" spans="1:27" ht="13">
      <c r="A159" s="9">
        <v>157</v>
      </c>
      <c r="B159" s="3" t="s">
        <v>1512</v>
      </c>
      <c r="C159" s="3"/>
      <c r="D159" s="5">
        <v>22.6</v>
      </c>
      <c r="E159" s="3">
        <v>150</v>
      </c>
      <c r="F159" s="3">
        <v>150</v>
      </c>
      <c r="G159" s="5">
        <v>5</v>
      </c>
      <c r="H159" s="5">
        <v>5</v>
      </c>
      <c r="I159" s="3">
        <v>2870</v>
      </c>
      <c r="J159" s="3">
        <v>10020000</v>
      </c>
      <c r="K159" s="3">
        <v>134000</v>
      </c>
      <c r="L159" s="3">
        <v>156000</v>
      </c>
      <c r="M159" s="3">
        <v>59</v>
      </c>
      <c r="N159" s="5">
        <f t="shared" si="15"/>
        <v>1435</v>
      </c>
      <c r="O159" s="3">
        <v>10020000</v>
      </c>
      <c r="P159" s="3">
        <v>134000</v>
      </c>
      <c r="Q159" s="3">
        <v>156000</v>
      </c>
      <c r="R159" s="5">
        <v>59</v>
      </c>
      <c r="T159" s="3">
        <v>15500000</v>
      </c>
      <c r="U159" s="4"/>
      <c r="V159" s="5">
        <f t="shared" si="16"/>
        <v>1435</v>
      </c>
      <c r="W159" s="8"/>
      <c r="X159" s="9" t="str">
        <f t="shared" si="19"/>
        <v>a</v>
      </c>
      <c r="Y159" s="9" t="str">
        <f t="shared" si="19"/>
        <v>a</v>
      </c>
      <c r="Z159" s="31">
        <f t="shared" si="17"/>
        <v>78875</v>
      </c>
      <c r="AA159" s="31">
        <f t="shared" si="18"/>
        <v>78875</v>
      </c>
    </row>
    <row r="160" spans="1:27" ht="13">
      <c r="A160" s="9">
        <v>158</v>
      </c>
      <c r="B160" s="3" t="s">
        <v>1513</v>
      </c>
      <c r="C160" s="3"/>
      <c r="D160" s="5">
        <v>23.1</v>
      </c>
      <c r="E160" s="3">
        <v>150</v>
      </c>
      <c r="F160" s="3">
        <v>100</v>
      </c>
      <c r="G160" s="5">
        <v>6.3</v>
      </c>
      <c r="H160" s="5">
        <v>6.3</v>
      </c>
      <c r="I160" s="3">
        <v>2950</v>
      </c>
      <c r="J160" s="3">
        <v>8980000</v>
      </c>
      <c r="K160" s="3">
        <v>120000</v>
      </c>
      <c r="L160" s="3">
        <v>147000</v>
      </c>
      <c r="M160" s="3">
        <v>55.2</v>
      </c>
      <c r="N160" s="5">
        <f t="shared" si="15"/>
        <v>1770</v>
      </c>
      <c r="O160" s="3">
        <v>4740000</v>
      </c>
      <c r="P160" s="3">
        <v>94800</v>
      </c>
      <c r="Q160" s="3">
        <v>110000</v>
      </c>
      <c r="R160" s="5">
        <v>40.1</v>
      </c>
      <c r="T160" s="3">
        <v>9860000</v>
      </c>
      <c r="U160" s="4"/>
      <c r="V160" s="5">
        <f t="shared" si="16"/>
        <v>1180</v>
      </c>
      <c r="W160" s="8"/>
      <c r="X160" s="9" t="str">
        <f t="shared" si="19"/>
        <v>a</v>
      </c>
      <c r="Y160" s="9" t="str">
        <f t="shared" si="19"/>
        <v>a</v>
      </c>
      <c r="Z160" s="31">
        <f t="shared" si="17"/>
        <v>74999.547000000006</v>
      </c>
      <c r="AA160" s="31">
        <f t="shared" si="18"/>
        <v>56304.297000000006</v>
      </c>
    </row>
    <row r="161" spans="1:27" ht="13">
      <c r="A161" s="9">
        <v>159</v>
      </c>
      <c r="B161" s="3" t="s">
        <v>1514</v>
      </c>
      <c r="C161" s="3"/>
      <c r="D161" s="5">
        <v>25.9</v>
      </c>
      <c r="E161" s="3">
        <v>150</v>
      </c>
      <c r="F161" s="3">
        <v>100</v>
      </c>
      <c r="G161" s="5">
        <v>7.1</v>
      </c>
      <c r="H161" s="5">
        <v>7.1</v>
      </c>
      <c r="I161" s="3">
        <v>3290</v>
      </c>
      <c r="J161" s="3">
        <v>9900000</v>
      </c>
      <c r="K161" s="3">
        <v>132000</v>
      </c>
      <c r="L161" s="3">
        <v>163000</v>
      </c>
      <c r="M161" s="3">
        <v>54.8</v>
      </c>
      <c r="N161" s="5">
        <f t="shared" si="15"/>
        <v>1974</v>
      </c>
      <c r="O161" s="3">
        <v>5200000</v>
      </c>
      <c r="P161" s="3">
        <v>104000</v>
      </c>
      <c r="Q161" s="3">
        <v>122000</v>
      </c>
      <c r="R161" s="5">
        <v>39.700000000000003</v>
      </c>
      <c r="T161" s="3">
        <v>10910000</v>
      </c>
      <c r="U161" s="4"/>
      <c r="V161" s="5">
        <f t="shared" si="16"/>
        <v>1316</v>
      </c>
      <c r="W161" s="8"/>
      <c r="X161" s="9" t="str">
        <f t="shared" si="19"/>
        <v>a</v>
      </c>
      <c r="Y161" s="9" t="str">
        <f t="shared" si="19"/>
        <v>a</v>
      </c>
      <c r="Z161" s="31">
        <f t="shared" si="17"/>
        <v>83463.411000000007</v>
      </c>
      <c r="AA161" s="31">
        <f t="shared" si="18"/>
        <v>62536.161</v>
      </c>
    </row>
    <row r="162" spans="1:27" ht="13">
      <c r="A162" s="9">
        <v>160</v>
      </c>
      <c r="B162" s="3" t="s">
        <v>1515</v>
      </c>
      <c r="C162" s="3"/>
      <c r="D162" s="5">
        <v>28.1</v>
      </c>
      <c r="E162" s="3">
        <v>150</v>
      </c>
      <c r="F162" s="3">
        <v>150</v>
      </c>
      <c r="G162" s="5">
        <v>6.3</v>
      </c>
      <c r="H162" s="5">
        <v>6.3</v>
      </c>
      <c r="I162" s="3">
        <v>3580</v>
      </c>
      <c r="J162" s="3">
        <v>12230000</v>
      </c>
      <c r="K162" s="3">
        <v>163000</v>
      </c>
      <c r="L162" s="3">
        <v>192000</v>
      </c>
      <c r="M162" s="3">
        <v>58.5</v>
      </c>
      <c r="N162" s="5">
        <f t="shared" si="15"/>
        <v>1790</v>
      </c>
      <c r="O162" s="3">
        <v>12230000</v>
      </c>
      <c r="P162" s="3">
        <v>163000</v>
      </c>
      <c r="Q162" s="3">
        <v>192000</v>
      </c>
      <c r="R162" s="5">
        <v>58.5</v>
      </c>
      <c r="T162" s="3">
        <v>19090000</v>
      </c>
      <c r="U162" s="4"/>
      <c r="V162" s="5">
        <f t="shared" si="16"/>
        <v>1790</v>
      </c>
      <c r="W162" s="8"/>
      <c r="X162" s="9" t="str">
        <f t="shared" si="19"/>
        <v>a</v>
      </c>
      <c r="Y162" s="9" t="str">
        <f t="shared" si="19"/>
        <v>a</v>
      </c>
      <c r="Z162" s="31">
        <f t="shared" si="17"/>
        <v>97632.297000000006</v>
      </c>
      <c r="AA162" s="31">
        <f t="shared" si="18"/>
        <v>97632.297000000006</v>
      </c>
    </row>
    <row r="163" spans="1:27" ht="13">
      <c r="A163" s="9">
        <v>161</v>
      </c>
      <c r="B163" s="3" t="s">
        <v>1516</v>
      </c>
      <c r="C163" s="3"/>
      <c r="D163" s="5">
        <v>28.9</v>
      </c>
      <c r="E163" s="3">
        <v>150</v>
      </c>
      <c r="F163" s="3">
        <v>100</v>
      </c>
      <c r="G163" s="5">
        <v>8</v>
      </c>
      <c r="H163" s="5">
        <v>8</v>
      </c>
      <c r="I163" s="3">
        <v>3680</v>
      </c>
      <c r="J163" s="3">
        <v>10870000</v>
      </c>
      <c r="K163" s="3">
        <v>145000</v>
      </c>
      <c r="L163" s="3">
        <v>180000</v>
      </c>
      <c r="M163" s="3">
        <v>54.4</v>
      </c>
      <c r="N163" s="5">
        <f t="shared" si="15"/>
        <v>2208</v>
      </c>
      <c r="O163" s="3">
        <v>5690000</v>
      </c>
      <c r="P163" s="3">
        <v>114000</v>
      </c>
      <c r="Q163" s="3">
        <v>135000</v>
      </c>
      <c r="R163" s="5">
        <v>39.4</v>
      </c>
      <c r="T163" s="3">
        <v>12030000</v>
      </c>
      <c r="U163" s="4"/>
      <c r="V163" s="5">
        <f t="shared" si="16"/>
        <v>1472</v>
      </c>
      <c r="W163" s="8"/>
      <c r="X163" s="9" t="str">
        <f t="shared" ref="X163:Y182" si="20">IF(fy=460,"a0","a")</f>
        <v>a</v>
      </c>
      <c r="Y163" s="9" t="str">
        <f t="shared" si="20"/>
        <v>a</v>
      </c>
      <c r="Z163" s="31">
        <f t="shared" si="17"/>
        <v>92712</v>
      </c>
      <c r="AA163" s="31">
        <f t="shared" si="18"/>
        <v>69312</v>
      </c>
    </row>
    <row r="164" spans="1:27" ht="13">
      <c r="A164" s="9">
        <v>162</v>
      </c>
      <c r="B164" s="3" t="s">
        <v>1517</v>
      </c>
      <c r="C164" s="3"/>
      <c r="D164" s="5">
        <v>31.4</v>
      </c>
      <c r="E164" s="3">
        <v>150</v>
      </c>
      <c r="F164" s="3">
        <v>150</v>
      </c>
      <c r="G164" s="5">
        <v>7.1</v>
      </c>
      <c r="H164" s="5">
        <v>7.1</v>
      </c>
      <c r="I164" s="3">
        <v>4000</v>
      </c>
      <c r="J164" s="3">
        <v>13520000</v>
      </c>
      <c r="K164" s="3">
        <v>180000</v>
      </c>
      <c r="L164" s="3">
        <v>213000</v>
      </c>
      <c r="M164" s="3">
        <v>58.1</v>
      </c>
      <c r="N164" s="5">
        <f t="shared" si="15"/>
        <v>2000</v>
      </c>
      <c r="O164" s="3">
        <v>13520000</v>
      </c>
      <c r="P164" s="3">
        <v>180000</v>
      </c>
      <c r="Q164" s="3">
        <v>213000</v>
      </c>
      <c r="R164" s="5">
        <v>58.1</v>
      </c>
      <c r="T164" s="3">
        <v>21210000</v>
      </c>
      <c r="U164" s="4"/>
      <c r="V164" s="5">
        <f t="shared" si="16"/>
        <v>2000</v>
      </c>
      <c r="W164" s="8"/>
      <c r="X164" s="9" t="str">
        <f t="shared" si="20"/>
        <v>a</v>
      </c>
      <c r="Y164" s="9" t="str">
        <f t="shared" si="20"/>
        <v>a</v>
      </c>
      <c r="Z164" s="31">
        <f t="shared" si="17"/>
        <v>108828.16100000001</v>
      </c>
      <c r="AA164" s="31">
        <f t="shared" si="18"/>
        <v>108828.16100000001</v>
      </c>
    </row>
    <row r="165" spans="1:27" ht="13">
      <c r="A165" s="9">
        <v>163</v>
      </c>
      <c r="B165" s="3" t="s">
        <v>1518</v>
      </c>
      <c r="C165" s="3"/>
      <c r="D165" s="5">
        <v>31.5</v>
      </c>
      <c r="E165" s="3">
        <v>150</v>
      </c>
      <c r="F165" s="3">
        <v>100</v>
      </c>
      <c r="G165" s="5">
        <v>8.8000000000000007</v>
      </c>
      <c r="H165" s="5">
        <v>8.8000000000000007</v>
      </c>
      <c r="I165" s="3">
        <v>4010</v>
      </c>
      <c r="J165" s="3">
        <v>11680000</v>
      </c>
      <c r="K165" s="3">
        <v>156000</v>
      </c>
      <c r="L165" s="3">
        <v>195000</v>
      </c>
      <c r="M165" s="3">
        <v>54</v>
      </c>
      <c r="N165" s="5">
        <f t="shared" si="15"/>
        <v>2406</v>
      </c>
      <c r="O165" s="3">
        <v>6100000</v>
      </c>
      <c r="P165" s="3">
        <v>122000</v>
      </c>
      <c r="Q165" s="3">
        <v>146000</v>
      </c>
      <c r="R165" s="5">
        <v>39</v>
      </c>
      <c r="T165" s="3">
        <v>12980000</v>
      </c>
      <c r="U165" s="4"/>
      <c r="V165" s="5">
        <f t="shared" si="16"/>
        <v>1604</v>
      </c>
      <c r="W165" s="8"/>
      <c r="X165" s="9" t="str">
        <f t="shared" si="20"/>
        <v>a</v>
      </c>
      <c r="Y165" s="9" t="str">
        <f t="shared" si="20"/>
        <v>a</v>
      </c>
      <c r="Z165" s="31">
        <f t="shared" si="17"/>
        <v>100693.47200000001</v>
      </c>
      <c r="AA165" s="31">
        <f t="shared" si="18"/>
        <v>75129.472000000009</v>
      </c>
    </row>
    <row r="166" spans="1:27" ht="13">
      <c r="A166" s="9">
        <v>164</v>
      </c>
      <c r="B166" s="3" t="s">
        <v>1519</v>
      </c>
      <c r="C166" s="3"/>
      <c r="D166" s="5">
        <v>35.1</v>
      </c>
      <c r="E166" s="3">
        <v>150</v>
      </c>
      <c r="F166" s="3">
        <v>150</v>
      </c>
      <c r="G166" s="5">
        <v>8</v>
      </c>
      <c r="H166" s="5">
        <v>8</v>
      </c>
      <c r="I166" s="3">
        <v>4480</v>
      </c>
      <c r="J166" s="3">
        <v>14910000</v>
      </c>
      <c r="K166" s="3">
        <v>199000</v>
      </c>
      <c r="L166" s="3">
        <v>237000</v>
      </c>
      <c r="M166" s="3">
        <v>57.7</v>
      </c>
      <c r="N166" s="5">
        <f t="shared" si="15"/>
        <v>2240</v>
      </c>
      <c r="O166" s="3">
        <v>14910000</v>
      </c>
      <c r="P166" s="3">
        <v>199000</v>
      </c>
      <c r="Q166" s="3">
        <v>237000</v>
      </c>
      <c r="R166" s="5">
        <v>57.7</v>
      </c>
      <c r="T166" s="3">
        <v>23510000</v>
      </c>
      <c r="U166" s="4"/>
      <c r="V166" s="5">
        <f t="shared" si="16"/>
        <v>2240</v>
      </c>
      <c r="W166" s="8"/>
      <c r="X166" s="9" t="str">
        <f t="shared" si="20"/>
        <v>a</v>
      </c>
      <c r="Y166" s="9" t="str">
        <f t="shared" si="20"/>
        <v>a</v>
      </c>
      <c r="Z166" s="31">
        <f t="shared" si="17"/>
        <v>121112</v>
      </c>
      <c r="AA166" s="31">
        <f t="shared" si="18"/>
        <v>121112</v>
      </c>
    </row>
    <row r="167" spans="1:27" ht="13">
      <c r="A167" s="9">
        <v>165</v>
      </c>
      <c r="B167" s="3" t="s">
        <v>1520</v>
      </c>
      <c r="C167" s="3"/>
      <c r="D167" s="5">
        <v>35.299999999999997</v>
      </c>
      <c r="E167" s="3">
        <v>150</v>
      </c>
      <c r="F167" s="3">
        <v>100</v>
      </c>
      <c r="G167" s="5">
        <v>10</v>
      </c>
      <c r="H167" s="5">
        <v>10</v>
      </c>
      <c r="I167" s="3">
        <v>4490</v>
      </c>
      <c r="J167" s="3">
        <v>12820000</v>
      </c>
      <c r="K167" s="3">
        <v>171000</v>
      </c>
      <c r="L167" s="3">
        <v>216000</v>
      </c>
      <c r="M167" s="3">
        <v>53.4</v>
      </c>
      <c r="N167" s="5">
        <f t="shared" si="15"/>
        <v>2694</v>
      </c>
      <c r="O167" s="3">
        <v>6650000</v>
      </c>
      <c r="P167" s="3">
        <v>133000</v>
      </c>
      <c r="Q167" s="3">
        <v>161000</v>
      </c>
      <c r="R167" s="5">
        <v>38.5</v>
      </c>
      <c r="T167" s="3">
        <v>14320000</v>
      </c>
      <c r="U167" s="4"/>
      <c r="V167" s="5">
        <f t="shared" si="16"/>
        <v>1796</v>
      </c>
      <c r="W167" s="8"/>
      <c r="X167" s="9" t="str">
        <f t="shared" si="20"/>
        <v>a</v>
      </c>
      <c r="Y167" s="9" t="str">
        <f t="shared" si="20"/>
        <v>a</v>
      </c>
      <c r="Z167" s="31">
        <f t="shared" si="17"/>
        <v>112250</v>
      </c>
      <c r="AA167" s="31">
        <f t="shared" si="18"/>
        <v>83500</v>
      </c>
    </row>
    <row r="168" spans="1:27" ht="13">
      <c r="A168" s="9">
        <v>166</v>
      </c>
      <c r="B168" s="3" t="s">
        <v>1521</v>
      </c>
      <c r="C168" s="3"/>
      <c r="D168" s="5">
        <v>38.4</v>
      </c>
      <c r="E168" s="3">
        <v>150</v>
      </c>
      <c r="F168" s="3">
        <v>150</v>
      </c>
      <c r="G168" s="5">
        <v>8.8000000000000007</v>
      </c>
      <c r="H168" s="5">
        <v>8.8000000000000007</v>
      </c>
      <c r="I168" s="3">
        <v>4890</v>
      </c>
      <c r="J168" s="3">
        <v>16080000</v>
      </c>
      <c r="K168" s="3">
        <v>214000</v>
      </c>
      <c r="L168" s="3">
        <v>257000</v>
      </c>
      <c r="M168" s="3">
        <v>57.4</v>
      </c>
      <c r="N168" s="5">
        <f t="shared" si="15"/>
        <v>2445</v>
      </c>
      <c r="O168" s="3">
        <v>16080000</v>
      </c>
      <c r="P168" s="3">
        <v>214000</v>
      </c>
      <c r="Q168" s="3">
        <v>257000</v>
      </c>
      <c r="R168" s="5">
        <v>57.4</v>
      </c>
      <c r="T168" s="3">
        <v>25490000</v>
      </c>
      <c r="U168" s="4"/>
      <c r="V168" s="5">
        <f t="shared" si="16"/>
        <v>2445</v>
      </c>
      <c r="W168" s="8"/>
      <c r="X168" s="9" t="str">
        <f t="shared" si="20"/>
        <v>a</v>
      </c>
      <c r="Y168" s="9" t="str">
        <f t="shared" si="20"/>
        <v>a</v>
      </c>
      <c r="Z168" s="31">
        <f t="shared" si="17"/>
        <v>131757.47200000001</v>
      </c>
      <c r="AA168" s="31">
        <f t="shared" si="18"/>
        <v>131757.47200000001</v>
      </c>
    </row>
    <row r="169" spans="1:27" ht="13">
      <c r="A169" s="9">
        <v>167</v>
      </c>
      <c r="B169" s="3" t="s">
        <v>1522</v>
      </c>
      <c r="C169" s="3"/>
      <c r="D169" s="5">
        <v>42.8</v>
      </c>
      <c r="E169" s="3">
        <v>150</v>
      </c>
      <c r="F169" s="3">
        <v>100</v>
      </c>
      <c r="G169" s="5">
        <v>12.5</v>
      </c>
      <c r="H169" s="5">
        <v>12.5</v>
      </c>
      <c r="I169" s="3">
        <v>5460</v>
      </c>
      <c r="J169" s="3">
        <v>14880000</v>
      </c>
      <c r="K169" s="3">
        <v>198000</v>
      </c>
      <c r="L169" s="3">
        <v>256000</v>
      </c>
      <c r="M169" s="3">
        <v>52.2</v>
      </c>
      <c r="N169" s="5">
        <f t="shared" si="15"/>
        <v>3276</v>
      </c>
      <c r="O169" s="3">
        <v>7630000</v>
      </c>
      <c r="P169" s="3">
        <v>152600</v>
      </c>
      <c r="Q169" s="3">
        <v>190000</v>
      </c>
      <c r="R169" s="5">
        <v>37.4</v>
      </c>
      <c r="T169" s="3">
        <v>16790000</v>
      </c>
      <c r="U169" s="4"/>
      <c r="V169" s="5">
        <f t="shared" si="16"/>
        <v>2184</v>
      </c>
      <c r="W169" s="8"/>
      <c r="X169" s="9" t="str">
        <f t="shared" si="20"/>
        <v>a</v>
      </c>
      <c r="Y169" s="9" t="str">
        <f t="shared" si="20"/>
        <v>a</v>
      </c>
      <c r="Z169" s="31">
        <f t="shared" si="17"/>
        <v>134765.625</v>
      </c>
      <c r="AA169" s="31">
        <f t="shared" si="18"/>
        <v>99609.375</v>
      </c>
    </row>
    <row r="170" spans="1:27" ht="13">
      <c r="A170" s="9">
        <v>168</v>
      </c>
      <c r="B170" s="3" t="s">
        <v>1523</v>
      </c>
      <c r="C170" s="3"/>
      <c r="D170" s="5">
        <v>43.1</v>
      </c>
      <c r="E170" s="3">
        <v>150</v>
      </c>
      <c r="F170" s="3">
        <v>150</v>
      </c>
      <c r="G170" s="5">
        <v>10</v>
      </c>
      <c r="H170" s="5">
        <v>10</v>
      </c>
      <c r="I170" s="3">
        <v>5490</v>
      </c>
      <c r="J170" s="3">
        <v>17730000</v>
      </c>
      <c r="K170" s="3">
        <v>236000</v>
      </c>
      <c r="L170" s="3">
        <v>286000</v>
      </c>
      <c r="M170" s="3">
        <v>56.8</v>
      </c>
      <c r="N170" s="5">
        <f t="shared" si="15"/>
        <v>2745</v>
      </c>
      <c r="O170" s="3">
        <v>17730000</v>
      </c>
      <c r="P170" s="3">
        <v>236000</v>
      </c>
      <c r="Q170" s="3">
        <v>286000</v>
      </c>
      <c r="R170" s="5">
        <v>56.8</v>
      </c>
      <c r="T170" s="3">
        <v>28320000</v>
      </c>
      <c r="U170" s="4"/>
      <c r="V170" s="5">
        <f t="shared" si="16"/>
        <v>2745</v>
      </c>
      <c r="W170" s="8"/>
      <c r="X170" s="9" t="str">
        <f t="shared" si="20"/>
        <v>a</v>
      </c>
      <c r="Y170" s="9" t="str">
        <f t="shared" si="20"/>
        <v>a</v>
      </c>
      <c r="Z170" s="31">
        <f t="shared" si="17"/>
        <v>147250</v>
      </c>
      <c r="AA170" s="31">
        <f t="shared" si="18"/>
        <v>147250</v>
      </c>
    </row>
    <row r="171" spans="1:27" ht="13">
      <c r="A171" s="9">
        <v>169</v>
      </c>
      <c r="B171" s="3" t="s">
        <v>1524</v>
      </c>
      <c r="C171" s="3"/>
      <c r="D171" s="5">
        <v>52.7</v>
      </c>
      <c r="E171" s="3">
        <v>150</v>
      </c>
      <c r="F171" s="3">
        <v>150</v>
      </c>
      <c r="G171" s="5">
        <v>12.5</v>
      </c>
      <c r="H171" s="5">
        <v>12.5</v>
      </c>
      <c r="I171" s="3">
        <v>6710</v>
      </c>
      <c r="J171" s="3">
        <v>20800000</v>
      </c>
      <c r="K171" s="3">
        <v>277000</v>
      </c>
      <c r="L171" s="3">
        <v>342000</v>
      </c>
      <c r="M171" s="3">
        <v>55.7</v>
      </c>
      <c r="N171" s="5">
        <f t="shared" si="15"/>
        <v>3355</v>
      </c>
      <c r="O171" s="3">
        <v>20800000</v>
      </c>
      <c r="P171" s="3">
        <v>277000</v>
      </c>
      <c r="Q171" s="3">
        <v>342000</v>
      </c>
      <c r="R171" s="5">
        <v>55.7</v>
      </c>
      <c r="T171" s="3">
        <v>33750000</v>
      </c>
      <c r="U171" s="4"/>
      <c r="V171" s="5">
        <f t="shared" si="16"/>
        <v>3355</v>
      </c>
      <c r="W171" s="8"/>
      <c r="X171" s="9" t="str">
        <f t="shared" si="20"/>
        <v>a</v>
      </c>
      <c r="Y171" s="9" t="str">
        <f t="shared" si="20"/>
        <v>a</v>
      </c>
      <c r="Z171" s="31">
        <f t="shared" si="17"/>
        <v>177734.375</v>
      </c>
      <c r="AA171" s="31">
        <f t="shared" si="18"/>
        <v>177734.375</v>
      </c>
    </row>
    <row r="172" spans="1:27" ht="13">
      <c r="A172" s="9">
        <v>170</v>
      </c>
      <c r="B172" s="3" t="s">
        <v>1525</v>
      </c>
      <c r="C172" s="3"/>
      <c r="D172" s="5">
        <v>58.9</v>
      </c>
      <c r="E172" s="3">
        <v>150</v>
      </c>
      <c r="F172" s="3">
        <v>150</v>
      </c>
      <c r="G172" s="5">
        <v>14.2</v>
      </c>
      <c r="H172" s="5">
        <v>14.2</v>
      </c>
      <c r="I172" s="3">
        <v>7500</v>
      </c>
      <c r="J172" s="3">
        <v>22620000</v>
      </c>
      <c r="K172" s="3">
        <v>302000</v>
      </c>
      <c r="L172" s="3">
        <v>377000</v>
      </c>
      <c r="M172" s="3">
        <v>54.9</v>
      </c>
      <c r="N172" s="5">
        <f t="shared" si="15"/>
        <v>3750</v>
      </c>
      <c r="O172" s="3">
        <v>22620000</v>
      </c>
      <c r="P172" s="3">
        <v>302000</v>
      </c>
      <c r="Q172" s="3">
        <v>377000</v>
      </c>
      <c r="R172" s="5">
        <v>54.9</v>
      </c>
      <c r="T172" s="3">
        <v>37070000</v>
      </c>
      <c r="U172" s="4"/>
      <c r="V172" s="5">
        <f t="shared" si="16"/>
        <v>3750</v>
      </c>
      <c r="W172" s="8"/>
      <c r="X172" s="9" t="str">
        <f t="shared" si="20"/>
        <v>a</v>
      </c>
      <c r="Y172" s="9" t="str">
        <f t="shared" si="20"/>
        <v>a</v>
      </c>
      <c r="Z172" s="31">
        <f t="shared" si="17"/>
        <v>197119.288</v>
      </c>
      <c r="AA172" s="31">
        <f t="shared" si="18"/>
        <v>197119.288</v>
      </c>
    </row>
    <row r="173" spans="1:27" ht="13">
      <c r="A173" s="9">
        <v>171</v>
      </c>
      <c r="B173" s="3" t="s">
        <v>1526</v>
      </c>
      <c r="C173" s="3"/>
      <c r="D173" s="5">
        <v>65.2</v>
      </c>
      <c r="E173" s="3">
        <v>150</v>
      </c>
      <c r="F173" s="3">
        <v>150</v>
      </c>
      <c r="G173" s="5">
        <v>16</v>
      </c>
      <c r="H173" s="5">
        <v>16</v>
      </c>
      <c r="I173" s="3">
        <v>8300</v>
      </c>
      <c r="J173" s="3">
        <v>24300000</v>
      </c>
      <c r="K173" s="3">
        <v>324000</v>
      </c>
      <c r="L173" s="3">
        <v>411000</v>
      </c>
      <c r="M173" s="3">
        <v>54.1</v>
      </c>
      <c r="N173" s="5">
        <f t="shared" si="15"/>
        <v>4150</v>
      </c>
      <c r="O173" s="3">
        <v>24300000</v>
      </c>
      <c r="P173" s="3">
        <v>324000</v>
      </c>
      <c r="Q173" s="3">
        <v>411000</v>
      </c>
      <c r="R173" s="5">
        <v>54.1</v>
      </c>
      <c r="T173" s="3">
        <v>40260000</v>
      </c>
      <c r="U173" s="4"/>
      <c r="V173" s="5">
        <f t="shared" si="16"/>
        <v>4150</v>
      </c>
      <c r="W173" s="8"/>
      <c r="X173" s="9" t="str">
        <f t="shared" si="20"/>
        <v>a</v>
      </c>
      <c r="Y173" s="9" t="str">
        <f t="shared" si="20"/>
        <v>a</v>
      </c>
      <c r="Z173" s="31">
        <f t="shared" si="17"/>
        <v>216496</v>
      </c>
      <c r="AA173" s="31">
        <f t="shared" si="18"/>
        <v>216496</v>
      </c>
    </row>
    <row r="174" spans="1:27" ht="13">
      <c r="A174" s="9">
        <v>172</v>
      </c>
      <c r="B174" s="3" t="s">
        <v>1527</v>
      </c>
      <c r="C174" s="3"/>
      <c r="D174" s="5">
        <v>14.4</v>
      </c>
      <c r="E174" s="3">
        <v>160</v>
      </c>
      <c r="F174" s="3">
        <v>80</v>
      </c>
      <c r="G174" s="5">
        <v>4</v>
      </c>
      <c r="H174" s="5">
        <v>4</v>
      </c>
      <c r="I174" s="3">
        <v>1840</v>
      </c>
      <c r="J174" s="3">
        <v>6120000</v>
      </c>
      <c r="K174" s="3">
        <v>76500</v>
      </c>
      <c r="L174" s="3">
        <v>94700</v>
      </c>
      <c r="M174" s="3">
        <v>57.7</v>
      </c>
      <c r="N174" s="5">
        <f t="shared" si="15"/>
        <v>1226.6666666666667</v>
      </c>
      <c r="O174" s="3">
        <v>2070000</v>
      </c>
      <c r="P174" s="3">
        <v>51700</v>
      </c>
      <c r="Q174" s="3">
        <v>58300</v>
      </c>
      <c r="R174" s="5">
        <v>33.5</v>
      </c>
      <c r="T174" s="3">
        <v>4930000</v>
      </c>
      <c r="U174" s="4"/>
      <c r="V174" s="5">
        <f t="shared" si="16"/>
        <v>613.33333333333337</v>
      </c>
      <c r="W174" s="8"/>
      <c r="X174" s="9" t="str">
        <f t="shared" si="20"/>
        <v>a</v>
      </c>
      <c r="Y174" s="9" t="str">
        <f t="shared" si="20"/>
        <v>a</v>
      </c>
      <c r="Z174" s="31">
        <f t="shared" si="17"/>
        <v>48064</v>
      </c>
      <c r="AA174" s="31">
        <f t="shared" si="18"/>
        <v>29504</v>
      </c>
    </row>
    <row r="175" spans="1:27" ht="13">
      <c r="A175" s="9">
        <v>173</v>
      </c>
      <c r="B175" s="3" t="s">
        <v>1528</v>
      </c>
      <c r="C175" s="3"/>
      <c r="D175" s="5">
        <v>17.8</v>
      </c>
      <c r="E175" s="3">
        <v>160</v>
      </c>
      <c r="F175" s="3">
        <v>80</v>
      </c>
      <c r="G175" s="5">
        <v>5</v>
      </c>
      <c r="H175" s="5">
        <v>5</v>
      </c>
      <c r="I175" s="3">
        <v>2270</v>
      </c>
      <c r="J175" s="3">
        <v>7440000</v>
      </c>
      <c r="K175" s="3">
        <v>93000</v>
      </c>
      <c r="L175" s="3">
        <v>116000</v>
      </c>
      <c r="M175" s="3">
        <v>57.2</v>
      </c>
      <c r="N175" s="5">
        <f t="shared" si="15"/>
        <v>1513.3333333333333</v>
      </c>
      <c r="O175" s="3">
        <v>2490000</v>
      </c>
      <c r="P175" s="3">
        <v>62300</v>
      </c>
      <c r="Q175" s="3">
        <v>71100</v>
      </c>
      <c r="R175" s="5">
        <v>33.1</v>
      </c>
      <c r="T175" s="3">
        <v>6000000</v>
      </c>
      <c r="U175" s="4"/>
      <c r="V175" s="5">
        <f t="shared" si="16"/>
        <v>756.66666666666663</v>
      </c>
      <c r="W175" s="8"/>
      <c r="X175" s="9" t="str">
        <f t="shared" si="20"/>
        <v>a</v>
      </c>
      <c r="Y175" s="9" t="str">
        <f t="shared" si="20"/>
        <v>a</v>
      </c>
      <c r="Z175" s="31">
        <f t="shared" si="17"/>
        <v>59125</v>
      </c>
      <c r="AA175" s="31">
        <f t="shared" si="18"/>
        <v>36125</v>
      </c>
    </row>
    <row r="176" spans="1:27" ht="13">
      <c r="A176" s="9">
        <v>174</v>
      </c>
      <c r="B176" s="3" t="s">
        <v>1529</v>
      </c>
      <c r="C176" s="3"/>
      <c r="D176" s="5">
        <v>22.2</v>
      </c>
      <c r="E176" s="3">
        <v>160</v>
      </c>
      <c r="F176" s="3">
        <v>80</v>
      </c>
      <c r="G176" s="5">
        <v>6.3</v>
      </c>
      <c r="H176" s="5">
        <v>6.3</v>
      </c>
      <c r="I176" s="3">
        <v>2820</v>
      </c>
      <c r="J176" s="3">
        <v>9030000</v>
      </c>
      <c r="K176" s="3">
        <v>113000</v>
      </c>
      <c r="L176" s="3">
        <v>142000</v>
      </c>
      <c r="M176" s="3">
        <v>56.6</v>
      </c>
      <c r="N176" s="5">
        <f t="shared" si="15"/>
        <v>1880</v>
      </c>
      <c r="O176" s="3">
        <v>2990000</v>
      </c>
      <c r="P176" s="3">
        <v>74800</v>
      </c>
      <c r="Q176" s="3">
        <v>86800</v>
      </c>
      <c r="R176" s="5">
        <v>32.6</v>
      </c>
      <c r="T176" s="3">
        <v>7300000</v>
      </c>
      <c r="U176" s="4"/>
      <c r="V176" s="5">
        <f t="shared" si="16"/>
        <v>940</v>
      </c>
      <c r="W176" s="8"/>
      <c r="X176" s="9" t="str">
        <f t="shared" si="20"/>
        <v>a</v>
      </c>
      <c r="Y176" s="9" t="str">
        <f t="shared" si="20"/>
        <v>a</v>
      </c>
      <c r="Z176" s="31">
        <f t="shared" si="17"/>
        <v>72952.046999999991</v>
      </c>
      <c r="AA176" s="31">
        <f t="shared" si="18"/>
        <v>44299.647000000004</v>
      </c>
    </row>
    <row r="177" spans="1:27" ht="13">
      <c r="A177" s="9">
        <v>175</v>
      </c>
      <c r="B177" s="3" t="s">
        <v>1530</v>
      </c>
      <c r="C177" s="3"/>
      <c r="D177" s="5">
        <v>24.1</v>
      </c>
      <c r="E177" s="3">
        <v>160</v>
      </c>
      <c r="F177" s="3">
        <v>160</v>
      </c>
      <c r="G177" s="5">
        <v>5</v>
      </c>
      <c r="H177" s="5">
        <v>5</v>
      </c>
      <c r="I177" s="3">
        <v>3070</v>
      </c>
      <c r="J177" s="3">
        <v>12250000</v>
      </c>
      <c r="K177" s="3">
        <v>153000</v>
      </c>
      <c r="L177" s="3">
        <v>178000</v>
      </c>
      <c r="M177" s="3">
        <v>63.1</v>
      </c>
      <c r="N177" s="5">
        <f t="shared" si="15"/>
        <v>1535</v>
      </c>
      <c r="O177" s="3">
        <v>12250000</v>
      </c>
      <c r="P177" s="3">
        <v>153000</v>
      </c>
      <c r="Q177" s="3">
        <v>178000</v>
      </c>
      <c r="R177" s="5">
        <v>63.1</v>
      </c>
      <c r="T177" s="3">
        <v>18920000</v>
      </c>
      <c r="U177" s="4"/>
      <c r="V177" s="5">
        <f t="shared" si="16"/>
        <v>1535</v>
      </c>
      <c r="W177" s="8"/>
      <c r="X177" s="9" t="str">
        <f t="shared" si="20"/>
        <v>a</v>
      </c>
      <c r="Y177" s="9" t="str">
        <f t="shared" si="20"/>
        <v>a</v>
      </c>
      <c r="Z177" s="31">
        <f t="shared" si="17"/>
        <v>90125</v>
      </c>
      <c r="AA177" s="31">
        <f t="shared" si="18"/>
        <v>90125</v>
      </c>
    </row>
    <row r="178" spans="1:27" ht="13">
      <c r="A178" s="9">
        <v>176</v>
      </c>
      <c r="B178" s="3" t="s">
        <v>1531</v>
      </c>
      <c r="C178" s="3"/>
      <c r="D178" s="5">
        <v>24.7</v>
      </c>
      <c r="E178" s="3">
        <v>160</v>
      </c>
      <c r="F178" s="3">
        <v>80</v>
      </c>
      <c r="G178" s="5">
        <v>7.1</v>
      </c>
      <c r="H178" s="5">
        <v>7.1</v>
      </c>
      <c r="I178" s="3">
        <v>3150</v>
      </c>
      <c r="J178" s="3">
        <v>9940000</v>
      </c>
      <c r="K178" s="3">
        <v>124000</v>
      </c>
      <c r="L178" s="3">
        <v>158000</v>
      </c>
      <c r="M178" s="3">
        <v>56.2</v>
      </c>
      <c r="N178" s="5">
        <f t="shared" si="15"/>
        <v>2100</v>
      </c>
      <c r="O178" s="3">
        <v>3270000</v>
      </c>
      <c r="P178" s="3">
        <v>81700</v>
      </c>
      <c r="Q178" s="3">
        <v>95900</v>
      </c>
      <c r="R178" s="5">
        <v>32.200000000000003</v>
      </c>
      <c r="T178" s="3">
        <v>8040000</v>
      </c>
      <c r="U178" s="4"/>
      <c r="V178" s="5">
        <f t="shared" si="16"/>
        <v>1050</v>
      </c>
      <c r="W178" s="8"/>
      <c r="X178" s="9" t="str">
        <f t="shared" si="20"/>
        <v>a</v>
      </c>
      <c r="Y178" s="9" t="str">
        <f t="shared" si="20"/>
        <v>a</v>
      </c>
      <c r="Z178" s="31">
        <f t="shared" si="17"/>
        <v>81155.910999999993</v>
      </c>
      <c r="AA178" s="31">
        <f t="shared" si="18"/>
        <v>49092.311000000002</v>
      </c>
    </row>
    <row r="179" spans="1:27" ht="13">
      <c r="A179" s="9">
        <v>177</v>
      </c>
      <c r="B179" s="3" t="s">
        <v>1532</v>
      </c>
      <c r="C179" s="3"/>
      <c r="D179" s="5">
        <v>27.6</v>
      </c>
      <c r="E179" s="3">
        <v>160</v>
      </c>
      <c r="F179" s="3">
        <v>80</v>
      </c>
      <c r="G179" s="5">
        <v>8</v>
      </c>
      <c r="H179" s="5">
        <v>8</v>
      </c>
      <c r="I179" s="3">
        <v>3520</v>
      </c>
      <c r="J179" s="3">
        <v>10910000</v>
      </c>
      <c r="K179" s="3">
        <v>136000</v>
      </c>
      <c r="L179" s="3">
        <v>175000</v>
      </c>
      <c r="M179" s="3">
        <v>55.7</v>
      </c>
      <c r="N179" s="5">
        <f t="shared" si="15"/>
        <v>2346.6666666666665</v>
      </c>
      <c r="O179" s="3">
        <v>3560000</v>
      </c>
      <c r="P179" s="3">
        <v>89000</v>
      </c>
      <c r="Q179" s="3">
        <v>106000</v>
      </c>
      <c r="R179" s="5">
        <v>31.8</v>
      </c>
      <c r="T179" s="3">
        <v>8830000</v>
      </c>
      <c r="U179" s="4"/>
      <c r="V179" s="5">
        <f t="shared" si="16"/>
        <v>1173.3333333333333</v>
      </c>
      <c r="W179" s="8"/>
      <c r="X179" s="9" t="str">
        <f t="shared" si="20"/>
        <v>a</v>
      </c>
      <c r="Y179" s="9" t="str">
        <f t="shared" si="20"/>
        <v>a</v>
      </c>
      <c r="Z179" s="31">
        <f t="shared" si="17"/>
        <v>90112</v>
      </c>
      <c r="AA179" s="31">
        <f t="shared" si="18"/>
        <v>54272</v>
      </c>
    </row>
    <row r="180" spans="1:27" ht="13">
      <c r="A180" s="9">
        <v>178</v>
      </c>
      <c r="B180" s="3" t="s">
        <v>1533</v>
      </c>
      <c r="C180" s="3"/>
      <c r="D180" s="5">
        <v>30.1</v>
      </c>
      <c r="E180" s="3">
        <v>160</v>
      </c>
      <c r="F180" s="3">
        <v>80</v>
      </c>
      <c r="G180" s="5">
        <v>8.8000000000000007</v>
      </c>
      <c r="H180" s="5">
        <v>8.8000000000000007</v>
      </c>
      <c r="I180" s="3">
        <v>3830</v>
      </c>
      <c r="J180" s="3">
        <v>11720000</v>
      </c>
      <c r="K180" s="3">
        <v>147000</v>
      </c>
      <c r="L180" s="3">
        <v>189000</v>
      </c>
      <c r="M180" s="3">
        <v>55.3</v>
      </c>
      <c r="N180" s="5">
        <f t="shared" si="15"/>
        <v>2553.3333333333335</v>
      </c>
      <c r="O180" s="3">
        <v>3790000</v>
      </c>
      <c r="P180" s="3">
        <v>94900</v>
      </c>
      <c r="Q180" s="3">
        <v>114000</v>
      </c>
      <c r="R180" s="5">
        <v>31.5</v>
      </c>
      <c r="T180" s="3">
        <v>9490000</v>
      </c>
      <c r="U180" s="4"/>
      <c r="V180" s="5">
        <f t="shared" si="16"/>
        <v>1276.6666666666667</v>
      </c>
      <c r="W180" s="8"/>
      <c r="X180" s="9" t="str">
        <f t="shared" si="20"/>
        <v>a</v>
      </c>
      <c r="Y180" s="9" t="str">
        <f t="shared" si="20"/>
        <v>a</v>
      </c>
      <c r="Z180" s="31">
        <f t="shared" si="17"/>
        <v>97833.472000000009</v>
      </c>
      <c r="AA180" s="31">
        <f t="shared" si="18"/>
        <v>58691.072</v>
      </c>
    </row>
    <row r="181" spans="1:27" ht="13">
      <c r="A181" s="9">
        <v>179</v>
      </c>
      <c r="B181" s="3" t="s">
        <v>1534</v>
      </c>
      <c r="C181" s="3"/>
      <c r="D181" s="5">
        <v>30.1</v>
      </c>
      <c r="E181" s="3">
        <v>160</v>
      </c>
      <c r="F181" s="3">
        <v>160</v>
      </c>
      <c r="G181" s="5">
        <v>6.3</v>
      </c>
      <c r="H181" s="5">
        <v>6.3</v>
      </c>
      <c r="I181" s="3">
        <v>3830</v>
      </c>
      <c r="J181" s="3">
        <v>14990000</v>
      </c>
      <c r="K181" s="3">
        <v>187000</v>
      </c>
      <c r="L181" s="3">
        <v>220000</v>
      </c>
      <c r="M181" s="3">
        <v>62.6</v>
      </c>
      <c r="N181" s="5">
        <f t="shared" si="15"/>
        <v>1915</v>
      </c>
      <c r="O181" s="3">
        <v>14990000</v>
      </c>
      <c r="P181" s="3">
        <v>187000</v>
      </c>
      <c r="Q181" s="3">
        <v>220000</v>
      </c>
      <c r="R181" s="5">
        <v>62.6</v>
      </c>
      <c r="T181" s="3">
        <v>23330000</v>
      </c>
      <c r="U181" s="4"/>
      <c r="V181" s="5">
        <f t="shared" si="16"/>
        <v>1915</v>
      </c>
      <c r="W181" s="8"/>
      <c r="X181" s="9" t="str">
        <f t="shared" si="20"/>
        <v>a</v>
      </c>
      <c r="Y181" s="9" t="str">
        <f t="shared" si="20"/>
        <v>a</v>
      </c>
      <c r="Z181" s="31">
        <f t="shared" si="17"/>
        <v>111684.44699999999</v>
      </c>
      <c r="AA181" s="31">
        <f t="shared" si="18"/>
        <v>111684.44699999999</v>
      </c>
    </row>
    <row r="182" spans="1:27" ht="13">
      <c r="A182" s="9">
        <v>180</v>
      </c>
      <c r="B182" s="3" t="s">
        <v>1535</v>
      </c>
      <c r="C182" s="3"/>
      <c r="D182" s="5">
        <v>33.700000000000003</v>
      </c>
      <c r="E182" s="3">
        <v>160</v>
      </c>
      <c r="F182" s="3">
        <v>80</v>
      </c>
      <c r="G182" s="5">
        <v>10</v>
      </c>
      <c r="H182" s="5">
        <v>10</v>
      </c>
      <c r="I182" s="3">
        <v>4290</v>
      </c>
      <c r="J182" s="3">
        <v>12840000</v>
      </c>
      <c r="K182" s="3">
        <v>161000</v>
      </c>
      <c r="L182" s="3">
        <v>209000</v>
      </c>
      <c r="M182" s="3">
        <v>54.7</v>
      </c>
      <c r="N182" s="5">
        <f t="shared" si="15"/>
        <v>2860</v>
      </c>
      <c r="O182" s="3">
        <v>4110000</v>
      </c>
      <c r="P182" s="3">
        <v>103000</v>
      </c>
      <c r="Q182" s="3">
        <v>125000</v>
      </c>
      <c r="R182" s="5">
        <v>31</v>
      </c>
      <c r="T182" s="3">
        <v>10410000</v>
      </c>
      <c r="U182" s="4"/>
      <c r="V182" s="5">
        <f t="shared" si="16"/>
        <v>1430</v>
      </c>
      <c r="W182" s="8"/>
      <c r="X182" s="9" t="str">
        <f t="shared" si="20"/>
        <v>a</v>
      </c>
      <c r="Y182" s="9" t="str">
        <f t="shared" si="20"/>
        <v>a</v>
      </c>
      <c r="Z182" s="31">
        <f t="shared" si="17"/>
        <v>109000</v>
      </c>
      <c r="AA182" s="31">
        <f t="shared" si="18"/>
        <v>65000</v>
      </c>
    </row>
    <row r="183" spans="1:27" ht="13">
      <c r="A183" s="9">
        <v>181</v>
      </c>
      <c r="B183" s="3" t="s">
        <v>1536</v>
      </c>
      <c r="C183" s="3"/>
      <c r="D183" s="5">
        <v>33.700000000000003</v>
      </c>
      <c r="E183" s="3">
        <v>160</v>
      </c>
      <c r="F183" s="3">
        <v>160</v>
      </c>
      <c r="G183" s="5">
        <v>7.1</v>
      </c>
      <c r="H183" s="5">
        <v>7.1</v>
      </c>
      <c r="I183" s="3">
        <v>4290</v>
      </c>
      <c r="J183" s="3">
        <v>16590000</v>
      </c>
      <c r="K183" s="3">
        <v>207000</v>
      </c>
      <c r="L183" s="3">
        <v>245000</v>
      </c>
      <c r="M183" s="3">
        <v>62.2</v>
      </c>
      <c r="N183" s="5">
        <f t="shared" si="15"/>
        <v>2145</v>
      </c>
      <c r="O183" s="3">
        <v>16590000</v>
      </c>
      <c r="P183" s="3">
        <v>207000</v>
      </c>
      <c r="Q183" s="3">
        <v>245000</v>
      </c>
      <c r="R183" s="5">
        <v>62.2</v>
      </c>
      <c r="T183" s="3">
        <v>25950000</v>
      </c>
      <c r="U183" s="4"/>
      <c r="V183" s="5">
        <f t="shared" si="16"/>
        <v>2145</v>
      </c>
      <c r="W183" s="8"/>
      <c r="X183" s="9" t="str">
        <f t="shared" ref="X183:Y202" si="21">IF(fy=460,"a0","a")</f>
        <v>a</v>
      </c>
      <c r="Y183" s="9" t="str">
        <f t="shared" si="21"/>
        <v>a</v>
      </c>
      <c r="Z183" s="31">
        <f t="shared" si="17"/>
        <v>124579.511</v>
      </c>
      <c r="AA183" s="31">
        <f t="shared" si="18"/>
        <v>124579.511</v>
      </c>
    </row>
    <row r="184" spans="1:27" ht="13">
      <c r="A184" s="9">
        <v>182</v>
      </c>
      <c r="B184" s="3" t="s">
        <v>1537</v>
      </c>
      <c r="C184" s="3"/>
      <c r="D184" s="5">
        <v>37.6</v>
      </c>
      <c r="E184" s="3">
        <v>160</v>
      </c>
      <c r="F184" s="3">
        <v>160</v>
      </c>
      <c r="G184" s="5">
        <v>8</v>
      </c>
      <c r="H184" s="5">
        <v>8</v>
      </c>
      <c r="I184" s="3">
        <v>4800</v>
      </c>
      <c r="J184" s="3">
        <v>18310000</v>
      </c>
      <c r="K184" s="3">
        <v>229000</v>
      </c>
      <c r="L184" s="3">
        <v>272000</v>
      </c>
      <c r="M184" s="3">
        <v>61.8</v>
      </c>
      <c r="N184" s="5">
        <f t="shared" si="15"/>
        <v>2400</v>
      </c>
      <c r="O184" s="3">
        <v>18310000</v>
      </c>
      <c r="P184" s="3">
        <v>229000</v>
      </c>
      <c r="Q184" s="3">
        <v>272000</v>
      </c>
      <c r="R184" s="5">
        <v>61.8</v>
      </c>
      <c r="T184" s="3">
        <v>28800000</v>
      </c>
      <c r="U184" s="4"/>
      <c r="V184" s="5">
        <f t="shared" si="16"/>
        <v>2400</v>
      </c>
      <c r="W184" s="8"/>
      <c r="X184" s="9" t="str">
        <f t="shared" si="21"/>
        <v>a</v>
      </c>
      <c r="Y184" s="9" t="str">
        <f t="shared" si="21"/>
        <v>a</v>
      </c>
      <c r="Z184" s="31">
        <f t="shared" si="17"/>
        <v>138752</v>
      </c>
      <c r="AA184" s="31">
        <f t="shared" si="18"/>
        <v>138752</v>
      </c>
    </row>
    <row r="185" spans="1:27" ht="13">
      <c r="A185" s="9">
        <v>183</v>
      </c>
      <c r="B185" s="3" t="s">
        <v>1538</v>
      </c>
      <c r="C185" s="3"/>
      <c r="D185" s="5">
        <v>40.9</v>
      </c>
      <c r="E185" s="3">
        <v>160</v>
      </c>
      <c r="F185" s="3">
        <v>80</v>
      </c>
      <c r="G185" s="5">
        <v>12.5</v>
      </c>
      <c r="H185" s="5">
        <v>12.5</v>
      </c>
      <c r="I185" s="3">
        <v>5210</v>
      </c>
      <c r="J185" s="3">
        <v>14850000</v>
      </c>
      <c r="K185" s="3">
        <v>186000</v>
      </c>
      <c r="L185" s="3">
        <v>247000</v>
      </c>
      <c r="M185" s="3">
        <v>53.4</v>
      </c>
      <c r="N185" s="5">
        <f t="shared" si="15"/>
        <v>3473.3333333333335</v>
      </c>
      <c r="O185" s="3">
        <v>4650000</v>
      </c>
      <c r="P185" s="3">
        <v>116000</v>
      </c>
      <c r="Q185" s="3">
        <v>146000</v>
      </c>
      <c r="R185" s="5">
        <v>29.9</v>
      </c>
      <c r="T185" s="3">
        <v>12040000</v>
      </c>
      <c r="U185" s="4"/>
      <c r="V185" s="5">
        <f t="shared" si="16"/>
        <v>1736.6666666666667</v>
      </c>
      <c r="W185" s="8"/>
      <c r="X185" s="9" t="str">
        <f t="shared" si="21"/>
        <v>a</v>
      </c>
      <c r="Y185" s="9" t="str">
        <f t="shared" si="21"/>
        <v>a</v>
      </c>
      <c r="Z185" s="31">
        <f t="shared" si="17"/>
        <v>130703.125</v>
      </c>
      <c r="AA185" s="31">
        <f t="shared" si="18"/>
        <v>76953.125</v>
      </c>
    </row>
    <row r="186" spans="1:27" ht="13">
      <c r="A186" s="9">
        <v>184</v>
      </c>
      <c r="B186" s="3" t="s">
        <v>1539</v>
      </c>
      <c r="C186" s="3"/>
      <c r="D186" s="5">
        <v>41.1</v>
      </c>
      <c r="E186" s="3">
        <v>160</v>
      </c>
      <c r="F186" s="3">
        <v>160</v>
      </c>
      <c r="G186" s="5">
        <v>8.8000000000000007</v>
      </c>
      <c r="H186" s="5">
        <v>8.8000000000000007</v>
      </c>
      <c r="I186" s="3">
        <v>5240</v>
      </c>
      <c r="J186" s="3">
        <v>19780000</v>
      </c>
      <c r="K186" s="3">
        <v>247000</v>
      </c>
      <c r="L186" s="3">
        <v>295000</v>
      </c>
      <c r="M186" s="3">
        <v>61.4</v>
      </c>
      <c r="N186" s="5">
        <f t="shared" si="15"/>
        <v>2620</v>
      </c>
      <c r="O186" s="3">
        <v>19780000</v>
      </c>
      <c r="P186" s="3">
        <v>247000</v>
      </c>
      <c r="Q186" s="3">
        <v>295000</v>
      </c>
      <c r="R186" s="5">
        <v>61.4</v>
      </c>
      <c r="T186" s="3">
        <v>31250000</v>
      </c>
      <c r="U186" s="4"/>
      <c r="V186" s="5">
        <f t="shared" si="16"/>
        <v>2620</v>
      </c>
      <c r="W186" s="8"/>
      <c r="X186" s="9" t="str">
        <f t="shared" si="21"/>
        <v>a</v>
      </c>
      <c r="Y186" s="9" t="str">
        <f t="shared" si="21"/>
        <v>a</v>
      </c>
      <c r="Z186" s="31">
        <f t="shared" si="17"/>
        <v>151055.872</v>
      </c>
      <c r="AA186" s="31">
        <f t="shared" si="18"/>
        <v>151055.872</v>
      </c>
    </row>
    <row r="187" spans="1:27" ht="13">
      <c r="A187" s="9">
        <v>185</v>
      </c>
      <c r="B187" s="3" t="s">
        <v>1540</v>
      </c>
      <c r="C187" s="3"/>
      <c r="D187" s="5">
        <v>46.3</v>
      </c>
      <c r="E187" s="3">
        <v>160</v>
      </c>
      <c r="F187" s="3">
        <v>160</v>
      </c>
      <c r="G187" s="5">
        <v>10</v>
      </c>
      <c r="H187" s="5">
        <v>10</v>
      </c>
      <c r="I187" s="3">
        <v>5890</v>
      </c>
      <c r="J187" s="3">
        <v>21860000</v>
      </c>
      <c r="K187" s="3">
        <v>273000</v>
      </c>
      <c r="L187" s="3">
        <v>329000</v>
      </c>
      <c r="M187" s="3">
        <v>60.9</v>
      </c>
      <c r="N187" s="5">
        <f t="shared" si="15"/>
        <v>2945</v>
      </c>
      <c r="O187" s="3">
        <v>21860000</v>
      </c>
      <c r="P187" s="3">
        <v>273000</v>
      </c>
      <c r="Q187" s="3">
        <v>329000</v>
      </c>
      <c r="R187" s="5">
        <v>60.9</v>
      </c>
      <c r="T187" s="3">
        <v>34780000</v>
      </c>
      <c r="U187" s="4"/>
      <c r="V187" s="5">
        <f t="shared" si="16"/>
        <v>2945</v>
      </c>
      <c r="W187" s="8"/>
      <c r="X187" s="9" t="str">
        <f t="shared" si="21"/>
        <v>a</v>
      </c>
      <c r="Y187" s="9" t="str">
        <f t="shared" si="21"/>
        <v>a</v>
      </c>
      <c r="Z187" s="31">
        <f t="shared" si="17"/>
        <v>169000</v>
      </c>
      <c r="AA187" s="31">
        <f t="shared" si="18"/>
        <v>169000</v>
      </c>
    </row>
    <row r="188" spans="1:27" ht="13">
      <c r="A188" s="9">
        <v>186</v>
      </c>
      <c r="B188" s="3" t="s">
        <v>1541</v>
      </c>
      <c r="C188" s="3"/>
      <c r="D188" s="5">
        <v>56.6</v>
      </c>
      <c r="E188" s="3">
        <v>160</v>
      </c>
      <c r="F188" s="3">
        <v>160</v>
      </c>
      <c r="G188" s="5">
        <v>12.5</v>
      </c>
      <c r="H188" s="5">
        <v>12.5</v>
      </c>
      <c r="I188" s="3">
        <v>7210</v>
      </c>
      <c r="J188" s="3">
        <v>25760000</v>
      </c>
      <c r="K188" s="3">
        <v>322000</v>
      </c>
      <c r="L188" s="3">
        <v>395000</v>
      </c>
      <c r="M188" s="3">
        <v>59.8</v>
      </c>
      <c r="N188" s="5">
        <f t="shared" si="15"/>
        <v>3605</v>
      </c>
      <c r="O188" s="3">
        <v>25760000</v>
      </c>
      <c r="P188" s="3">
        <v>322000</v>
      </c>
      <c r="Q188" s="3">
        <v>395000</v>
      </c>
      <c r="R188" s="5">
        <v>59.8</v>
      </c>
      <c r="T188" s="3">
        <v>41580000</v>
      </c>
      <c r="U188" s="4"/>
      <c r="V188" s="5">
        <f t="shared" si="16"/>
        <v>3605</v>
      </c>
      <c r="W188" s="8"/>
      <c r="X188" s="9" t="str">
        <f t="shared" si="21"/>
        <v>a</v>
      </c>
      <c r="Y188" s="9" t="str">
        <f t="shared" si="21"/>
        <v>a</v>
      </c>
      <c r="Z188" s="31">
        <f t="shared" si="17"/>
        <v>204453.125</v>
      </c>
      <c r="AA188" s="31">
        <f t="shared" si="18"/>
        <v>204453.125</v>
      </c>
    </row>
    <row r="189" spans="1:27" ht="13">
      <c r="A189" s="9">
        <v>187</v>
      </c>
      <c r="B189" s="3" t="s">
        <v>1542</v>
      </c>
      <c r="C189" s="3"/>
      <c r="D189" s="5">
        <v>63.3</v>
      </c>
      <c r="E189" s="3">
        <v>160</v>
      </c>
      <c r="F189" s="3">
        <v>160</v>
      </c>
      <c r="G189" s="5">
        <v>14.2</v>
      </c>
      <c r="H189" s="5">
        <v>14.2</v>
      </c>
      <c r="I189" s="3">
        <v>8070</v>
      </c>
      <c r="J189" s="3">
        <v>28090000</v>
      </c>
      <c r="K189" s="3">
        <v>351000</v>
      </c>
      <c r="L189" s="3">
        <v>436000</v>
      </c>
      <c r="M189" s="3">
        <v>59</v>
      </c>
      <c r="N189" s="5">
        <f t="shared" si="15"/>
        <v>4035</v>
      </c>
      <c r="O189" s="3">
        <v>28090000</v>
      </c>
      <c r="P189" s="3">
        <v>351000</v>
      </c>
      <c r="Q189" s="3">
        <v>436000</v>
      </c>
      <c r="R189" s="5">
        <v>59</v>
      </c>
      <c r="T189" s="3">
        <v>45790000</v>
      </c>
      <c r="U189" s="4"/>
      <c r="V189" s="5">
        <f t="shared" si="16"/>
        <v>4035</v>
      </c>
      <c r="W189" s="8"/>
      <c r="X189" s="9" t="str">
        <f t="shared" si="21"/>
        <v>a</v>
      </c>
      <c r="Y189" s="9" t="str">
        <f t="shared" si="21"/>
        <v>a</v>
      </c>
      <c r="Z189" s="31">
        <f t="shared" si="17"/>
        <v>227109.68800000002</v>
      </c>
      <c r="AA189" s="31">
        <f t="shared" si="18"/>
        <v>227109.68800000002</v>
      </c>
    </row>
    <row r="190" spans="1:27" ht="13">
      <c r="A190" s="9">
        <v>188</v>
      </c>
      <c r="B190" s="3" t="s">
        <v>1543</v>
      </c>
      <c r="C190" s="3"/>
      <c r="D190" s="5">
        <v>70.2</v>
      </c>
      <c r="E190" s="3">
        <v>160</v>
      </c>
      <c r="F190" s="3">
        <v>160</v>
      </c>
      <c r="G190" s="5">
        <v>16</v>
      </c>
      <c r="H190" s="5">
        <v>16</v>
      </c>
      <c r="I190" s="3">
        <v>8940</v>
      </c>
      <c r="J190" s="3">
        <v>30280000</v>
      </c>
      <c r="K190" s="3">
        <v>379000</v>
      </c>
      <c r="L190" s="3">
        <v>476000</v>
      </c>
      <c r="M190" s="3">
        <v>58.2</v>
      </c>
      <c r="N190" s="5">
        <f t="shared" si="15"/>
        <v>4470</v>
      </c>
      <c r="O190" s="3">
        <v>30280000</v>
      </c>
      <c r="P190" s="3">
        <v>379000</v>
      </c>
      <c r="Q190" s="3">
        <v>476000</v>
      </c>
      <c r="R190" s="5">
        <v>58.2</v>
      </c>
      <c r="T190" s="3">
        <v>49880000</v>
      </c>
      <c r="U190" s="4"/>
      <c r="V190" s="5">
        <f t="shared" si="16"/>
        <v>4470</v>
      </c>
      <c r="W190" s="8"/>
      <c r="X190" s="9" t="str">
        <f t="shared" si="21"/>
        <v>a</v>
      </c>
      <c r="Y190" s="9" t="str">
        <f t="shared" si="21"/>
        <v>a</v>
      </c>
      <c r="Z190" s="31">
        <f t="shared" si="17"/>
        <v>249856</v>
      </c>
      <c r="AA190" s="31">
        <f t="shared" si="18"/>
        <v>249856</v>
      </c>
    </row>
    <row r="191" spans="1:27" ht="13">
      <c r="A191" s="9">
        <v>189</v>
      </c>
      <c r="B191" s="3" t="s">
        <v>1544</v>
      </c>
      <c r="C191" s="3"/>
      <c r="D191" s="5">
        <v>14.4</v>
      </c>
      <c r="E191" s="3">
        <v>180</v>
      </c>
      <c r="F191" s="3">
        <v>60</v>
      </c>
      <c r="G191" s="5">
        <v>4</v>
      </c>
      <c r="H191" s="5">
        <v>4</v>
      </c>
      <c r="I191" s="3">
        <v>1840</v>
      </c>
      <c r="J191" s="3">
        <v>6970000</v>
      </c>
      <c r="K191" s="3">
        <v>77400</v>
      </c>
      <c r="L191" s="3">
        <v>99800</v>
      </c>
      <c r="M191" s="3">
        <v>61.6</v>
      </c>
      <c r="N191" s="5">
        <f t="shared" si="15"/>
        <v>1380</v>
      </c>
      <c r="O191" s="3">
        <v>1210000</v>
      </c>
      <c r="P191" s="3">
        <v>40300</v>
      </c>
      <c r="Q191" s="3">
        <v>45200</v>
      </c>
      <c r="R191" s="5">
        <v>25.6</v>
      </c>
      <c r="T191" s="3">
        <v>3410000</v>
      </c>
      <c r="U191" s="4"/>
      <c r="V191" s="5">
        <f t="shared" si="16"/>
        <v>460</v>
      </c>
      <c r="W191" s="8"/>
      <c r="X191" s="9" t="str">
        <f t="shared" si="21"/>
        <v>a</v>
      </c>
      <c r="Y191" s="9" t="str">
        <f t="shared" si="21"/>
        <v>a</v>
      </c>
      <c r="Z191" s="31">
        <f t="shared" si="17"/>
        <v>50704</v>
      </c>
      <c r="AA191" s="31">
        <f t="shared" si="18"/>
        <v>22864</v>
      </c>
    </row>
    <row r="192" spans="1:27" ht="13">
      <c r="A192" s="9">
        <v>190</v>
      </c>
      <c r="B192" s="3" t="s">
        <v>1545</v>
      </c>
      <c r="C192" s="3"/>
      <c r="D192" s="5">
        <v>16.899999999999999</v>
      </c>
      <c r="E192" s="3">
        <v>180</v>
      </c>
      <c r="F192" s="3">
        <v>100</v>
      </c>
      <c r="G192" s="5">
        <v>4</v>
      </c>
      <c r="H192" s="5">
        <v>4</v>
      </c>
      <c r="I192" s="3">
        <v>2160</v>
      </c>
      <c r="J192" s="3">
        <v>9450000</v>
      </c>
      <c r="K192" s="3">
        <v>105000</v>
      </c>
      <c r="L192" s="3">
        <v>128000</v>
      </c>
      <c r="M192" s="3">
        <v>66.099999999999994</v>
      </c>
      <c r="N192" s="5">
        <f t="shared" si="15"/>
        <v>1388.5714285714287</v>
      </c>
      <c r="O192" s="3">
        <v>3790000</v>
      </c>
      <c r="P192" s="3">
        <v>75900</v>
      </c>
      <c r="Q192" s="3">
        <v>85200</v>
      </c>
      <c r="R192" s="5">
        <v>41.9</v>
      </c>
      <c r="T192" s="3">
        <v>8520000</v>
      </c>
      <c r="U192" s="4"/>
      <c r="V192" s="5">
        <f t="shared" si="16"/>
        <v>771.42857142857144</v>
      </c>
      <c r="W192" s="8"/>
      <c r="X192" s="9" t="str">
        <f t="shared" si="21"/>
        <v>a</v>
      </c>
      <c r="Y192" s="9" t="str">
        <f t="shared" si="21"/>
        <v>a</v>
      </c>
      <c r="Z192" s="31">
        <f t="shared" si="17"/>
        <v>64784</v>
      </c>
      <c r="AA192" s="31">
        <f t="shared" si="18"/>
        <v>43024</v>
      </c>
    </row>
    <row r="193" spans="1:27" ht="13">
      <c r="A193" s="9">
        <v>191</v>
      </c>
      <c r="B193" s="3" t="s">
        <v>1546</v>
      </c>
      <c r="C193" s="3"/>
      <c r="D193" s="5">
        <v>17.8</v>
      </c>
      <c r="E193" s="3">
        <v>180</v>
      </c>
      <c r="F193" s="3">
        <v>60</v>
      </c>
      <c r="G193" s="5">
        <v>5</v>
      </c>
      <c r="H193" s="5">
        <v>5</v>
      </c>
      <c r="I193" s="3">
        <v>2270</v>
      </c>
      <c r="J193" s="3">
        <v>8460000</v>
      </c>
      <c r="K193" s="3">
        <v>94000</v>
      </c>
      <c r="L193" s="3">
        <v>122000</v>
      </c>
      <c r="M193" s="3">
        <v>61</v>
      </c>
      <c r="N193" s="5">
        <f t="shared" si="15"/>
        <v>1702.5</v>
      </c>
      <c r="O193" s="3">
        <v>1440000</v>
      </c>
      <c r="P193" s="3">
        <v>48100</v>
      </c>
      <c r="Q193" s="3">
        <v>54900</v>
      </c>
      <c r="R193" s="5">
        <v>25.2</v>
      </c>
      <c r="T193" s="3">
        <v>4110000</v>
      </c>
      <c r="U193" s="4"/>
      <c r="V193" s="5">
        <f t="shared" si="16"/>
        <v>567.5</v>
      </c>
      <c r="W193" s="8"/>
      <c r="X193" s="9" t="str">
        <f t="shared" si="21"/>
        <v>a</v>
      </c>
      <c r="Y193" s="9" t="str">
        <f t="shared" si="21"/>
        <v>a</v>
      </c>
      <c r="Z193" s="31">
        <f t="shared" si="17"/>
        <v>62375</v>
      </c>
      <c r="AA193" s="31">
        <f t="shared" si="18"/>
        <v>27875</v>
      </c>
    </row>
    <row r="194" spans="1:27" ht="13">
      <c r="A194" s="9">
        <v>192</v>
      </c>
      <c r="B194" s="3" t="s">
        <v>1547</v>
      </c>
      <c r="C194" s="3"/>
      <c r="D194" s="5">
        <v>21</v>
      </c>
      <c r="E194" s="3">
        <v>180</v>
      </c>
      <c r="F194" s="3">
        <v>100</v>
      </c>
      <c r="G194" s="5">
        <v>5</v>
      </c>
      <c r="H194" s="5">
        <v>5</v>
      </c>
      <c r="I194" s="3">
        <v>2670</v>
      </c>
      <c r="J194" s="3">
        <v>11530000</v>
      </c>
      <c r="K194" s="3">
        <v>128000</v>
      </c>
      <c r="L194" s="3">
        <v>157000</v>
      </c>
      <c r="M194" s="3">
        <v>65.7</v>
      </c>
      <c r="N194" s="5">
        <f t="shared" si="15"/>
        <v>1716.4285714285713</v>
      </c>
      <c r="O194" s="3">
        <v>4600000</v>
      </c>
      <c r="P194" s="3">
        <v>92000</v>
      </c>
      <c r="Q194" s="3">
        <v>104000</v>
      </c>
      <c r="R194" s="5">
        <v>41.5</v>
      </c>
      <c r="T194" s="3">
        <v>10420000</v>
      </c>
      <c r="U194" s="4"/>
      <c r="V194" s="5">
        <f t="shared" si="16"/>
        <v>953.57142857142856</v>
      </c>
      <c r="W194" s="8"/>
      <c r="X194" s="9" t="str">
        <f t="shared" si="21"/>
        <v>a</v>
      </c>
      <c r="Y194" s="9" t="str">
        <f t="shared" si="21"/>
        <v>a</v>
      </c>
      <c r="Z194" s="31">
        <f t="shared" si="17"/>
        <v>79875</v>
      </c>
      <c r="AA194" s="31">
        <f t="shared" si="18"/>
        <v>52875</v>
      </c>
    </row>
    <row r="195" spans="1:27" ht="13">
      <c r="A195" s="9">
        <v>193</v>
      </c>
      <c r="B195" s="3" t="s">
        <v>1548</v>
      </c>
      <c r="C195" s="3"/>
      <c r="D195" s="5">
        <v>22.2</v>
      </c>
      <c r="E195" s="3">
        <v>180</v>
      </c>
      <c r="F195" s="3">
        <v>60</v>
      </c>
      <c r="G195" s="5">
        <v>6.3</v>
      </c>
      <c r="H195" s="5">
        <v>6.3</v>
      </c>
      <c r="I195" s="3">
        <v>2820</v>
      </c>
      <c r="J195" s="3">
        <v>10270000</v>
      </c>
      <c r="K195" s="3">
        <v>114000</v>
      </c>
      <c r="L195" s="3">
        <v>150000</v>
      </c>
      <c r="M195" s="3">
        <v>60.3</v>
      </c>
      <c r="N195" s="5">
        <f t="shared" ref="N195:N258" si="22">I195*E195/(F195+E195)</f>
        <v>2115</v>
      </c>
      <c r="O195" s="3">
        <v>1710000</v>
      </c>
      <c r="P195" s="3">
        <v>57000</v>
      </c>
      <c r="Q195" s="3">
        <v>66600</v>
      </c>
      <c r="R195" s="5">
        <v>24.6</v>
      </c>
      <c r="T195" s="3">
        <v>4950000</v>
      </c>
      <c r="U195" s="4"/>
      <c r="V195" s="5">
        <f t="shared" ref="V195:V258" si="23">I195*F195/(E195+F195)</f>
        <v>705</v>
      </c>
      <c r="W195" s="8"/>
      <c r="X195" s="9" t="str">
        <f t="shared" si="21"/>
        <v>a</v>
      </c>
      <c r="Y195" s="9" t="str">
        <f t="shared" si="21"/>
        <v>a</v>
      </c>
      <c r="Z195" s="31">
        <f t="shared" ref="Z195:Z258" si="24">(H195*(0.5*E195-G195)^2)+(F195*G195)*(0.5*E195-0.5*G195)</f>
        <v>76965.146999999997</v>
      </c>
      <c r="AA195" s="31">
        <f t="shared" ref="AA195:AA258" si="25">(H195*(0.5*F195-G195)^2)+(E195*G195)*(0.5*F195-0.5*G195)</f>
        <v>33986.546999999999</v>
      </c>
    </row>
    <row r="196" spans="1:27" ht="13">
      <c r="A196" s="9">
        <v>194</v>
      </c>
      <c r="B196" s="3" t="s">
        <v>1549</v>
      </c>
      <c r="C196" s="3"/>
      <c r="D196" s="5">
        <v>24.7</v>
      </c>
      <c r="E196" s="3">
        <v>180</v>
      </c>
      <c r="F196" s="3">
        <v>60</v>
      </c>
      <c r="G196" s="5">
        <v>7.1</v>
      </c>
      <c r="H196" s="5">
        <v>7.1</v>
      </c>
      <c r="I196" s="3">
        <v>3150</v>
      </c>
      <c r="J196" s="3">
        <v>11300000</v>
      </c>
      <c r="K196" s="3">
        <v>126000</v>
      </c>
      <c r="L196" s="3">
        <v>166000</v>
      </c>
      <c r="M196" s="3">
        <v>59.9</v>
      </c>
      <c r="N196" s="5">
        <f t="shared" si="22"/>
        <v>2362.5</v>
      </c>
      <c r="O196" s="3">
        <v>1860000</v>
      </c>
      <c r="P196" s="3">
        <v>61900</v>
      </c>
      <c r="Q196" s="3">
        <v>73300</v>
      </c>
      <c r="R196" s="5">
        <v>24.3</v>
      </c>
      <c r="T196" s="3">
        <v>5420000</v>
      </c>
      <c r="U196" s="4"/>
      <c r="V196" s="5">
        <f t="shared" si="23"/>
        <v>787.5</v>
      </c>
      <c r="W196" s="8"/>
      <c r="X196" s="9" t="str">
        <f t="shared" si="21"/>
        <v>a</v>
      </c>
      <c r="Y196" s="9" t="str">
        <f t="shared" si="21"/>
        <v>a</v>
      </c>
      <c r="Z196" s="31">
        <f t="shared" si="24"/>
        <v>85621.811000000016</v>
      </c>
      <c r="AA196" s="31">
        <f t="shared" si="25"/>
        <v>37526.411</v>
      </c>
    </row>
    <row r="197" spans="1:27" ht="13">
      <c r="A197" s="9">
        <v>195</v>
      </c>
      <c r="B197" s="3" t="s">
        <v>1550</v>
      </c>
      <c r="C197" s="3"/>
      <c r="D197" s="5">
        <v>26.1</v>
      </c>
      <c r="E197" s="3">
        <v>180</v>
      </c>
      <c r="F197" s="3">
        <v>100</v>
      </c>
      <c r="G197" s="5">
        <v>6.3</v>
      </c>
      <c r="H197" s="5">
        <v>6.3</v>
      </c>
      <c r="I197" s="3">
        <v>3330</v>
      </c>
      <c r="J197" s="3">
        <v>14070000</v>
      </c>
      <c r="K197" s="3">
        <v>156000</v>
      </c>
      <c r="L197" s="3">
        <v>194000</v>
      </c>
      <c r="M197" s="3">
        <v>65</v>
      </c>
      <c r="N197" s="5">
        <f t="shared" si="22"/>
        <v>2140.7142857142858</v>
      </c>
      <c r="O197" s="3">
        <v>5570000</v>
      </c>
      <c r="P197" s="3">
        <v>111000</v>
      </c>
      <c r="Q197" s="3">
        <v>128000</v>
      </c>
      <c r="R197" s="5">
        <v>40.9</v>
      </c>
      <c r="T197" s="3">
        <v>12770000</v>
      </c>
      <c r="U197" s="4"/>
      <c r="V197" s="5">
        <f t="shared" si="23"/>
        <v>1189.2857142857142</v>
      </c>
      <c r="W197" s="8"/>
      <c r="X197" s="9" t="str">
        <f t="shared" si="21"/>
        <v>a</v>
      </c>
      <c r="Y197" s="9" t="str">
        <f t="shared" si="21"/>
        <v>a</v>
      </c>
      <c r="Z197" s="31">
        <f t="shared" si="24"/>
        <v>98851.347000000009</v>
      </c>
      <c r="AA197" s="31">
        <f t="shared" si="25"/>
        <v>65158.947</v>
      </c>
    </row>
    <row r="198" spans="1:27" ht="13">
      <c r="A198" s="9">
        <v>196</v>
      </c>
      <c r="B198" s="3" t="s">
        <v>1551</v>
      </c>
      <c r="C198" s="3"/>
      <c r="D198" s="5">
        <v>27.3</v>
      </c>
      <c r="E198" s="3">
        <v>180</v>
      </c>
      <c r="F198" s="3">
        <v>180</v>
      </c>
      <c r="G198" s="5">
        <v>5</v>
      </c>
      <c r="H198" s="5">
        <v>5</v>
      </c>
      <c r="I198" s="3">
        <v>3470</v>
      </c>
      <c r="J198" s="3">
        <v>17650000</v>
      </c>
      <c r="K198" s="3">
        <v>196000</v>
      </c>
      <c r="L198" s="3">
        <v>227000</v>
      </c>
      <c r="M198" s="3">
        <v>71.3</v>
      </c>
      <c r="N198" s="5">
        <f t="shared" si="22"/>
        <v>1735</v>
      </c>
      <c r="O198" s="3">
        <v>17650000</v>
      </c>
      <c r="P198" s="3">
        <v>196000</v>
      </c>
      <c r="Q198" s="3">
        <v>227000</v>
      </c>
      <c r="R198" s="5">
        <v>71.3</v>
      </c>
      <c r="T198" s="3">
        <v>27180000</v>
      </c>
      <c r="U198" s="4"/>
      <c r="V198" s="5">
        <f t="shared" si="23"/>
        <v>1735</v>
      </c>
      <c r="W198" s="8"/>
      <c r="X198" s="9" t="str">
        <f t="shared" si="21"/>
        <v>a</v>
      </c>
      <c r="Y198" s="9" t="str">
        <f t="shared" si="21"/>
        <v>a</v>
      </c>
      <c r="Z198" s="31">
        <f t="shared" si="24"/>
        <v>114875</v>
      </c>
      <c r="AA198" s="31">
        <f t="shared" si="25"/>
        <v>114875</v>
      </c>
    </row>
    <row r="199" spans="1:27" ht="13">
      <c r="A199" s="9">
        <v>197</v>
      </c>
      <c r="B199" s="3" t="s">
        <v>1552</v>
      </c>
      <c r="C199" s="3"/>
      <c r="D199" s="5">
        <v>27.6</v>
      </c>
      <c r="E199" s="3">
        <v>180</v>
      </c>
      <c r="F199" s="3">
        <v>60</v>
      </c>
      <c r="G199" s="5">
        <v>8</v>
      </c>
      <c r="H199" s="5">
        <v>8</v>
      </c>
      <c r="I199" s="3">
        <v>3520</v>
      </c>
      <c r="J199" s="3">
        <v>12400000</v>
      </c>
      <c r="K199" s="3">
        <v>138000</v>
      </c>
      <c r="L199" s="3">
        <v>184000</v>
      </c>
      <c r="M199" s="3">
        <v>59.4</v>
      </c>
      <c r="N199" s="5">
        <f t="shared" si="22"/>
        <v>2640</v>
      </c>
      <c r="O199" s="3">
        <v>2010000</v>
      </c>
      <c r="P199" s="3">
        <v>66900</v>
      </c>
      <c r="Q199" s="3">
        <v>80400</v>
      </c>
      <c r="R199" s="5">
        <v>23.9</v>
      </c>
      <c r="T199" s="3">
        <v>5900000</v>
      </c>
      <c r="U199" s="4"/>
      <c r="V199" s="5">
        <f t="shared" si="23"/>
        <v>880</v>
      </c>
      <c r="W199" s="8"/>
      <c r="X199" s="9" t="str">
        <f t="shared" si="21"/>
        <v>a</v>
      </c>
      <c r="Y199" s="9" t="str">
        <f t="shared" si="21"/>
        <v>a</v>
      </c>
      <c r="Z199" s="31">
        <f t="shared" si="24"/>
        <v>95072</v>
      </c>
      <c r="AA199" s="31">
        <f t="shared" si="25"/>
        <v>41312</v>
      </c>
    </row>
    <row r="200" spans="1:27" ht="13">
      <c r="A200" s="9">
        <v>198</v>
      </c>
      <c r="B200" s="3" t="s">
        <v>1553</v>
      </c>
      <c r="C200" s="3"/>
      <c r="D200" s="5">
        <v>29.2</v>
      </c>
      <c r="E200" s="3">
        <v>180</v>
      </c>
      <c r="F200" s="3">
        <v>100</v>
      </c>
      <c r="G200" s="5">
        <v>7.1</v>
      </c>
      <c r="H200" s="5">
        <v>7.1</v>
      </c>
      <c r="I200" s="3">
        <v>3720</v>
      </c>
      <c r="J200" s="3">
        <v>15550000</v>
      </c>
      <c r="K200" s="3">
        <v>173000</v>
      </c>
      <c r="L200" s="3">
        <v>215000</v>
      </c>
      <c r="M200" s="3">
        <v>64.7</v>
      </c>
      <c r="N200" s="5">
        <f t="shared" si="22"/>
        <v>2391.4285714285716</v>
      </c>
      <c r="O200" s="3">
        <v>6130000</v>
      </c>
      <c r="P200" s="3">
        <v>123000</v>
      </c>
      <c r="Q200" s="3">
        <v>142000</v>
      </c>
      <c r="R200" s="5">
        <v>40.6</v>
      </c>
      <c r="T200" s="3">
        <v>14130000</v>
      </c>
      <c r="U200" s="4"/>
      <c r="V200" s="5">
        <f t="shared" si="23"/>
        <v>1328.5714285714287</v>
      </c>
      <c r="W200" s="8"/>
      <c r="X200" s="9" t="str">
        <f t="shared" si="21"/>
        <v>a</v>
      </c>
      <c r="Y200" s="9" t="str">
        <f t="shared" si="21"/>
        <v>a</v>
      </c>
      <c r="Z200" s="31">
        <f t="shared" si="24"/>
        <v>110173.611</v>
      </c>
      <c r="AA200" s="31">
        <f t="shared" si="25"/>
        <v>72430.010999999999</v>
      </c>
    </row>
    <row r="201" spans="1:27" ht="13">
      <c r="A201" s="9">
        <v>199</v>
      </c>
      <c r="B201" s="3" t="s">
        <v>1554</v>
      </c>
      <c r="C201" s="3"/>
      <c r="D201" s="5">
        <v>30.1</v>
      </c>
      <c r="E201" s="3">
        <v>180</v>
      </c>
      <c r="F201" s="3">
        <v>60</v>
      </c>
      <c r="G201" s="5">
        <v>8.8000000000000007</v>
      </c>
      <c r="H201" s="5">
        <v>8.8000000000000007</v>
      </c>
      <c r="I201" s="3">
        <v>3830</v>
      </c>
      <c r="J201" s="3">
        <v>13310000</v>
      </c>
      <c r="K201" s="3">
        <v>148000</v>
      </c>
      <c r="L201" s="3">
        <v>199000</v>
      </c>
      <c r="M201" s="3">
        <v>58.9</v>
      </c>
      <c r="N201" s="5">
        <f t="shared" si="22"/>
        <v>2872.5</v>
      </c>
      <c r="O201" s="3">
        <v>2120000</v>
      </c>
      <c r="P201" s="3">
        <v>70800</v>
      </c>
      <c r="Q201" s="3">
        <v>86200</v>
      </c>
      <c r="R201" s="5">
        <v>23.5</v>
      </c>
      <c r="T201" s="3">
        <v>6300000</v>
      </c>
      <c r="U201" s="4"/>
      <c r="V201" s="5">
        <f t="shared" si="23"/>
        <v>957.5</v>
      </c>
      <c r="W201" s="8"/>
      <c r="X201" s="9" t="str">
        <f t="shared" si="21"/>
        <v>a</v>
      </c>
      <c r="Y201" s="9" t="str">
        <f t="shared" si="21"/>
        <v>a</v>
      </c>
      <c r="Z201" s="31">
        <f t="shared" si="24"/>
        <v>103219.07200000001</v>
      </c>
      <c r="AA201" s="31">
        <f t="shared" si="25"/>
        <v>44505.472000000009</v>
      </c>
    </row>
    <row r="202" spans="1:27" ht="13">
      <c r="A202" s="9">
        <v>200</v>
      </c>
      <c r="B202" s="3" t="s">
        <v>1555</v>
      </c>
      <c r="C202" s="3"/>
      <c r="D202" s="5">
        <v>32.6</v>
      </c>
      <c r="E202" s="3">
        <v>180</v>
      </c>
      <c r="F202" s="3">
        <v>100</v>
      </c>
      <c r="G202" s="5">
        <v>8</v>
      </c>
      <c r="H202" s="5">
        <v>8</v>
      </c>
      <c r="I202" s="3">
        <v>4160</v>
      </c>
      <c r="J202" s="3">
        <v>17130000</v>
      </c>
      <c r="K202" s="3">
        <v>190000</v>
      </c>
      <c r="L202" s="3">
        <v>239000</v>
      </c>
      <c r="M202" s="3">
        <v>64.2</v>
      </c>
      <c r="N202" s="5">
        <f t="shared" si="22"/>
        <v>2674.2857142857142</v>
      </c>
      <c r="O202" s="3">
        <v>6710000</v>
      </c>
      <c r="P202" s="3">
        <v>134000</v>
      </c>
      <c r="Q202" s="3">
        <v>157000</v>
      </c>
      <c r="R202" s="5">
        <v>40.200000000000003</v>
      </c>
      <c r="T202" s="3">
        <v>15600000</v>
      </c>
      <c r="U202" s="4"/>
      <c r="V202" s="5">
        <f t="shared" si="23"/>
        <v>1485.7142857142858</v>
      </c>
      <c r="W202" s="8"/>
      <c r="X202" s="9" t="str">
        <f t="shared" si="21"/>
        <v>a</v>
      </c>
      <c r="Y202" s="9" t="str">
        <f t="shared" si="21"/>
        <v>a</v>
      </c>
      <c r="Z202" s="31">
        <f t="shared" si="24"/>
        <v>122592</v>
      </c>
      <c r="AA202" s="31">
        <f t="shared" si="25"/>
        <v>80352</v>
      </c>
    </row>
    <row r="203" spans="1:27" ht="13">
      <c r="A203" s="9">
        <v>201</v>
      </c>
      <c r="B203" s="3" t="s">
        <v>1556</v>
      </c>
      <c r="C203" s="3"/>
      <c r="D203" s="5">
        <v>33.700000000000003</v>
      </c>
      <c r="E203" s="3">
        <v>180</v>
      </c>
      <c r="F203" s="3">
        <v>60</v>
      </c>
      <c r="G203" s="5">
        <v>10</v>
      </c>
      <c r="H203" s="5">
        <v>10</v>
      </c>
      <c r="I203" s="3">
        <v>4290</v>
      </c>
      <c r="J203" s="3">
        <v>14570000</v>
      </c>
      <c r="K203" s="3">
        <v>162000</v>
      </c>
      <c r="L203" s="3">
        <v>220000</v>
      </c>
      <c r="M203" s="3">
        <v>58.3</v>
      </c>
      <c r="N203" s="5">
        <f t="shared" si="22"/>
        <v>3217.5</v>
      </c>
      <c r="O203" s="3">
        <v>2280000</v>
      </c>
      <c r="P203" s="3">
        <v>75800</v>
      </c>
      <c r="Q203" s="3">
        <v>94400</v>
      </c>
      <c r="R203" s="5">
        <v>23</v>
      </c>
      <c r="T203" s="3">
        <v>6830000</v>
      </c>
      <c r="U203" s="4"/>
      <c r="V203" s="5">
        <f t="shared" si="23"/>
        <v>1072.5</v>
      </c>
      <c r="W203" s="8"/>
      <c r="X203" s="9" t="str">
        <f t="shared" ref="X203:Y222" si="26">IF(fy=460,"a0","a")</f>
        <v>a</v>
      </c>
      <c r="Y203" s="9" t="str">
        <f t="shared" si="26"/>
        <v>a</v>
      </c>
      <c r="Z203" s="31">
        <f t="shared" si="24"/>
        <v>115000</v>
      </c>
      <c r="AA203" s="31">
        <f t="shared" si="25"/>
        <v>49000</v>
      </c>
    </row>
    <row r="204" spans="1:27" ht="13">
      <c r="A204" s="9">
        <v>202</v>
      </c>
      <c r="B204" s="3" t="s">
        <v>1557</v>
      </c>
      <c r="C204" s="3"/>
      <c r="D204" s="5">
        <v>34</v>
      </c>
      <c r="E204" s="3">
        <v>180</v>
      </c>
      <c r="F204" s="3">
        <v>180</v>
      </c>
      <c r="G204" s="5">
        <v>6.3</v>
      </c>
      <c r="H204" s="5">
        <v>6.3</v>
      </c>
      <c r="I204" s="3">
        <v>4330</v>
      </c>
      <c r="J204" s="3">
        <v>21680000</v>
      </c>
      <c r="K204" s="3">
        <v>241000</v>
      </c>
      <c r="L204" s="3">
        <v>281000</v>
      </c>
      <c r="M204" s="3">
        <v>70.7</v>
      </c>
      <c r="N204" s="5">
        <f t="shared" si="22"/>
        <v>2165</v>
      </c>
      <c r="O204" s="3">
        <v>21680000</v>
      </c>
      <c r="P204" s="3">
        <v>241000</v>
      </c>
      <c r="Q204" s="3">
        <v>281000</v>
      </c>
      <c r="R204" s="5">
        <v>70.7</v>
      </c>
      <c r="T204" s="3">
        <v>33610000</v>
      </c>
      <c r="U204" s="4"/>
      <c r="V204" s="5">
        <f t="shared" si="23"/>
        <v>2165</v>
      </c>
      <c r="W204" s="8"/>
      <c r="X204" s="9" t="str">
        <f t="shared" si="26"/>
        <v>a</v>
      </c>
      <c r="Y204" s="9" t="str">
        <f t="shared" si="26"/>
        <v>a</v>
      </c>
      <c r="Z204" s="31">
        <f t="shared" si="24"/>
        <v>142623.747</v>
      </c>
      <c r="AA204" s="31">
        <f t="shared" si="25"/>
        <v>142623.747</v>
      </c>
    </row>
    <row r="205" spans="1:27" ht="13">
      <c r="A205" s="9">
        <v>203</v>
      </c>
      <c r="B205" s="3" t="s">
        <v>1558</v>
      </c>
      <c r="C205" s="3"/>
      <c r="D205" s="5">
        <v>35.6</v>
      </c>
      <c r="E205" s="3">
        <v>180</v>
      </c>
      <c r="F205" s="3">
        <v>100</v>
      </c>
      <c r="G205" s="5">
        <v>8.8000000000000007</v>
      </c>
      <c r="H205" s="5">
        <v>8.8000000000000007</v>
      </c>
      <c r="I205" s="3">
        <v>4540</v>
      </c>
      <c r="J205" s="3">
        <v>18470000</v>
      </c>
      <c r="K205" s="3">
        <v>205000</v>
      </c>
      <c r="L205" s="3">
        <v>259000</v>
      </c>
      <c r="M205" s="3">
        <v>63.8</v>
      </c>
      <c r="N205" s="5">
        <f t="shared" si="22"/>
        <v>2918.5714285714284</v>
      </c>
      <c r="O205" s="3">
        <v>7200000</v>
      </c>
      <c r="P205" s="3">
        <v>144000</v>
      </c>
      <c r="Q205" s="3">
        <v>170000</v>
      </c>
      <c r="R205" s="5">
        <v>39.799999999999997</v>
      </c>
      <c r="T205" s="3">
        <v>16850000</v>
      </c>
      <c r="U205" s="4"/>
      <c r="V205" s="5">
        <f t="shared" si="23"/>
        <v>1621.4285714285713</v>
      </c>
      <c r="W205" s="8"/>
      <c r="X205" s="9" t="str">
        <f t="shared" si="26"/>
        <v>a</v>
      </c>
      <c r="Y205" s="9" t="str">
        <f t="shared" si="26"/>
        <v>a</v>
      </c>
      <c r="Z205" s="31">
        <f t="shared" si="24"/>
        <v>133350.272</v>
      </c>
      <c r="AA205" s="31">
        <f t="shared" si="25"/>
        <v>87167.872000000018</v>
      </c>
    </row>
    <row r="206" spans="1:27" ht="13">
      <c r="A206" s="9">
        <v>204</v>
      </c>
      <c r="B206" s="3" t="s">
        <v>1559</v>
      </c>
      <c r="C206" s="3"/>
      <c r="D206" s="5">
        <v>38.1</v>
      </c>
      <c r="E206" s="3">
        <v>180</v>
      </c>
      <c r="F206" s="3">
        <v>180</v>
      </c>
      <c r="G206" s="5">
        <v>7.1</v>
      </c>
      <c r="H206" s="5">
        <v>7.1</v>
      </c>
      <c r="I206" s="3">
        <v>4860</v>
      </c>
      <c r="J206" s="3">
        <v>24040000</v>
      </c>
      <c r="K206" s="3">
        <v>267000</v>
      </c>
      <c r="L206" s="3">
        <v>314000</v>
      </c>
      <c r="M206" s="3">
        <v>70.400000000000006</v>
      </c>
      <c r="N206" s="5">
        <f t="shared" si="22"/>
        <v>2430</v>
      </c>
      <c r="O206" s="3">
        <v>24040000</v>
      </c>
      <c r="P206" s="3">
        <v>267000</v>
      </c>
      <c r="Q206" s="3">
        <v>314000</v>
      </c>
      <c r="R206" s="5">
        <v>70.400000000000006</v>
      </c>
      <c r="T206" s="3">
        <v>37440000</v>
      </c>
      <c r="U206" s="4"/>
      <c r="V206" s="5">
        <f t="shared" si="23"/>
        <v>2430</v>
      </c>
      <c r="W206" s="8"/>
      <c r="X206" s="9" t="str">
        <f t="shared" si="26"/>
        <v>a</v>
      </c>
      <c r="Y206" s="9" t="str">
        <f t="shared" si="26"/>
        <v>a</v>
      </c>
      <c r="Z206" s="31">
        <f t="shared" si="24"/>
        <v>159277.21100000001</v>
      </c>
      <c r="AA206" s="31">
        <f t="shared" si="25"/>
        <v>159277.21100000001</v>
      </c>
    </row>
    <row r="207" spans="1:27" ht="13">
      <c r="A207" s="9">
        <v>205</v>
      </c>
      <c r="B207" s="3" t="s">
        <v>1560</v>
      </c>
      <c r="C207" s="3"/>
      <c r="D207" s="5">
        <v>40</v>
      </c>
      <c r="E207" s="3">
        <v>180</v>
      </c>
      <c r="F207" s="3">
        <v>100</v>
      </c>
      <c r="G207" s="5">
        <v>10</v>
      </c>
      <c r="H207" s="5">
        <v>10</v>
      </c>
      <c r="I207" s="3">
        <v>5090</v>
      </c>
      <c r="J207" s="3">
        <v>20360000</v>
      </c>
      <c r="K207" s="3">
        <v>226000</v>
      </c>
      <c r="L207" s="3">
        <v>288000</v>
      </c>
      <c r="M207" s="3">
        <v>63.2</v>
      </c>
      <c r="N207" s="5">
        <f t="shared" si="22"/>
        <v>3272.1428571428573</v>
      </c>
      <c r="O207" s="3">
        <v>7870000</v>
      </c>
      <c r="P207" s="3">
        <v>157000</v>
      </c>
      <c r="Q207" s="3">
        <v>188000</v>
      </c>
      <c r="R207" s="5">
        <v>39.299999999999997</v>
      </c>
      <c r="T207" s="3">
        <v>18620000</v>
      </c>
      <c r="U207" s="4"/>
      <c r="V207" s="5">
        <f t="shared" si="23"/>
        <v>1817.8571428571429</v>
      </c>
      <c r="W207" s="8"/>
      <c r="X207" s="9" t="str">
        <f t="shared" si="26"/>
        <v>a</v>
      </c>
      <c r="Y207" s="9" t="str">
        <f t="shared" si="26"/>
        <v>a</v>
      </c>
      <c r="Z207" s="31">
        <f t="shared" si="24"/>
        <v>149000</v>
      </c>
      <c r="AA207" s="31">
        <f t="shared" si="25"/>
        <v>97000</v>
      </c>
    </row>
    <row r="208" spans="1:27" ht="13">
      <c r="A208" s="9">
        <v>206</v>
      </c>
      <c r="B208" s="3" t="s">
        <v>1561</v>
      </c>
      <c r="C208" s="3"/>
      <c r="D208" s="5">
        <v>40.9</v>
      </c>
      <c r="E208" s="3">
        <v>180</v>
      </c>
      <c r="F208" s="3">
        <v>60</v>
      </c>
      <c r="G208" s="5">
        <v>12.5</v>
      </c>
      <c r="H208" s="5">
        <v>12.5</v>
      </c>
      <c r="I208" s="3">
        <v>5210</v>
      </c>
      <c r="J208" s="3">
        <v>16820000</v>
      </c>
      <c r="K208" s="3">
        <v>187000</v>
      </c>
      <c r="L208" s="3">
        <v>260000</v>
      </c>
      <c r="M208" s="3">
        <v>56.8</v>
      </c>
      <c r="N208" s="5">
        <f t="shared" si="22"/>
        <v>3907.5</v>
      </c>
      <c r="O208" s="3">
        <v>2510000</v>
      </c>
      <c r="P208" s="3">
        <v>83700</v>
      </c>
      <c r="Q208" s="3">
        <v>109000</v>
      </c>
      <c r="R208" s="5">
        <v>22</v>
      </c>
      <c r="T208" s="3">
        <v>7700000</v>
      </c>
      <c r="U208" s="4"/>
      <c r="V208" s="5">
        <f t="shared" si="23"/>
        <v>1302.5</v>
      </c>
      <c r="W208" s="8"/>
      <c r="X208" s="9" t="str">
        <f t="shared" si="26"/>
        <v>a</v>
      </c>
      <c r="Y208" s="9" t="str">
        <f t="shared" si="26"/>
        <v>a</v>
      </c>
      <c r="Z208" s="31">
        <f t="shared" si="24"/>
        <v>137890.625</v>
      </c>
      <c r="AA208" s="31">
        <f t="shared" si="25"/>
        <v>57265.625</v>
      </c>
    </row>
    <row r="209" spans="1:27" ht="13">
      <c r="A209" s="9">
        <v>207</v>
      </c>
      <c r="B209" s="3" t="s">
        <v>1562</v>
      </c>
      <c r="C209" s="3"/>
      <c r="D209" s="5">
        <v>42.7</v>
      </c>
      <c r="E209" s="3">
        <v>180</v>
      </c>
      <c r="F209" s="3">
        <v>180</v>
      </c>
      <c r="G209" s="5">
        <v>8</v>
      </c>
      <c r="H209" s="5">
        <v>8</v>
      </c>
      <c r="I209" s="3">
        <v>5440</v>
      </c>
      <c r="J209" s="3">
        <v>26610000</v>
      </c>
      <c r="K209" s="3">
        <v>296000</v>
      </c>
      <c r="L209" s="3">
        <v>349000</v>
      </c>
      <c r="M209" s="3">
        <v>70</v>
      </c>
      <c r="N209" s="5">
        <f t="shared" si="22"/>
        <v>2720</v>
      </c>
      <c r="O209" s="3">
        <v>26610000</v>
      </c>
      <c r="P209" s="3">
        <v>296000</v>
      </c>
      <c r="Q209" s="3">
        <v>349000</v>
      </c>
      <c r="R209" s="5">
        <v>70</v>
      </c>
      <c r="T209" s="3">
        <v>41620000</v>
      </c>
      <c r="U209" s="4"/>
      <c r="V209" s="5">
        <f t="shared" si="23"/>
        <v>2720</v>
      </c>
      <c r="W209" s="8"/>
      <c r="X209" s="9" t="str">
        <f t="shared" si="26"/>
        <v>a</v>
      </c>
      <c r="Y209" s="9" t="str">
        <f t="shared" si="26"/>
        <v>a</v>
      </c>
      <c r="Z209" s="31">
        <f t="shared" si="24"/>
        <v>177632</v>
      </c>
      <c r="AA209" s="31">
        <f t="shared" si="25"/>
        <v>177632</v>
      </c>
    </row>
    <row r="210" spans="1:27" ht="13">
      <c r="A210" s="9">
        <v>208</v>
      </c>
      <c r="B210" s="3" t="s">
        <v>1563</v>
      </c>
      <c r="C210" s="3"/>
      <c r="D210" s="5">
        <v>46.7</v>
      </c>
      <c r="E210" s="3">
        <v>180</v>
      </c>
      <c r="F210" s="3">
        <v>180</v>
      </c>
      <c r="G210" s="5">
        <v>8.8000000000000007</v>
      </c>
      <c r="H210" s="5">
        <v>8.8000000000000007</v>
      </c>
      <c r="I210" s="3">
        <v>5940</v>
      </c>
      <c r="J210" s="3">
        <v>28800000</v>
      </c>
      <c r="K210" s="3">
        <v>320000</v>
      </c>
      <c r="L210" s="3">
        <v>379000</v>
      </c>
      <c r="M210" s="3">
        <v>69.599999999999994</v>
      </c>
      <c r="N210" s="5">
        <f t="shared" si="22"/>
        <v>2970</v>
      </c>
      <c r="O210" s="3">
        <v>28800000</v>
      </c>
      <c r="P210" s="3">
        <v>320000</v>
      </c>
      <c r="Q210" s="3">
        <v>379000</v>
      </c>
      <c r="R210" s="5">
        <v>69.599999999999994</v>
      </c>
      <c r="T210" s="3">
        <v>45240000</v>
      </c>
      <c r="U210" s="4"/>
      <c r="V210" s="5">
        <f t="shared" si="23"/>
        <v>2970</v>
      </c>
      <c r="W210" s="8"/>
      <c r="X210" s="9" t="str">
        <f t="shared" si="26"/>
        <v>a</v>
      </c>
      <c r="Y210" s="9" t="str">
        <f t="shared" si="26"/>
        <v>a</v>
      </c>
      <c r="Z210" s="31">
        <f t="shared" si="24"/>
        <v>193612.67200000002</v>
      </c>
      <c r="AA210" s="31">
        <f t="shared" si="25"/>
        <v>193612.67200000002</v>
      </c>
    </row>
    <row r="211" spans="1:27" ht="13">
      <c r="A211" s="9">
        <v>209</v>
      </c>
      <c r="B211" s="3" t="s">
        <v>1564</v>
      </c>
      <c r="C211" s="3"/>
      <c r="D211" s="5">
        <v>48.7</v>
      </c>
      <c r="E211" s="3">
        <v>180</v>
      </c>
      <c r="F211" s="3">
        <v>100</v>
      </c>
      <c r="G211" s="5">
        <v>12.5</v>
      </c>
      <c r="H211" s="5">
        <v>12.5</v>
      </c>
      <c r="I211" s="3">
        <v>6210</v>
      </c>
      <c r="J211" s="3">
        <v>23850000</v>
      </c>
      <c r="K211" s="3">
        <v>265000</v>
      </c>
      <c r="L211" s="3">
        <v>344000</v>
      </c>
      <c r="M211" s="3">
        <v>62</v>
      </c>
      <c r="N211" s="5">
        <f t="shared" si="22"/>
        <v>3992.1428571428573</v>
      </c>
      <c r="O211" s="3">
        <v>9080000</v>
      </c>
      <c r="P211" s="3">
        <v>182000</v>
      </c>
      <c r="Q211" s="3">
        <v>223000</v>
      </c>
      <c r="R211" s="5">
        <v>38.200000000000003</v>
      </c>
      <c r="T211" s="3">
        <v>21910000</v>
      </c>
      <c r="U211" s="4"/>
      <c r="V211" s="5">
        <f t="shared" si="23"/>
        <v>2217.8571428571427</v>
      </c>
      <c r="W211" s="8"/>
      <c r="X211" s="9" t="str">
        <f t="shared" si="26"/>
        <v>a</v>
      </c>
      <c r="Y211" s="9" t="str">
        <f t="shared" si="26"/>
        <v>a</v>
      </c>
      <c r="Z211" s="31">
        <f t="shared" si="24"/>
        <v>179765.625</v>
      </c>
      <c r="AA211" s="31">
        <f t="shared" si="25"/>
        <v>116015.625</v>
      </c>
    </row>
    <row r="212" spans="1:27" ht="13">
      <c r="A212" s="9">
        <v>210</v>
      </c>
      <c r="B212" s="3" t="s">
        <v>1565</v>
      </c>
      <c r="C212" s="3"/>
      <c r="D212" s="5">
        <v>52.5</v>
      </c>
      <c r="E212" s="3">
        <v>180</v>
      </c>
      <c r="F212" s="3">
        <v>180</v>
      </c>
      <c r="G212" s="5">
        <v>10</v>
      </c>
      <c r="H212" s="5">
        <v>10</v>
      </c>
      <c r="I212" s="3">
        <v>6690</v>
      </c>
      <c r="J212" s="3">
        <v>31930000</v>
      </c>
      <c r="K212" s="3">
        <v>355000</v>
      </c>
      <c r="L212" s="3">
        <v>424000</v>
      </c>
      <c r="M212" s="3">
        <v>69.099999999999994</v>
      </c>
      <c r="N212" s="5">
        <f t="shared" si="22"/>
        <v>3345</v>
      </c>
      <c r="O212" s="3">
        <v>31930000</v>
      </c>
      <c r="P212" s="3">
        <v>355000</v>
      </c>
      <c r="Q212" s="3">
        <v>424000</v>
      </c>
      <c r="R212" s="5">
        <v>69.099999999999994</v>
      </c>
      <c r="T212" s="3">
        <v>50480000</v>
      </c>
      <c r="U212" s="4"/>
      <c r="V212" s="5">
        <f t="shared" si="23"/>
        <v>3345</v>
      </c>
      <c r="W212" s="8"/>
      <c r="X212" s="9" t="str">
        <f t="shared" si="26"/>
        <v>a</v>
      </c>
      <c r="Y212" s="9" t="str">
        <f t="shared" si="26"/>
        <v>a</v>
      </c>
      <c r="Z212" s="31">
        <f t="shared" si="24"/>
        <v>217000</v>
      </c>
      <c r="AA212" s="31">
        <f t="shared" si="25"/>
        <v>217000</v>
      </c>
    </row>
    <row r="213" spans="1:27" ht="13">
      <c r="A213" s="9">
        <v>211</v>
      </c>
      <c r="B213" s="3" t="s">
        <v>1566</v>
      </c>
      <c r="C213" s="3"/>
      <c r="D213" s="5">
        <v>64.400000000000006</v>
      </c>
      <c r="E213" s="3">
        <v>180</v>
      </c>
      <c r="F213" s="3">
        <v>180</v>
      </c>
      <c r="G213" s="5">
        <v>12.5</v>
      </c>
      <c r="H213" s="5">
        <v>12.5</v>
      </c>
      <c r="I213" s="3">
        <v>8210</v>
      </c>
      <c r="J213" s="3">
        <v>37900000</v>
      </c>
      <c r="K213" s="3">
        <v>421000</v>
      </c>
      <c r="L213" s="3">
        <v>511000</v>
      </c>
      <c r="M213" s="3">
        <v>68</v>
      </c>
      <c r="N213" s="5">
        <f t="shared" si="22"/>
        <v>4105</v>
      </c>
      <c r="O213" s="3">
        <v>37900000</v>
      </c>
      <c r="P213" s="3">
        <v>421000</v>
      </c>
      <c r="Q213" s="3">
        <v>511000</v>
      </c>
      <c r="R213" s="5">
        <v>68</v>
      </c>
      <c r="T213" s="3">
        <v>60700000</v>
      </c>
      <c r="U213" s="4"/>
      <c r="V213" s="5">
        <f t="shared" si="23"/>
        <v>4105</v>
      </c>
      <c r="W213" s="8"/>
      <c r="X213" s="9" t="str">
        <f t="shared" si="26"/>
        <v>a</v>
      </c>
      <c r="Y213" s="9" t="str">
        <f t="shared" si="26"/>
        <v>a</v>
      </c>
      <c r="Z213" s="31">
        <f t="shared" si="24"/>
        <v>263515.625</v>
      </c>
      <c r="AA213" s="31">
        <f t="shared" si="25"/>
        <v>263515.625</v>
      </c>
    </row>
    <row r="214" spans="1:27" ht="13">
      <c r="A214" s="9">
        <v>212</v>
      </c>
      <c r="B214" s="3" t="s">
        <v>1567</v>
      </c>
      <c r="C214" s="3"/>
      <c r="D214" s="5">
        <v>72.2</v>
      </c>
      <c r="E214" s="3">
        <v>180</v>
      </c>
      <c r="F214" s="3">
        <v>180</v>
      </c>
      <c r="G214" s="5">
        <v>14.2</v>
      </c>
      <c r="H214" s="5">
        <v>14.2</v>
      </c>
      <c r="I214" s="3">
        <v>9200</v>
      </c>
      <c r="J214" s="3">
        <v>41540000</v>
      </c>
      <c r="K214" s="3">
        <v>462000</v>
      </c>
      <c r="L214" s="3">
        <v>566000</v>
      </c>
      <c r="M214" s="3">
        <v>67.2</v>
      </c>
      <c r="N214" s="5">
        <f t="shared" si="22"/>
        <v>4600</v>
      </c>
      <c r="O214" s="3">
        <v>41540000</v>
      </c>
      <c r="P214" s="3">
        <v>462000</v>
      </c>
      <c r="Q214" s="3">
        <v>566000</v>
      </c>
      <c r="R214" s="5">
        <v>67.2</v>
      </c>
      <c r="T214" s="3">
        <v>67110000</v>
      </c>
      <c r="U214" s="4"/>
      <c r="V214" s="5">
        <f t="shared" si="23"/>
        <v>4600</v>
      </c>
      <c r="W214" s="8"/>
      <c r="X214" s="9" t="str">
        <f t="shared" si="26"/>
        <v>a</v>
      </c>
      <c r="Y214" s="9" t="str">
        <f t="shared" si="26"/>
        <v>a</v>
      </c>
      <c r="Z214" s="31">
        <f t="shared" si="24"/>
        <v>293480.48800000001</v>
      </c>
      <c r="AA214" s="31">
        <f t="shared" si="25"/>
        <v>293480.48800000001</v>
      </c>
    </row>
    <row r="215" spans="1:27" ht="13">
      <c r="A215" s="9">
        <v>213</v>
      </c>
      <c r="B215" s="3" t="s">
        <v>1568</v>
      </c>
      <c r="C215" s="3"/>
      <c r="D215" s="5">
        <v>80.2</v>
      </c>
      <c r="E215" s="3">
        <v>180</v>
      </c>
      <c r="F215" s="3">
        <v>180</v>
      </c>
      <c r="G215" s="5">
        <v>16</v>
      </c>
      <c r="H215" s="5">
        <v>16</v>
      </c>
      <c r="I215" s="3">
        <v>10200</v>
      </c>
      <c r="J215" s="3">
        <v>45040000</v>
      </c>
      <c r="K215" s="3">
        <v>500000</v>
      </c>
      <c r="L215" s="3">
        <v>621000</v>
      </c>
      <c r="M215" s="3">
        <v>66.400000000000006</v>
      </c>
      <c r="N215" s="5">
        <f t="shared" si="22"/>
        <v>5100</v>
      </c>
      <c r="O215" s="3">
        <v>45040000</v>
      </c>
      <c r="P215" s="3">
        <v>500000</v>
      </c>
      <c r="Q215" s="3">
        <v>621000</v>
      </c>
      <c r="R215" s="5">
        <v>66.400000000000006</v>
      </c>
      <c r="T215" s="3">
        <v>73430000</v>
      </c>
      <c r="U215" s="4"/>
      <c r="V215" s="5">
        <f t="shared" si="23"/>
        <v>5100</v>
      </c>
      <c r="W215" s="8"/>
      <c r="X215" s="9" t="str">
        <f t="shared" si="26"/>
        <v>a</v>
      </c>
      <c r="Y215" s="9" t="str">
        <f t="shared" si="26"/>
        <v>a</v>
      </c>
      <c r="Z215" s="31">
        <f t="shared" si="24"/>
        <v>323776</v>
      </c>
      <c r="AA215" s="31">
        <f t="shared" si="25"/>
        <v>323776</v>
      </c>
    </row>
    <row r="216" spans="1:27" ht="13">
      <c r="A216" s="9">
        <v>214</v>
      </c>
      <c r="B216" s="3" t="s">
        <v>1569</v>
      </c>
      <c r="C216" s="3"/>
      <c r="D216" s="5">
        <v>18.2</v>
      </c>
      <c r="E216" s="3">
        <v>200</v>
      </c>
      <c r="F216" s="3">
        <v>100</v>
      </c>
      <c r="G216" s="5">
        <v>4</v>
      </c>
      <c r="H216" s="5">
        <v>4</v>
      </c>
      <c r="I216" s="3">
        <v>2320</v>
      </c>
      <c r="J216" s="3">
        <v>12230000</v>
      </c>
      <c r="K216" s="3">
        <v>122000</v>
      </c>
      <c r="L216" s="3">
        <v>150000</v>
      </c>
      <c r="M216" s="3">
        <v>72.599999999999994</v>
      </c>
      <c r="N216" s="5">
        <f t="shared" si="22"/>
        <v>1546.6666666666667</v>
      </c>
      <c r="O216" s="3">
        <v>4160000</v>
      </c>
      <c r="P216" s="3">
        <v>83200</v>
      </c>
      <c r="Q216" s="3">
        <v>92800</v>
      </c>
      <c r="R216" s="5">
        <v>42.4</v>
      </c>
      <c r="T216" s="3">
        <v>9830000</v>
      </c>
      <c r="U216" s="4"/>
      <c r="V216" s="5">
        <f t="shared" si="23"/>
        <v>773.33333333333337</v>
      </c>
      <c r="W216" s="8"/>
      <c r="X216" s="9" t="str">
        <f t="shared" si="26"/>
        <v>a</v>
      </c>
      <c r="Y216" s="9" t="str">
        <f t="shared" si="26"/>
        <v>a</v>
      </c>
      <c r="Z216" s="31">
        <f t="shared" si="24"/>
        <v>76064</v>
      </c>
      <c r="AA216" s="31">
        <f t="shared" si="25"/>
        <v>46864</v>
      </c>
    </row>
    <row r="217" spans="1:27" ht="13">
      <c r="A217" s="9">
        <v>215</v>
      </c>
      <c r="B217" s="3" t="s">
        <v>1570</v>
      </c>
      <c r="C217" s="3"/>
      <c r="D217" s="5">
        <v>22.6</v>
      </c>
      <c r="E217" s="3">
        <v>200</v>
      </c>
      <c r="F217" s="3">
        <v>100</v>
      </c>
      <c r="G217" s="5">
        <v>5</v>
      </c>
      <c r="H217" s="5">
        <v>5</v>
      </c>
      <c r="I217" s="3">
        <v>2870</v>
      </c>
      <c r="J217" s="3">
        <v>14950000</v>
      </c>
      <c r="K217" s="3">
        <v>149000</v>
      </c>
      <c r="L217" s="3">
        <v>185000</v>
      </c>
      <c r="M217" s="3">
        <v>72.099999999999994</v>
      </c>
      <c r="N217" s="5">
        <f t="shared" si="22"/>
        <v>1913.3333333333333</v>
      </c>
      <c r="O217" s="3">
        <v>5050000</v>
      </c>
      <c r="P217" s="3">
        <v>101000</v>
      </c>
      <c r="Q217" s="3">
        <v>114000</v>
      </c>
      <c r="R217" s="5">
        <v>41.9</v>
      </c>
      <c r="T217" s="3">
        <v>12040000</v>
      </c>
      <c r="U217" s="4"/>
      <c r="V217" s="5">
        <f t="shared" si="23"/>
        <v>956.66666666666663</v>
      </c>
      <c r="W217" s="8"/>
      <c r="X217" s="9" t="str">
        <f t="shared" si="26"/>
        <v>a</v>
      </c>
      <c r="Y217" s="9" t="str">
        <f t="shared" si="26"/>
        <v>a</v>
      </c>
      <c r="Z217" s="31">
        <f t="shared" si="24"/>
        <v>93875</v>
      </c>
      <c r="AA217" s="31">
        <f t="shared" si="25"/>
        <v>57625</v>
      </c>
    </row>
    <row r="218" spans="1:27" ht="13">
      <c r="A218" s="9">
        <v>216</v>
      </c>
      <c r="B218" s="3" t="s">
        <v>1571</v>
      </c>
      <c r="C218" s="3"/>
      <c r="D218" s="5">
        <v>22.6</v>
      </c>
      <c r="E218" s="3">
        <v>200</v>
      </c>
      <c r="F218" s="3">
        <v>100</v>
      </c>
      <c r="G218" s="5">
        <v>5</v>
      </c>
      <c r="H218" s="5">
        <v>5</v>
      </c>
      <c r="I218" s="3">
        <v>2870</v>
      </c>
      <c r="J218" s="3">
        <v>14950000</v>
      </c>
      <c r="K218" s="3">
        <v>149000</v>
      </c>
      <c r="L218" s="3">
        <v>185000</v>
      </c>
      <c r="M218" s="3">
        <v>72.099999999999994</v>
      </c>
      <c r="N218" s="5">
        <f t="shared" si="22"/>
        <v>1913.3333333333333</v>
      </c>
      <c r="O218" s="3">
        <v>5050000</v>
      </c>
      <c r="P218" s="3">
        <v>101000</v>
      </c>
      <c r="Q218" s="3">
        <v>114000</v>
      </c>
      <c r="R218" s="5">
        <v>41.9</v>
      </c>
      <c r="T218" s="3">
        <v>12040000</v>
      </c>
      <c r="U218" s="4"/>
      <c r="V218" s="5">
        <f t="shared" si="23"/>
        <v>956.66666666666663</v>
      </c>
      <c r="W218" s="8"/>
      <c r="X218" s="9" t="str">
        <f t="shared" si="26"/>
        <v>a</v>
      </c>
      <c r="Y218" s="9" t="str">
        <f t="shared" si="26"/>
        <v>a</v>
      </c>
      <c r="Z218" s="31">
        <f t="shared" si="24"/>
        <v>93875</v>
      </c>
      <c r="AA218" s="31">
        <f t="shared" si="25"/>
        <v>57625</v>
      </c>
    </row>
    <row r="219" spans="1:27" ht="13">
      <c r="A219" s="9">
        <v>217</v>
      </c>
      <c r="B219" s="3" t="s">
        <v>1572</v>
      </c>
      <c r="C219" s="3"/>
      <c r="D219" s="5">
        <v>24.1</v>
      </c>
      <c r="E219" s="3">
        <v>200</v>
      </c>
      <c r="F219" s="3">
        <v>120</v>
      </c>
      <c r="G219" s="5">
        <v>5</v>
      </c>
      <c r="H219" s="5">
        <v>5</v>
      </c>
      <c r="I219" s="3">
        <v>3070</v>
      </c>
      <c r="J219" s="3">
        <v>16850000</v>
      </c>
      <c r="K219" s="3">
        <v>168000</v>
      </c>
      <c r="L219" s="3">
        <v>205000</v>
      </c>
      <c r="M219" s="3">
        <v>74</v>
      </c>
      <c r="N219" s="5">
        <f t="shared" si="22"/>
        <v>1918.75</v>
      </c>
      <c r="O219" s="3">
        <v>7620000</v>
      </c>
      <c r="P219" s="3">
        <v>127000</v>
      </c>
      <c r="Q219" s="3">
        <v>144000</v>
      </c>
      <c r="R219" s="5">
        <v>49.8</v>
      </c>
      <c r="T219" s="3">
        <v>16480000</v>
      </c>
      <c r="U219" s="4"/>
      <c r="V219" s="5">
        <f t="shared" si="23"/>
        <v>1151.25</v>
      </c>
      <c r="W219" s="8"/>
      <c r="X219" s="9" t="str">
        <f t="shared" si="26"/>
        <v>a</v>
      </c>
      <c r="Y219" s="9" t="str">
        <f t="shared" si="26"/>
        <v>a</v>
      </c>
      <c r="Z219" s="31">
        <f t="shared" si="24"/>
        <v>103625</v>
      </c>
      <c r="AA219" s="31">
        <f t="shared" si="25"/>
        <v>72625</v>
      </c>
    </row>
    <row r="220" spans="1:27" ht="13">
      <c r="A220" s="9">
        <v>218</v>
      </c>
      <c r="B220" s="3" t="s">
        <v>1573</v>
      </c>
      <c r="C220" s="3"/>
      <c r="D220" s="5">
        <v>26.5</v>
      </c>
      <c r="E220" s="3">
        <v>200</v>
      </c>
      <c r="F220" s="3">
        <v>150</v>
      </c>
      <c r="G220" s="5">
        <v>5</v>
      </c>
      <c r="H220" s="5">
        <v>5</v>
      </c>
      <c r="I220" s="3">
        <v>3370</v>
      </c>
      <c r="J220" s="3">
        <v>19700000</v>
      </c>
      <c r="K220" s="3">
        <v>197000</v>
      </c>
      <c r="L220" s="3">
        <v>234000</v>
      </c>
      <c r="M220" s="3">
        <v>76.400000000000006</v>
      </c>
      <c r="N220" s="5">
        <f t="shared" si="22"/>
        <v>1925.7142857142858</v>
      </c>
      <c r="O220" s="3">
        <v>12650000</v>
      </c>
      <c r="P220" s="3">
        <v>169000</v>
      </c>
      <c r="Q220" s="3">
        <v>192000</v>
      </c>
      <c r="R220" s="5">
        <v>61.2</v>
      </c>
      <c r="T220" s="3">
        <v>23860000</v>
      </c>
      <c r="U220" s="4"/>
      <c r="V220" s="5">
        <f t="shared" si="23"/>
        <v>1444.2857142857142</v>
      </c>
      <c r="W220" s="8"/>
      <c r="X220" s="9" t="str">
        <f t="shared" si="26"/>
        <v>a</v>
      </c>
      <c r="Y220" s="9" t="str">
        <f t="shared" si="26"/>
        <v>a</v>
      </c>
      <c r="Z220" s="31">
        <f t="shared" si="24"/>
        <v>118250</v>
      </c>
      <c r="AA220" s="31">
        <f t="shared" si="25"/>
        <v>97000</v>
      </c>
    </row>
    <row r="221" spans="1:27" ht="13">
      <c r="A221" s="9">
        <v>219</v>
      </c>
      <c r="B221" s="3" t="s">
        <v>1574</v>
      </c>
      <c r="C221" s="3"/>
      <c r="D221" s="5">
        <v>28.1</v>
      </c>
      <c r="E221" s="3">
        <v>200</v>
      </c>
      <c r="F221" s="3">
        <v>100</v>
      </c>
      <c r="G221" s="5">
        <v>6.3</v>
      </c>
      <c r="H221" s="5">
        <v>6.3</v>
      </c>
      <c r="I221" s="3">
        <v>3580</v>
      </c>
      <c r="J221" s="3">
        <v>18290000</v>
      </c>
      <c r="K221" s="3">
        <v>183000</v>
      </c>
      <c r="L221" s="3">
        <v>228000</v>
      </c>
      <c r="M221" s="3">
        <v>71.5</v>
      </c>
      <c r="N221" s="5">
        <f t="shared" si="22"/>
        <v>2386.6666666666665</v>
      </c>
      <c r="O221" s="3">
        <v>6130000</v>
      </c>
      <c r="P221" s="3">
        <v>123000</v>
      </c>
      <c r="Q221" s="3">
        <v>140000</v>
      </c>
      <c r="R221" s="5">
        <v>41.4</v>
      </c>
      <c r="T221" s="3">
        <v>14750000</v>
      </c>
      <c r="U221" s="4"/>
      <c r="V221" s="5">
        <f t="shared" si="23"/>
        <v>1193.3333333333333</v>
      </c>
      <c r="W221" s="8"/>
      <c r="X221" s="9" t="str">
        <f t="shared" si="26"/>
        <v>a</v>
      </c>
      <c r="Y221" s="9" t="str">
        <f t="shared" si="26"/>
        <v>a</v>
      </c>
      <c r="Z221" s="31">
        <f t="shared" si="24"/>
        <v>116327.54699999999</v>
      </c>
      <c r="AA221" s="31">
        <f t="shared" si="25"/>
        <v>71062.047000000006</v>
      </c>
    </row>
    <row r="222" spans="1:27" ht="13">
      <c r="A222" s="9">
        <v>220</v>
      </c>
      <c r="B222" s="3" t="s">
        <v>1575</v>
      </c>
      <c r="C222" s="3"/>
      <c r="D222" s="5">
        <v>30.1</v>
      </c>
      <c r="E222" s="3">
        <v>200</v>
      </c>
      <c r="F222" s="3">
        <v>120</v>
      </c>
      <c r="G222" s="5">
        <v>6.3</v>
      </c>
      <c r="H222" s="5">
        <v>6.3</v>
      </c>
      <c r="I222" s="3">
        <v>3830</v>
      </c>
      <c r="J222" s="3">
        <v>20650000</v>
      </c>
      <c r="K222" s="3">
        <v>207000</v>
      </c>
      <c r="L222" s="3">
        <v>253000</v>
      </c>
      <c r="M222" s="3">
        <v>73.400000000000006</v>
      </c>
      <c r="N222" s="5">
        <f t="shared" si="22"/>
        <v>2393.75</v>
      </c>
      <c r="O222" s="3">
        <v>9290000</v>
      </c>
      <c r="P222" s="3">
        <v>155000</v>
      </c>
      <c r="Q222" s="3">
        <v>177000</v>
      </c>
      <c r="R222" s="5">
        <v>49.2</v>
      </c>
      <c r="T222" s="3">
        <v>20280000</v>
      </c>
      <c r="U222" s="4"/>
      <c r="V222" s="5">
        <f t="shared" si="23"/>
        <v>1436.25</v>
      </c>
      <c r="W222" s="8"/>
      <c r="X222" s="9" t="str">
        <f t="shared" si="26"/>
        <v>a</v>
      </c>
      <c r="Y222" s="9" t="str">
        <f t="shared" si="26"/>
        <v>a</v>
      </c>
      <c r="Z222" s="31">
        <f t="shared" si="24"/>
        <v>128530.647</v>
      </c>
      <c r="AA222" s="31">
        <f t="shared" si="25"/>
        <v>89798.247000000003</v>
      </c>
    </row>
    <row r="223" spans="1:27" ht="13">
      <c r="A223" s="9">
        <v>221</v>
      </c>
      <c r="B223" s="3" t="s">
        <v>1576</v>
      </c>
      <c r="C223" s="3"/>
      <c r="D223" s="5">
        <v>30.4</v>
      </c>
      <c r="E223" s="3">
        <v>200</v>
      </c>
      <c r="F223" s="3">
        <v>200</v>
      </c>
      <c r="G223" s="5">
        <v>5</v>
      </c>
      <c r="H223" s="5">
        <v>5</v>
      </c>
      <c r="I223" s="3">
        <v>3870</v>
      </c>
      <c r="J223" s="3">
        <v>24450000</v>
      </c>
      <c r="K223" s="3">
        <v>245000</v>
      </c>
      <c r="L223" s="3">
        <v>283000</v>
      </c>
      <c r="M223" s="3">
        <v>79.5</v>
      </c>
      <c r="N223" s="5">
        <f t="shared" si="22"/>
        <v>1935</v>
      </c>
      <c r="O223" s="3">
        <v>24450000</v>
      </c>
      <c r="P223" s="3">
        <v>245000</v>
      </c>
      <c r="Q223" s="3">
        <v>283000</v>
      </c>
      <c r="R223" s="5">
        <v>79.5</v>
      </c>
      <c r="T223" s="3">
        <v>37560000</v>
      </c>
      <c r="U223" s="4"/>
      <c r="V223" s="5">
        <f t="shared" si="23"/>
        <v>1935</v>
      </c>
      <c r="W223" s="8"/>
      <c r="X223" s="9" t="str">
        <f t="shared" ref="X223:Y242" si="27">IF(fy=460,"a0","a")</f>
        <v>a</v>
      </c>
      <c r="Y223" s="9" t="str">
        <f t="shared" si="27"/>
        <v>a</v>
      </c>
      <c r="Z223" s="31">
        <f t="shared" si="24"/>
        <v>142625</v>
      </c>
      <c r="AA223" s="31">
        <f t="shared" si="25"/>
        <v>142625</v>
      </c>
    </row>
    <row r="224" spans="1:27" ht="13">
      <c r="A224" s="9">
        <v>222</v>
      </c>
      <c r="B224" s="3" t="s">
        <v>1577</v>
      </c>
      <c r="C224" s="3"/>
      <c r="D224" s="5">
        <v>31.4</v>
      </c>
      <c r="E224" s="3">
        <v>200</v>
      </c>
      <c r="F224" s="3">
        <v>100</v>
      </c>
      <c r="G224" s="5">
        <v>7.1</v>
      </c>
      <c r="H224" s="5">
        <v>7.1</v>
      </c>
      <c r="I224" s="3">
        <v>4000</v>
      </c>
      <c r="J224" s="3">
        <v>20240000</v>
      </c>
      <c r="K224" s="3">
        <v>202000</v>
      </c>
      <c r="L224" s="3">
        <v>254000</v>
      </c>
      <c r="M224" s="3">
        <v>71.099999999999994</v>
      </c>
      <c r="N224" s="5">
        <f t="shared" si="22"/>
        <v>2666.6666666666665</v>
      </c>
      <c r="O224" s="3">
        <v>6740000</v>
      </c>
      <c r="P224" s="3">
        <v>135000</v>
      </c>
      <c r="Q224" s="3">
        <v>155000</v>
      </c>
      <c r="R224" s="5">
        <v>41</v>
      </c>
      <c r="T224" s="3">
        <v>16340000</v>
      </c>
      <c r="U224" s="4"/>
      <c r="V224" s="5">
        <f t="shared" si="23"/>
        <v>1333.3333333333333</v>
      </c>
      <c r="W224" s="8"/>
      <c r="X224" s="9" t="str">
        <f t="shared" si="27"/>
        <v>a</v>
      </c>
      <c r="Y224" s="9" t="str">
        <f t="shared" si="27"/>
        <v>a</v>
      </c>
      <c r="Z224" s="31">
        <f t="shared" si="24"/>
        <v>129755.41100000001</v>
      </c>
      <c r="AA224" s="31">
        <f t="shared" si="25"/>
        <v>79025.910999999993</v>
      </c>
    </row>
    <row r="225" spans="1:27" ht="13">
      <c r="A225" s="9">
        <v>223</v>
      </c>
      <c r="B225" s="3" t="s">
        <v>1578</v>
      </c>
      <c r="C225" s="3"/>
      <c r="D225" s="5">
        <v>33</v>
      </c>
      <c r="E225" s="3">
        <v>200</v>
      </c>
      <c r="F225" s="3">
        <v>150</v>
      </c>
      <c r="G225" s="5">
        <v>6.3</v>
      </c>
      <c r="H225" s="5">
        <v>6.3</v>
      </c>
      <c r="I225" s="3">
        <v>4210</v>
      </c>
      <c r="J225" s="3">
        <v>24200000</v>
      </c>
      <c r="K225" s="3">
        <v>242000</v>
      </c>
      <c r="L225" s="3">
        <v>289000</v>
      </c>
      <c r="M225" s="3">
        <v>75.8</v>
      </c>
      <c r="N225" s="5">
        <f t="shared" si="22"/>
        <v>2405.7142857142858</v>
      </c>
      <c r="O225" s="3">
        <v>15490000</v>
      </c>
      <c r="P225" s="3">
        <v>207000</v>
      </c>
      <c r="Q225" s="3">
        <v>237000</v>
      </c>
      <c r="R225" s="5">
        <v>60.7</v>
      </c>
      <c r="T225" s="3">
        <v>29470000</v>
      </c>
      <c r="U225" s="4"/>
      <c r="V225" s="5">
        <f t="shared" si="23"/>
        <v>1804.2857142857142</v>
      </c>
      <c r="W225" s="8"/>
      <c r="X225" s="9" t="str">
        <f t="shared" si="27"/>
        <v>a</v>
      </c>
      <c r="Y225" s="9" t="str">
        <f t="shared" si="27"/>
        <v>a</v>
      </c>
      <c r="Z225" s="31">
        <f t="shared" si="24"/>
        <v>146835.29699999999</v>
      </c>
      <c r="AA225" s="31">
        <f t="shared" si="25"/>
        <v>120265.04700000001</v>
      </c>
    </row>
    <row r="226" spans="1:27" ht="13">
      <c r="A226" s="9">
        <v>224</v>
      </c>
      <c r="B226" s="3" t="s">
        <v>1579</v>
      </c>
      <c r="C226" s="3"/>
      <c r="D226" s="5">
        <v>33.700000000000003</v>
      </c>
      <c r="E226" s="3">
        <v>200</v>
      </c>
      <c r="F226" s="3">
        <v>120</v>
      </c>
      <c r="G226" s="5">
        <v>7.1</v>
      </c>
      <c r="H226" s="5">
        <v>7.1</v>
      </c>
      <c r="I226" s="3">
        <v>4290</v>
      </c>
      <c r="J226" s="3">
        <v>22880000</v>
      </c>
      <c r="K226" s="3">
        <v>229000</v>
      </c>
      <c r="L226" s="3">
        <v>281000</v>
      </c>
      <c r="M226" s="3">
        <v>73</v>
      </c>
      <c r="N226" s="5">
        <f t="shared" si="22"/>
        <v>2681.25</v>
      </c>
      <c r="O226" s="3">
        <v>10250000</v>
      </c>
      <c r="P226" s="3">
        <v>171000</v>
      </c>
      <c r="Q226" s="3">
        <v>197000</v>
      </c>
      <c r="R226" s="5">
        <v>48.9</v>
      </c>
      <c r="T226" s="3">
        <v>22520000</v>
      </c>
      <c r="U226" s="4"/>
      <c r="V226" s="5">
        <f t="shared" si="23"/>
        <v>1608.75</v>
      </c>
      <c r="W226" s="8"/>
      <c r="X226" s="9" t="str">
        <f t="shared" si="27"/>
        <v>a</v>
      </c>
      <c r="Y226" s="9" t="str">
        <f t="shared" si="27"/>
        <v>a</v>
      </c>
      <c r="Z226" s="31">
        <f t="shared" si="24"/>
        <v>143451.31100000002</v>
      </c>
      <c r="AA226" s="31">
        <f t="shared" si="25"/>
        <v>100027.711</v>
      </c>
    </row>
    <row r="227" spans="1:27" ht="13">
      <c r="A227" s="9">
        <v>225</v>
      </c>
      <c r="B227" s="3" t="s">
        <v>1580</v>
      </c>
      <c r="C227" s="3"/>
      <c r="D227" s="5">
        <v>35.1</v>
      </c>
      <c r="E227" s="3">
        <v>200</v>
      </c>
      <c r="F227" s="3">
        <v>100</v>
      </c>
      <c r="G227" s="5">
        <v>8</v>
      </c>
      <c r="H227" s="5">
        <v>8</v>
      </c>
      <c r="I227" s="3">
        <v>4480</v>
      </c>
      <c r="J227" s="3">
        <v>22340000</v>
      </c>
      <c r="K227" s="3">
        <v>223000</v>
      </c>
      <c r="L227" s="3">
        <v>282000</v>
      </c>
      <c r="M227" s="3">
        <v>70.599999999999994</v>
      </c>
      <c r="N227" s="5">
        <f t="shared" si="22"/>
        <v>2986.6666666666665</v>
      </c>
      <c r="O227" s="3">
        <v>7390000</v>
      </c>
      <c r="P227" s="3">
        <v>148000</v>
      </c>
      <c r="Q227" s="3">
        <v>172000</v>
      </c>
      <c r="R227" s="5">
        <v>40.6</v>
      </c>
      <c r="T227" s="3">
        <v>18040000</v>
      </c>
      <c r="U227" s="4"/>
      <c r="V227" s="5">
        <f t="shared" si="23"/>
        <v>1493.3333333333333</v>
      </c>
      <c r="W227" s="8"/>
      <c r="X227" s="9" t="str">
        <f t="shared" si="27"/>
        <v>a</v>
      </c>
      <c r="Y227" s="9" t="str">
        <f t="shared" si="27"/>
        <v>a</v>
      </c>
      <c r="Z227" s="31">
        <f t="shared" si="24"/>
        <v>144512</v>
      </c>
      <c r="AA227" s="31">
        <f t="shared" si="25"/>
        <v>87712</v>
      </c>
    </row>
    <row r="228" spans="1:27" ht="13">
      <c r="A228" s="9">
        <v>226</v>
      </c>
      <c r="B228" s="3" t="s">
        <v>1581</v>
      </c>
      <c r="C228" s="3"/>
      <c r="D228" s="5">
        <v>37</v>
      </c>
      <c r="E228" s="3">
        <v>200</v>
      </c>
      <c r="F228" s="3">
        <v>150</v>
      </c>
      <c r="G228" s="5">
        <v>7.1</v>
      </c>
      <c r="H228" s="5">
        <v>7.1</v>
      </c>
      <c r="I228" s="3">
        <v>4710</v>
      </c>
      <c r="J228" s="3">
        <v>26850000</v>
      </c>
      <c r="K228" s="3">
        <v>268000</v>
      </c>
      <c r="L228" s="3">
        <v>322000</v>
      </c>
      <c r="M228" s="3">
        <v>75.5</v>
      </c>
      <c r="N228" s="5">
        <f t="shared" si="22"/>
        <v>2691.4285714285716</v>
      </c>
      <c r="O228" s="3">
        <v>17150000</v>
      </c>
      <c r="P228" s="3">
        <v>229000</v>
      </c>
      <c r="Q228" s="3">
        <v>264000</v>
      </c>
      <c r="R228" s="5">
        <v>60.3</v>
      </c>
      <c r="T228" s="3">
        <v>32800000</v>
      </c>
      <c r="U228" s="4"/>
      <c r="V228" s="5">
        <f t="shared" si="23"/>
        <v>2018.5714285714287</v>
      </c>
      <c r="W228" s="8"/>
      <c r="X228" s="9" t="str">
        <f t="shared" si="27"/>
        <v>a</v>
      </c>
      <c r="Y228" s="9" t="str">
        <f t="shared" si="27"/>
        <v>a</v>
      </c>
      <c r="Z228" s="31">
        <f t="shared" si="24"/>
        <v>163995.16100000002</v>
      </c>
      <c r="AA228" s="31">
        <f t="shared" si="25"/>
        <v>134192.91099999999</v>
      </c>
    </row>
    <row r="229" spans="1:27" ht="13">
      <c r="A229" s="9">
        <v>227</v>
      </c>
      <c r="B229" s="3" t="s">
        <v>1582</v>
      </c>
      <c r="C229" s="3"/>
      <c r="D229" s="5">
        <v>37.6</v>
      </c>
      <c r="E229" s="3">
        <v>200</v>
      </c>
      <c r="F229" s="3">
        <v>120</v>
      </c>
      <c r="G229" s="5">
        <v>8</v>
      </c>
      <c r="H229" s="5">
        <v>8</v>
      </c>
      <c r="I229" s="3">
        <v>4800</v>
      </c>
      <c r="J229" s="3">
        <v>25290000</v>
      </c>
      <c r="K229" s="3">
        <v>253000</v>
      </c>
      <c r="L229" s="3">
        <v>313000</v>
      </c>
      <c r="M229" s="3">
        <v>72.599999999999994</v>
      </c>
      <c r="N229" s="5">
        <f t="shared" si="22"/>
        <v>3000</v>
      </c>
      <c r="O229" s="3">
        <v>11280000</v>
      </c>
      <c r="P229" s="3">
        <v>188000</v>
      </c>
      <c r="Q229" s="3">
        <v>218000</v>
      </c>
      <c r="R229" s="5">
        <v>48.5</v>
      </c>
      <c r="T229" s="3">
        <v>24950000</v>
      </c>
      <c r="U229" s="4"/>
      <c r="V229" s="5">
        <f t="shared" si="23"/>
        <v>1800</v>
      </c>
      <c r="W229" s="8"/>
      <c r="X229" s="9" t="str">
        <f t="shared" si="27"/>
        <v>a</v>
      </c>
      <c r="Y229" s="9" t="str">
        <f t="shared" si="27"/>
        <v>a</v>
      </c>
      <c r="Z229" s="31">
        <f t="shared" si="24"/>
        <v>159872</v>
      </c>
      <c r="AA229" s="31">
        <f t="shared" si="25"/>
        <v>111232</v>
      </c>
    </row>
    <row r="230" spans="1:27" ht="13">
      <c r="A230" s="9">
        <v>228</v>
      </c>
      <c r="B230" s="3" t="s">
        <v>1583</v>
      </c>
      <c r="C230" s="3"/>
      <c r="D230" s="5">
        <v>37.6</v>
      </c>
      <c r="E230" s="3">
        <v>200</v>
      </c>
      <c r="F230" s="3">
        <v>120</v>
      </c>
      <c r="G230" s="5">
        <v>8</v>
      </c>
      <c r="H230" s="5">
        <v>8</v>
      </c>
      <c r="I230" s="3">
        <v>4800</v>
      </c>
      <c r="J230" s="3">
        <v>25290000</v>
      </c>
      <c r="K230" s="3">
        <v>253000</v>
      </c>
      <c r="L230" s="3">
        <v>313000</v>
      </c>
      <c r="M230" s="3">
        <v>72.599999999999994</v>
      </c>
      <c r="N230" s="5">
        <f t="shared" si="22"/>
        <v>3000</v>
      </c>
      <c r="O230" s="3">
        <v>11280000</v>
      </c>
      <c r="P230" s="3">
        <v>188000</v>
      </c>
      <c r="Q230" s="3">
        <v>218000</v>
      </c>
      <c r="R230" s="5">
        <v>48.5</v>
      </c>
      <c r="T230" s="3">
        <v>24950000</v>
      </c>
      <c r="U230" s="4"/>
      <c r="V230" s="5">
        <f t="shared" si="23"/>
        <v>1800</v>
      </c>
      <c r="W230" s="8"/>
      <c r="X230" s="9" t="str">
        <f t="shared" si="27"/>
        <v>a</v>
      </c>
      <c r="Y230" s="9" t="str">
        <f t="shared" si="27"/>
        <v>a</v>
      </c>
      <c r="Z230" s="31">
        <f t="shared" si="24"/>
        <v>159872</v>
      </c>
      <c r="AA230" s="31">
        <f t="shared" si="25"/>
        <v>111232</v>
      </c>
    </row>
    <row r="231" spans="1:27" ht="13">
      <c r="A231" s="9">
        <v>229</v>
      </c>
      <c r="B231" s="3" t="s">
        <v>1584</v>
      </c>
      <c r="C231" s="3"/>
      <c r="D231" s="5">
        <v>38</v>
      </c>
      <c r="E231" s="3">
        <v>200</v>
      </c>
      <c r="F231" s="3">
        <v>200</v>
      </c>
      <c r="G231" s="5">
        <v>6.3</v>
      </c>
      <c r="H231" s="5">
        <v>6.3</v>
      </c>
      <c r="I231" s="3">
        <v>4840</v>
      </c>
      <c r="J231" s="3">
        <v>30110000</v>
      </c>
      <c r="K231" s="3">
        <v>301000</v>
      </c>
      <c r="L231" s="3">
        <v>350000</v>
      </c>
      <c r="M231" s="3">
        <v>78.900000000000006</v>
      </c>
      <c r="N231" s="5">
        <f t="shared" si="22"/>
        <v>2420</v>
      </c>
      <c r="O231" s="3">
        <v>30110000</v>
      </c>
      <c r="P231" s="3">
        <v>301000</v>
      </c>
      <c r="Q231" s="3">
        <v>350000</v>
      </c>
      <c r="R231" s="5">
        <v>78.900000000000006</v>
      </c>
      <c r="T231" s="3">
        <v>46530000</v>
      </c>
      <c r="U231" s="4"/>
      <c r="V231" s="5">
        <f t="shared" si="23"/>
        <v>2420</v>
      </c>
      <c r="W231" s="8"/>
      <c r="X231" s="9" t="str">
        <f t="shared" si="27"/>
        <v>a</v>
      </c>
      <c r="Y231" s="9" t="str">
        <f t="shared" si="27"/>
        <v>a</v>
      </c>
      <c r="Z231" s="31">
        <f t="shared" si="24"/>
        <v>177343.04699999999</v>
      </c>
      <c r="AA231" s="31">
        <f t="shared" si="25"/>
        <v>177343.04699999999</v>
      </c>
    </row>
    <row r="232" spans="1:27" ht="13">
      <c r="A232" s="9">
        <v>230</v>
      </c>
      <c r="B232" s="3" t="s">
        <v>1585</v>
      </c>
      <c r="C232" s="3"/>
      <c r="D232" s="5">
        <v>38.4</v>
      </c>
      <c r="E232" s="3">
        <v>200</v>
      </c>
      <c r="F232" s="3">
        <v>100</v>
      </c>
      <c r="G232" s="5">
        <v>8.8000000000000007</v>
      </c>
      <c r="H232" s="5">
        <v>8.8000000000000007</v>
      </c>
      <c r="I232" s="3">
        <v>4890</v>
      </c>
      <c r="J232" s="3">
        <v>24120000</v>
      </c>
      <c r="K232" s="3">
        <v>241000</v>
      </c>
      <c r="L232" s="3">
        <v>306000</v>
      </c>
      <c r="M232" s="3">
        <v>70.2</v>
      </c>
      <c r="N232" s="5">
        <f t="shared" si="22"/>
        <v>3260</v>
      </c>
      <c r="O232" s="3">
        <v>7930000</v>
      </c>
      <c r="P232" s="3">
        <v>159000</v>
      </c>
      <c r="Q232" s="3">
        <v>186000</v>
      </c>
      <c r="R232" s="5">
        <v>40.299999999999997</v>
      </c>
      <c r="T232" s="3">
        <v>19500000</v>
      </c>
      <c r="U232" s="4"/>
      <c r="V232" s="5">
        <f t="shared" si="23"/>
        <v>1630</v>
      </c>
      <c r="W232" s="8"/>
      <c r="X232" s="9" t="str">
        <f t="shared" si="27"/>
        <v>a</v>
      </c>
      <c r="Y232" s="9" t="str">
        <f t="shared" si="27"/>
        <v>a</v>
      </c>
      <c r="Z232" s="31">
        <f t="shared" si="24"/>
        <v>157321.47200000001</v>
      </c>
      <c r="AA232" s="31">
        <f t="shared" si="25"/>
        <v>95193.472000000023</v>
      </c>
    </row>
    <row r="233" spans="1:27" ht="13">
      <c r="A233" s="9">
        <v>231</v>
      </c>
      <c r="B233" s="3" t="s">
        <v>1586</v>
      </c>
      <c r="C233" s="3"/>
      <c r="D233" s="5">
        <v>41.1</v>
      </c>
      <c r="E233" s="3">
        <v>200</v>
      </c>
      <c r="F233" s="3">
        <v>120</v>
      </c>
      <c r="G233" s="5">
        <v>8.8000000000000007</v>
      </c>
      <c r="H233" s="5">
        <v>8.8000000000000007</v>
      </c>
      <c r="I233" s="3">
        <v>5240</v>
      </c>
      <c r="J233" s="3">
        <v>27340000</v>
      </c>
      <c r="K233" s="3">
        <v>273000</v>
      </c>
      <c r="L233" s="3">
        <v>340000</v>
      </c>
      <c r="M233" s="3">
        <v>72.2</v>
      </c>
      <c r="N233" s="5">
        <f t="shared" si="22"/>
        <v>3275</v>
      </c>
      <c r="O233" s="3">
        <v>12150000</v>
      </c>
      <c r="P233" s="3">
        <v>203000</v>
      </c>
      <c r="Q233" s="3">
        <v>237000</v>
      </c>
      <c r="R233" s="5">
        <v>48.2</v>
      </c>
      <c r="T233" s="3">
        <v>27030000</v>
      </c>
      <c r="U233" s="4"/>
      <c r="V233" s="5">
        <f t="shared" si="23"/>
        <v>1965</v>
      </c>
      <c r="W233" s="8"/>
      <c r="X233" s="9" t="str">
        <f t="shared" si="27"/>
        <v>a</v>
      </c>
      <c r="Y233" s="9" t="str">
        <f t="shared" si="27"/>
        <v>a</v>
      </c>
      <c r="Z233" s="31">
        <f t="shared" si="24"/>
        <v>174147.07199999999</v>
      </c>
      <c r="AA233" s="31">
        <f t="shared" si="25"/>
        <v>120924.67200000002</v>
      </c>
    </row>
    <row r="234" spans="1:27" ht="13">
      <c r="A234" s="9">
        <v>232</v>
      </c>
      <c r="B234" s="3" t="s">
        <v>1587</v>
      </c>
      <c r="C234" s="3"/>
      <c r="D234" s="5">
        <v>41.4</v>
      </c>
      <c r="E234" s="3">
        <v>200</v>
      </c>
      <c r="F234" s="3">
        <v>150</v>
      </c>
      <c r="G234" s="5">
        <v>8</v>
      </c>
      <c r="H234" s="5">
        <v>8</v>
      </c>
      <c r="I234" s="3">
        <v>5280</v>
      </c>
      <c r="J234" s="3">
        <v>29710000</v>
      </c>
      <c r="K234" s="3">
        <v>297000</v>
      </c>
      <c r="L234" s="3">
        <v>359000</v>
      </c>
      <c r="M234" s="3">
        <v>75</v>
      </c>
      <c r="N234" s="5">
        <f t="shared" si="22"/>
        <v>3017.1428571428573</v>
      </c>
      <c r="O234" s="3">
        <v>18940000</v>
      </c>
      <c r="P234" s="3">
        <v>253000</v>
      </c>
      <c r="Q234" s="3">
        <v>294000</v>
      </c>
      <c r="R234" s="5">
        <v>59.9</v>
      </c>
      <c r="T234" s="3">
        <v>36430000</v>
      </c>
      <c r="U234" s="4"/>
      <c r="V234" s="5">
        <f t="shared" si="23"/>
        <v>2262.8571428571427</v>
      </c>
      <c r="W234" s="8"/>
      <c r="X234" s="9" t="str">
        <f t="shared" si="27"/>
        <v>a</v>
      </c>
      <c r="Y234" s="9" t="str">
        <f t="shared" si="27"/>
        <v>a</v>
      </c>
      <c r="Z234" s="31">
        <f t="shared" si="24"/>
        <v>182912</v>
      </c>
      <c r="AA234" s="31">
        <f t="shared" si="25"/>
        <v>149512</v>
      </c>
    </row>
    <row r="235" spans="1:27" ht="13">
      <c r="A235" s="9">
        <v>233</v>
      </c>
      <c r="B235" s="3" t="s">
        <v>1588</v>
      </c>
      <c r="C235" s="3"/>
      <c r="D235" s="5">
        <v>42.6</v>
      </c>
      <c r="E235" s="3">
        <v>200</v>
      </c>
      <c r="F235" s="3">
        <v>200</v>
      </c>
      <c r="G235" s="5">
        <v>7.1</v>
      </c>
      <c r="H235" s="5">
        <v>7.1</v>
      </c>
      <c r="I235" s="3">
        <v>5420</v>
      </c>
      <c r="J235" s="3">
        <v>33450000</v>
      </c>
      <c r="K235" s="3">
        <v>335000</v>
      </c>
      <c r="L235" s="3">
        <v>391000</v>
      </c>
      <c r="M235" s="3">
        <v>78.5</v>
      </c>
      <c r="N235" s="5">
        <f t="shared" si="22"/>
        <v>2710</v>
      </c>
      <c r="O235" s="3">
        <v>33450000</v>
      </c>
      <c r="P235" s="3">
        <v>335000</v>
      </c>
      <c r="Q235" s="3">
        <v>391000</v>
      </c>
      <c r="R235" s="5">
        <v>78.5</v>
      </c>
      <c r="T235" s="3">
        <v>51890000</v>
      </c>
      <c r="U235" s="4"/>
      <c r="V235" s="5">
        <f t="shared" si="23"/>
        <v>2710</v>
      </c>
      <c r="W235" s="8"/>
      <c r="X235" s="9" t="str">
        <f t="shared" si="27"/>
        <v>a</v>
      </c>
      <c r="Y235" s="9" t="str">
        <f t="shared" si="27"/>
        <v>a</v>
      </c>
      <c r="Z235" s="31">
        <f t="shared" si="24"/>
        <v>198234.91100000002</v>
      </c>
      <c r="AA235" s="31">
        <f t="shared" si="25"/>
        <v>198234.91100000002</v>
      </c>
    </row>
    <row r="236" spans="1:27" ht="13">
      <c r="A236" s="9">
        <v>234</v>
      </c>
      <c r="B236" s="3" t="s">
        <v>1589</v>
      </c>
      <c r="C236" s="3"/>
      <c r="D236" s="5">
        <v>43.1</v>
      </c>
      <c r="E236" s="3">
        <v>200</v>
      </c>
      <c r="F236" s="3">
        <v>100</v>
      </c>
      <c r="G236" s="5">
        <v>10</v>
      </c>
      <c r="H236" s="5">
        <v>10</v>
      </c>
      <c r="I236" s="3">
        <v>5490</v>
      </c>
      <c r="J236" s="3">
        <v>26640000</v>
      </c>
      <c r="K236" s="3">
        <v>266000</v>
      </c>
      <c r="L236" s="3">
        <v>341000</v>
      </c>
      <c r="M236" s="3">
        <v>69.599999999999994</v>
      </c>
      <c r="N236" s="5">
        <f t="shared" si="22"/>
        <v>3660</v>
      </c>
      <c r="O236" s="3">
        <v>8690000</v>
      </c>
      <c r="P236" s="3">
        <v>174000</v>
      </c>
      <c r="Q236" s="3">
        <v>206000</v>
      </c>
      <c r="R236" s="5">
        <v>39.799999999999997</v>
      </c>
      <c r="T236" s="3">
        <v>21560000</v>
      </c>
      <c r="U236" s="4"/>
      <c r="V236" s="5">
        <f t="shared" si="23"/>
        <v>1830</v>
      </c>
      <c r="W236" s="8"/>
      <c r="X236" s="9" t="str">
        <f t="shared" si="27"/>
        <v>a</v>
      </c>
      <c r="Y236" s="9" t="str">
        <f t="shared" si="27"/>
        <v>a</v>
      </c>
      <c r="Z236" s="31">
        <f t="shared" si="24"/>
        <v>176000</v>
      </c>
      <c r="AA236" s="31">
        <f t="shared" si="25"/>
        <v>106000</v>
      </c>
    </row>
    <row r="237" spans="1:27" ht="13">
      <c r="A237" s="9">
        <v>235</v>
      </c>
      <c r="B237" s="3" t="s">
        <v>1590</v>
      </c>
      <c r="C237" s="3"/>
      <c r="D237" s="5">
        <v>45.3</v>
      </c>
      <c r="E237" s="3">
        <v>200</v>
      </c>
      <c r="F237" s="3">
        <v>150</v>
      </c>
      <c r="G237" s="5">
        <v>8.8000000000000007</v>
      </c>
      <c r="H237" s="5">
        <v>8.8000000000000007</v>
      </c>
      <c r="I237" s="3">
        <v>5770</v>
      </c>
      <c r="J237" s="3">
        <v>32170000</v>
      </c>
      <c r="K237" s="3">
        <v>322000</v>
      </c>
      <c r="L237" s="3">
        <v>390000</v>
      </c>
      <c r="M237" s="3">
        <v>74.7</v>
      </c>
      <c r="N237" s="5">
        <f t="shared" si="22"/>
        <v>3297.1428571428573</v>
      </c>
      <c r="O237" s="3">
        <v>20470000</v>
      </c>
      <c r="P237" s="3">
        <v>273000</v>
      </c>
      <c r="Q237" s="3">
        <v>319000</v>
      </c>
      <c r="R237" s="5">
        <v>59.6</v>
      </c>
      <c r="T237" s="3">
        <v>39560000</v>
      </c>
      <c r="U237" s="4"/>
      <c r="V237" s="5">
        <f t="shared" si="23"/>
        <v>2472.8571428571427</v>
      </c>
      <c r="W237" s="8"/>
      <c r="X237" s="9" t="str">
        <f t="shared" si="27"/>
        <v>a</v>
      </c>
      <c r="Y237" s="9" t="str">
        <f t="shared" si="27"/>
        <v>a</v>
      </c>
      <c r="Z237" s="31">
        <f t="shared" si="24"/>
        <v>199385.47200000001</v>
      </c>
      <c r="AA237" s="31">
        <f t="shared" si="25"/>
        <v>162821.47200000001</v>
      </c>
    </row>
    <row r="238" spans="1:27" ht="13">
      <c r="A238" s="9">
        <v>236</v>
      </c>
      <c r="B238" s="3" t="s">
        <v>1591</v>
      </c>
      <c r="C238" s="3"/>
      <c r="D238" s="5">
        <v>46.3</v>
      </c>
      <c r="E238" s="3">
        <v>200</v>
      </c>
      <c r="F238" s="3">
        <v>120</v>
      </c>
      <c r="G238" s="5">
        <v>10</v>
      </c>
      <c r="H238" s="5">
        <v>10</v>
      </c>
      <c r="I238" s="3">
        <v>5890</v>
      </c>
      <c r="J238" s="3">
        <v>30260000</v>
      </c>
      <c r="K238" s="3">
        <v>303000</v>
      </c>
      <c r="L238" s="3">
        <v>379000</v>
      </c>
      <c r="M238" s="3">
        <v>71.7</v>
      </c>
      <c r="N238" s="5">
        <f t="shared" si="22"/>
        <v>3681.25</v>
      </c>
      <c r="O238" s="3">
        <v>13370000</v>
      </c>
      <c r="P238" s="3">
        <v>223000</v>
      </c>
      <c r="Q238" s="3">
        <v>263000</v>
      </c>
      <c r="R238" s="5">
        <v>47.6</v>
      </c>
      <c r="T238" s="3">
        <v>30010000</v>
      </c>
      <c r="U238" s="4"/>
      <c r="V238" s="5">
        <f t="shared" si="23"/>
        <v>2208.75</v>
      </c>
      <c r="W238" s="8"/>
      <c r="X238" s="9" t="str">
        <f t="shared" si="27"/>
        <v>a</v>
      </c>
      <c r="Y238" s="9" t="str">
        <f t="shared" si="27"/>
        <v>a</v>
      </c>
      <c r="Z238" s="31">
        <f t="shared" si="24"/>
        <v>195000</v>
      </c>
      <c r="AA238" s="31">
        <f t="shared" si="25"/>
        <v>135000</v>
      </c>
    </row>
    <row r="239" spans="1:27" ht="13">
      <c r="A239" s="9">
        <v>237</v>
      </c>
      <c r="B239" s="3" t="s">
        <v>1592</v>
      </c>
      <c r="C239" s="3"/>
      <c r="D239" s="5">
        <v>46.3</v>
      </c>
      <c r="E239" s="3">
        <v>200</v>
      </c>
      <c r="F239" s="3">
        <v>120</v>
      </c>
      <c r="G239" s="5">
        <v>10</v>
      </c>
      <c r="H239" s="5">
        <v>10</v>
      </c>
      <c r="I239" s="3">
        <v>5890</v>
      </c>
      <c r="J239" s="3">
        <v>30260000</v>
      </c>
      <c r="K239" s="3">
        <v>303000</v>
      </c>
      <c r="L239" s="3">
        <v>379000</v>
      </c>
      <c r="M239" s="3">
        <v>71.7</v>
      </c>
      <c r="N239" s="5">
        <f t="shared" si="22"/>
        <v>3681.25</v>
      </c>
      <c r="O239" s="3">
        <v>13370000</v>
      </c>
      <c r="P239" s="3">
        <v>223000</v>
      </c>
      <c r="Q239" s="3">
        <v>263000</v>
      </c>
      <c r="R239" s="5">
        <v>47.6</v>
      </c>
      <c r="T239" s="3">
        <v>30010000</v>
      </c>
      <c r="U239" s="4"/>
      <c r="V239" s="5">
        <f t="shared" si="23"/>
        <v>2208.75</v>
      </c>
      <c r="W239" s="8"/>
      <c r="X239" s="9" t="str">
        <f t="shared" si="27"/>
        <v>a</v>
      </c>
      <c r="Y239" s="9" t="str">
        <f t="shared" si="27"/>
        <v>a</v>
      </c>
      <c r="Z239" s="31">
        <f t="shared" si="24"/>
        <v>195000</v>
      </c>
      <c r="AA239" s="31">
        <f t="shared" si="25"/>
        <v>135000</v>
      </c>
    </row>
    <row r="240" spans="1:27" ht="13">
      <c r="A240" s="9">
        <v>238</v>
      </c>
      <c r="B240" s="3" t="s">
        <v>1593</v>
      </c>
      <c r="C240" s="3"/>
      <c r="D240" s="5">
        <v>47.7</v>
      </c>
      <c r="E240" s="3">
        <v>200</v>
      </c>
      <c r="F240" s="3">
        <v>200</v>
      </c>
      <c r="G240" s="5">
        <v>8</v>
      </c>
      <c r="H240" s="5">
        <v>8</v>
      </c>
      <c r="I240" s="3">
        <v>6080</v>
      </c>
      <c r="J240" s="3">
        <v>37090000</v>
      </c>
      <c r="K240" s="3">
        <v>371000</v>
      </c>
      <c r="L240" s="3">
        <v>436000</v>
      </c>
      <c r="M240" s="3">
        <v>78.099999999999994</v>
      </c>
      <c r="N240" s="5">
        <f t="shared" si="22"/>
        <v>3040</v>
      </c>
      <c r="O240" s="3">
        <v>37090000</v>
      </c>
      <c r="P240" s="3">
        <v>371000</v>
      </c>
      <c r="Q240" s="3">
        <v>436000</v>
      </c>
      <c r="R240" s="5">
        <v>78.099999999999994</v>
      </c>
      <c r="T240" s="3">
        <v>57780000</v>
      </c>
      <c r="U240" s="4"/>
      <c r="V240" s="5">
        <f t="shared" si="23"/>
        <v>3040</v>
      </c>
      <c r="W240" s="8"/>
      <c r="X240" s="9" t="str">
        <f t="shared" si="27"/>
        <v>a</v>
      </c>
      <c r="Y240" s="9" t="str">
        <f t="shared" si="27"/>
        <v>a</v>
      </c>
      <c r="Z240" s="31">
        <f t="shared" si="24"/>
        <v>221312</v>
      </c>
      <c r="AA240" s="31">
        <f t="shared" si="25"/>
        <v>221312</v>
      </c>
    </row>
    <row r="241" spans="1:27" ht="13">
      <c r="A241" s="9">
        <v>239</v>
      </c>
      <c r="B241" s="3" t="s">
        <v>1594</v>
      </c>
      <c r="C241" s="3"/>
      <c r="D241" s="5">
        <v>51</v>
      </c>
      <c r="E241" s="3">
        <v>200</v>
      </c>
      <c r="F241" s="3">
        <v>150</v>
      </c>
      <c r="G241" s="5">
        <v>10</v>
      </c>
      <c r="H241" s="5">
        <v>10</v>
      </c>
      <c r="I241" s="3">
        <v>6490</v>
      </c>
      <c r="J241" s="3">
        <v>35680000</v>
      </c>
      <c r="K241" s="3">
        <v>357000</v>
      </c>
      <c r="L241" s="3">
        <v>436000</v>
      </c>
      <c r="M241" s="3">
        <v>74.099999999999994</v>
      </c>
      <c r="N241" s="5">
        <f t="shared" si="22"/>
        <v>3708.5714285714284</v>
      </c>
      <c r="O241" s="3">
        <v>22640000</v>
      </c>
      <c r="P241" s="3">
        <v>302000</v>
      </c>
      <c r="Q241" s="3">
        <v>356000</v>
      </c>
      <c r="R241" s="5">
        <v>59.1</v>
      </c>
      <c r="T241" s="3">
        <v>44090000</v>
      </c>
      <c r="U241" s="4"/>
      <c r="V241" s="5">
        <f t="shared" si="23"/>
        <v>2781.4285714285716</v>
      </c>
      <c r="W241" s="8"/>
      <c r="X241" s="9" t="str">
        <f t="shared" si="27"/>
        <v>a</v>
      </c>
      <c r="Y241" s="9" t="str">
        <f t="shared" si="27"/>
        <v>a</v>
      </c>
      <c r="Z241" s="31">
        <f t="shared" si="24"/>
        <v>223500</v>
      </c>
      <c r="AA241" s="31">
        <f t="shared" si="25"/>
        <v>182250</v>
      </c>
    </row>
    <row r="242" spans="1:27" ht="13">
      <c r="A242" s="9">
        <v>240</v>
      </c>
      <c r="B242" s="3" t="s">
        <v>1595</v>
      </c>
      <c r="C242" s="3"/>
      <c r="D242" s="5">
        <v>52.2</v>
      </c>
      <c r="E242" s="3">
        <v>200</v>
      </c>
      <c r="F242" s="3">
        <v>200</v>
      </c>
      <c r="G242" s="5">
        <v>8.8000000000000007</v>
      </c>
      <c r="H242" s="5">
        <v>8.8000000000000007</v>
      </c>
      <c r="I242" s="3">
        <v>6650</v>
      </c>
      <c r="J242" s="3">
        <v>40210000</v>
      </c>
      <c r="K242" s="3">
        <v>402000</v>
      </c>
      <c r="L242" s="3">
        <v>474000</v>
      </c>
      <c r="M242" s="3">
        <v>77.8</v>
      </c>
      <c r="N242" s="5">
        <f t="shared" si="22"/>
        <v>3325</v>
      </c>
      <c r="O242" s="3">
        <v>40210000</v>
      </c>
      <c r="P242" s="3">
        <v>402000</v>
      </c>
      <c r="Q242" s="3">
        <v>474000</v>
      </c>
      <c r="R242" s="5">
        <v>77.8</v>
      </c>
      <c r="T242" s="3">
        <v>62880000</v>
      </c>
      <c r="U242" s="4"/>
      <c r="V242" s="5">
        <f t="shared" si="23"/>
        <v>3325</v>
      </c>
      <c r="W242" s="8"/>
      <c r="X242" s="9" t="str">
        <f t="shared" si="27"/>
        <v>a</v>
      </c>
      <c r="Y242" s="9" t="str">
        <f t="shared" si="27"/>
        <v>a</v>
      </c>
      <c r="Z242" s="31">
        <f t="shared" si="24"/>
        <v>241449.47200000001</v>
      </c>
      <c r="AA242" s="31">
        <f t="shared" si="25"/>
        <v>241449.47200000001</v>
      </c>
    </row>
    <row r="243" spans="1:27" ht="13">
      <c r="A243" s="9">
        <v>241</v>
      </c>
      <c r="B243" s="3" t="s">
        <v>1596</v>
      </c>
      <c r="C243" s="3"/>
      <c r="D243" s="5">
        <v>52.7</v>
      </c>
      <c r="E243" s="3">
        <v>200</v>
      </c>
      <c r="F243" s="3">
        <v>100</v>
      </c>
      <c r="G243" s="5">
        <v>12.5</v>
      </c>
      <c r="H243" s="5">
        <v>12.5</v>
      </c>
      <c r="I243" s="3">
        <v>6710</v>
      </c>
      <c r="J243" s="3">
        <v>31360000</v>
      </c>
      <c r="K243" s="3">
        <v>314000</v>
      </c>
      <c r="L243" s="3">
        <v>408000</v>
      </c>
      <c r="M243" s="3">
        <v>68.400000000000006</v>
      </c>
      <c r="N243" s="5">
        <f t="shared" si="22"/>
        <v>4473.333333333333</v>
      </c>
      <c r="O243" s="3">
        <v>10040000</v>
      </c>
      <c r="P243" s="3">
        <v>201000</v>
      </c>
      <c r="Q243" s="3">
        <v>245000</v>
      </c>
      <c r="R243" s="5">
        <v>38.700000000000003</v>
      </c>
      <c r="T243" s="3">
        <v>25410000</v>
      </c>
      <c r="U243" s="4"/>
      <c r="V243" s="5">
        <f t="shared" si="23"/>
        <v>2236.6666666666665</v>
      </c>
      <c r="W243" s="8"/>
      <c r="X243" s="9" t="str">
        <f t="shared" ref="X243:Y262" si="28">IF(fy=460,"a0","a")</f>
        <v>a</v>
      </c>
      <c r="Y243" s="9" t="str">
        <f t="shared" si="28"/>
        <v>a</v>
      </c>
      <c r="Z243" s="31">
        <f t="shared" si="24"/>
        <v>212890.625</v>
      </c>
      <c r="AA243" s="31">
        <f t="shared" si="25"/>
        <v>126953.125</v>
      </c>
    </row>
    <row r="244" spans="1:27" ht="13">
      <c r="A244" s="9">
        <v>242</v>
      </c>
      <c r="B244" s="3" t="s">
        <v>1597</v>
      </c>
      <c r="C244" s="3"/>
      <c r="D244" s="5">
        <v>56.6</v>
      </c>
      <c r="E244" s="3">
        <v>200</v>
      </c>
      <c r="F244" s="3">
        <v>120</v>
      </c>
      <c r="G244" s="5">
        <v>12.5</v>
      </c>
      <c r="H244" s="5">
        <v>12.5</v>
      </c>
      <c r="I244" s="3">
        <v>7210</v>
      </c>
      <c r="J244" s="3">
        <v>35760000</v>
      </c>
      <c r="K244" s="3">
        <v>358000</v>
      </c>
      <c r="L244" s="3">
        <v>455000</v>
      </c>
      <c r="M244" s="3">
        <v>70.400000000000006</v>
      </c>
      <c r="N244" s="5">
        <f t="shared" si="22"/>
        <v>4506.25</v>
      </c>
      <c r="O244" s="3">
        <v>15620000</v>
      </c>
      <c r="P244" s="3">
        <v>260000</v>
      </c>
      <c r="Q244" s="3">
        <v>314000</v>
      </c>
      <c r="R244" s="5">
        <v>46.6</v>
      </c>
      <c r="T244" s="3">
        <v>35690000</v>
      </c>
      <c r="U244" s="4"/>
      <c r="V244" s="5">
        <f t="shared" si="23"/>
        <v>2703.75</v>
      </c>
      <c r="W244" s="8"/>
      <c r="X244" s="9" t="str">
        <f t="shared" si="28"/>
        <v>a</v>
      </c>
      <c r="Y244" s="9" t="str">
        <f t="shared" si="28"/>
        <v>a</v>
      </c>
      <c r="Z244" s="31">
        <f t="shared" si="24"/>
        <v>236328.125</v>
      </c>
      <c r="AA244" s="31">
        <f t="shared" si="25"/>
        <v>162578.125</v>
      </c>
    </row>
    <row r="245" spans="1:27" ht="13">
      <c r="A245" s="9">
        <v>243</v>
      </c>
      <c r="B245" s="3" t="s">
        <v>1598</v>
      </c>
      <c r="C245" s="3"/>
      <c r="D245" s="5">
        <v>58.8</v>
      </c>
      <c r="E245" s="3">
        <v>200</v>
      </c>
      <c r="F245" s="3">
        <v>200</v>
      </c>
      <c r="G245" s="5">
        <v>10</v>
      </c>
      <c r="H245" s="5">
        <v>10</v>
      </c>
      <c r="I245" s="3">
        <v>7490</v>
      </c>
      <c r="J245" s="3">
        <v>44710000</v>
      </c>
      <c r="K245" s="3">
        <v>447000</v>
      </c>
      <c r="L245" s="3">
        <v>531000</v>
      </c>
      <c r="M245" s="3">
        <v>77.2</v>
      </c>
      <c r="N245" s="5">
        <f t="shared" si="22"/>
        <v>3745</v>
      </c>
      <c r="O245" s="3">
        <v>44710000</v>
      </c>
      <c r="P245" s="3">
        <v>447000</v>
      </c>
      <c r="Q245" s="3">
        <v>531000</v>
      </c>
      <c r="R245" s="5">
        <v>77.2</v>
      </c>
      <c r="T245" s="3">
        <v>70310000</v>
      </c>
      <c r="U245" s="4"/>
      <c r="V245" s="5">
        <f t="shared" si="23"/>
        <v>3745</v>
      </c>
      <c r="W245" s="8"/>
      <c r="X245" s="9" t="str">
        <f t="shared" si="28"/>
        <v>a</v>
      </c>
      <c r="Y245" s="9" t="str">
        <f t="shared" si="28"/>
        <v>a</v>
      </c>
      <c r="Z245" s="31">
        <f t="shared" si="24"/>
        <v>271000</v>
      </c>
      <c r="AA245" s="31">
        <f t="shared" si="25"/>
        <v>271000</v>
      </c>
    </row>
    <row r="246" spans="1:27" ht="13">
      <c r="A246" s="9">
        <v>244</v>
      </c>
      <c r="B246" s="3" t="s">
        <v>1599</v>
      </c>
      <c r="C246" s="3"/>
      <c r="D246" s="5">
        <v>58.9</v>
      </c>
      <c r="E246" s="3">
        <v>200</v>
      </c>
      <c r="F246" s="3">
        <v>100</v>
      </c>
      <c r="G246" s="5">
        <v>14.2</v>
      </c>
      <c r="H246" s="5">
        <v>14.2</v>
      </c>
      <c r="I246" s="3">
        <v>7500</v>
      </c>
      <c r="J246" s="3">
        <v>34160000</v>
      </c>
      <c r="K246" s="3">
        <v>342000</v>
      </c>
      <c r="L246" s="3">
        <v>450000</v>
      </c>
      <c r="M246" s="3">
        <v>67.5</v>
      </c>
      <c r="N246" s="5">
        <f t="shared" si="22"/>
        <v>5000</v>
      </c>
      <c r="O246" s="3">
        <v>10800000</v>
      </c>
      <c r="P246" s="3">
        <v>216000</v>
      </c>
      <c r="Q246" s="3">
        <v>268000</v>
      </c>
      <c r="R246" s="5">
        <v>38</v>
      </c>
      <c r="T246" s="3">
        <v>27700000</v>
      </c>
      <c r="U246" s="4"/>
      <c r="V246" s="5">
        <f t="shared" si="23"/>
        <v>2500</v>
      </c>
      <c r="W246" s="8"/>
      <c r="X246" s="9" t="str">
        <f t="shared" si="28"/>
        <v>a</v>
      </c>
      <c r="Y246" s="9" t="str">
        <f t="shared" si="28"/>
        <v>a</v>
      </c>
      <c r="Z246" s="31">
        <f t="shared" si="24"/>
        <v>236453.288</v>
      </c>
      <c r="AA246" s="31">
        <f t="shared" si="25"/>
        <v>140035.288</v>
      </c>
    </row>
    <row r="247" spans="1:27" ht="13">
      <c r="A247" s="9">
        <v>245</v>
      </c>
      <c r="B247" s="3" t="s">
        <v>1600</v>
      </c>
      <c r="C247" s="3"/>
      <c r="D247" s="5">
        <v>62.5</v>
      </c>
      <c r="E247" s="3">
        <v>200</v>
      </c>
      <c r="F247" s="3">
        <v>150</v>
      </c>
      <c r="G247" s="5">
        <v>12.5</v>
      </c>
      <c r="H247" s="5">
        <v>12.5</v>
      </c>
      <c r="I247" s="3">
        <v>7960</v>
      </c>
      <c r="J247" s="3">
        <v>42360000</v>
      </c>
      <c r="K247" s="3">
        <v>424000</v>
      </c>
      <c r="L247" s="3">
        <v>525000</v>
      </c>
      <c r="M247" s="3">
        <v>73</v>
      </c>
      <c r="N247" s="5">
        <f t="shared" si="22"/>
        <v>4548.5714285714284</v>
      </c>
      <c r="O247" s="3">
        <v>26730000</v>
      </c>
      <c r="P247" s="3">
        <v>356000</v>
      </c>
      <c r="Q247" s="3">
        <v>428000</v>
      </c>
      <c r="R247" s="5">
        <v>58</v>
      </c>
      <c r="T247" s="3">
        <v>52870000</v>
      </c>
      <c r="U247" s="4"/>
      <c r="V247" s="5">
        <f t="shared" si="23"/>
        <v>3411.4285714285716</v>
      </c>
      <c r="W247" s="8"/>
      <c r="X247" s="9" t="str">
        <f t="shared" si="28"/>
        <v>a</v>
      </c>
      <c r="Y247" s="9" t="str">
        <f t="shared" si="28"/>
        <v>a</v>
      </c>
      <c r="Z247" s="31">
        <f t="shared" si="24"/>
        <v>271484.375</v>
      </c>
      <c r="AA247" s="31">
        <f t="shared" si="25"/>
        <v>220703.125</v>
      </c>
    </row>
    <row r="248" spans="1:27" ht="13">
      <c r="A248" s="9">
        <v>246</v>
      </c>
      <c r="B248" s="3" t="s">
        <v>1601</v>
      </c>
      <c r="C248" s="3"/>
      <c r="D248" s="5">
        <v>63.3</v>
      </c>
      <c r="E248" s="3">
        <v>200</v>
      </c>
      <c r="F248" s="3">
        <v>120</v>
      </c>
      <c r="G248" s="5">
        <v>14.2</v>
      </c>
      <c r="H248" s="5">
        <v>14.2</v>
      </c>
      <c r="I248" s="3">
        <v>8070</v>
      </c>
      <c r="J248" s="3">
        <v>39070000</v>
      </c>
      <c r="K248" s="3">
        <v>391000</v>
      </c>
      <c r="L248" s="3">
        <v>503000</v>
      </c>
      <c r="M248" s="3">
        <v>69.599999999999994</v>
      </c>
      <c r="N248" s="5">
        <f t="shared" si="22"/>
        <v>5043.75</v>
      </c>
      <c r="O248" s="3">
        <v>16930000</v>
      </c>
      <c r="P248" s="3">
        <v>282000</v>
      </c>
      <c r="Q248" s="3">
        <v>346000</v>
      </c>
      <c r="R248" s="5">
        <v>45.8</v>
      </c>
      <c r="T248" s="3">
        <v>39150000</v>
      </c>
      <c r="U248" s="4"/>
      <c r="V248" s="5">
        <f t="shared" si="23"/>
        <v>3026.25</v>
      </c>
      <c r="W248" s="8"/>
      <c r="X248" s="9" t="str">
        <f t="shared" si="28"/>
        <v>a</v>
      </c>
      <c r="Y248" s="9" t="str">
        <f t="shared" si="28"/>
        <v>a</v>
      </c>
      <c r="Z248" s="31">
        <f t="shared" si="24"/>
        <v>262836.88799999998</v>
      </c>
      <c r="AA248" s="31">
        <f t="shared" si="25"/>
        <v>180022.48800000001</v>
      </c>
    </row>
    <row r="249" spans="1:27" ht="13">
      <c r="A249" s="9">
        <v>247</v>
      </c>
      <c r="B249" s="3" t="s">
        <v>204</v>
      </c>
      <c r="C249" s="3"/>
      <c r="D249" s="5">
        <v>65.2</v>
      </c>
      <c r="E249" s="3">
        <v>200</v>
      </c>
      <c r="F249" s="3">
        <v>100</v>
      </c>
      <c r="G249" s="5">
        <v>16</v>
      </c>
      <c r="H249" s="5">
        <v>16</v>
      </c>
      <c r="I249" s="3">
        <v>8300</v>
      </c>
      <c r="J249" s="3">
        <v>36780000</v>
      </c>
      <c r="K249" s="3">
        <v>368000</v>
      </c>
      <c r="L249" s="3">
        <v>491000</v>
      </c>
      <c r="M249" s="3">
        <v>66.599999999999994</v>
      </c>
      <c r="N249" s="5">
        <f t="shared" si="22"/>
        <v>5533.333333333333</v>
      </c>
      <c r="O249" s="3">
        <v>11470000</v>
      </c>
      <c r="P249" s="3">
        <v>229000</v>
      </c>
      <c r="Q249" s="3">
        <v>290000</v>
      </c>
      <c r="R249" s="5">
        <v>37.200000000000003</v>
      </c>
      <c r="T249" s="3">
        <v>29820000</v>
      </c>
      <c r="U249" s="4"/>
      <c r="V249" s="5">
        <f t="shared" si="23"/>
        <v>2766.6666666666665</v>
      </c>
      <c r="W249" s="8"/>
      <c r="X249" s="9" t="str">
        <f t="shared" si="28"/>
        <v>a</v>
      </c>
      <c r="Y249" s="9" t="str">
        <f t="shared" si="28"/>
        <v>a</v>
      </c>
      <c r="Z249" s="31">
        <f t="shared" si="24"/>
        <v>260096</v>
      </c>
      <c r="AA249" s="31">
        <f t="shared" si="25"/>
        <v>152896</v>
      </c>
    </row>
    <row r="250" spans="1:27" ht="13">
      <c r="A250" s="9">
        <v>248</v>
      </c>
      <c r="B250" s="3" t="s">
        <v>1602</v>
      </c>
      <c r="C250" s="3"/>
      <c r="D250" s="5">
        <v>70</v>
      </c>
      <c r="E250" s="3">
        <v>200</v>
      </c>
      <c r="F250" s="3">
        <v>150</v>
      </c>
      <c r="G250" s="5">
        <v>14.2</v>
      </c>
      <c r="H250" s="5">
        <v>14.2</v>
      </c>
      <c r="I250" s="3">
        <v>8920</v>
      </c>
      <c r="J250" s="3">
        <v>46440000</v>
      </c>
      <c r="K250" s="3">
        <v>464000</v>
      </c>
      <c r="L250" s="3">
        <v>582000</v>
      </c>
      <c r="M250" s="3">
        <v>72.2</v>
      </c>
      <c r="N250" s="5">
        <f t="shared" si="22"/>
        <v>5097.1428571428569</v>
      </c>
      <c r="O250" s="3">
        <v>29190000</v>
      </c>
      <c r="P250" s="3">
        <v>389000</v>
      </c>
      <c r="Q250" s="3">
        <v>473000</v>
      </c>
      <c r="R250" s="5">
        <v>57.2</v>
      </c>
      <c r="T250" s="3">
        <v>58340000</v>
      </c>
      <c r="U250" s="4"/>
      <c r="V250" s="5">
        <f t="shared" si="23"/>
        <v>3822.8571428571427</v>
      </c>
      <c r="W250" s="8"/>
      <c r="X250" s="9" t="str">
        <f t="shared" si="28"/>
        <v>a</v>
      </c>
      <c r="Y250" s="9" t="str">
        <f t="shared" si="28"/>
        <v>a</v>
      </c>
      <c r="Z250" s="31">
        <f t="shared" si="24"/>
        <v>302412.288</v>
      </c>
      <c r="AA250" s="31">
        <f t="shared" si="25"/>
        <v>245328.28800000003</v>
      </c>
    </row>
    <row r="251" spans="1:27" ht="13">
      <c r="A251" s="9">
        <v>249</v>
      </c>
      <c r="B251" s="3" t="s">
        <v>1603</v>
      </c>
      <c r="C251" s="3"/>
      <c r="D251" s="5">
        <v>70.2</v>
      </c>
      <c r="E251" s="3">
        <v>200</v>
      </c>
      <c r="F251" s="3">
        <v>120</v>
      </c>
      <c r="G251" s="5">
        <v>16</v>
      </c>
      <c r="H251" s="5">
        <v>16</v>
      </c>
      <c r="I251" s="3">
        <v>8940</v>
      </c>
      <c r="J251" s="3">
        <v>42210000</v>
      </c>
      <c r="K251" s="3">
        <v>422000</v>
      </c>
      <c r="L251" s="3">
        <v>550000</v>
      </c>
      <c r="M251" s="3">
        <v>68.7</v>
      </c>
      <c r="N251" s="5">
        <f t="shared" si="22"/>
        <v>5587.5</v>
      </c>
      <c r="O251" s="3">
        <v>18130000</v>
      </c>
      <c r="P251" s="3">
        <v>302000</v>
      </c>
      <c r="Q251" s="3">
        <v>377000</v>
      </c>
      <c r="R251" s="5">
        <v>45</v>
      </c>
      <c r="T251" s="3">
        <v>42470000</v>
      </c>
      <c r="U251" s="4"/>
      <c r="V251" s="5">
        <f t="shared" si="23"/>
        <v>3352.5</v>
      </c>
      <c r="W251" s="8"/>
      <c r="X251" s="9" t="str">
        <f t="shared" si="28"/>
        <v>a</v>
      </c>
      <c r="Y251" s="9" t="str">
        <f t="shared" si="28"/>
        <v>a</v>
      </c>
      <c r="Z251" s="31">
        <f t="shared" si="24"/>
        <v>289536</v>
      </c>
      <c r="AA251" s="31">
        <f t="shared" si="25"/>
        <v>197376</v>
      </c>
    </row>
    <row r="252" spans="1:27" ht="13">
      <c r="A252" s="9">
        <v>250</v>
      </c>
      <c r="B252" s="3" t="s">
        <v>1604</v>
      </c>
      <c r="C252" s="3"/>
      <c r="D252" s="5">
        <v>72.3</v>
      </c>
      <c r="E252" s="3">
        <v>200</v>
      </c>
      <c r="F252" s="3">
        <v>200</v>
      </c>
      <c r="G252" s="5">
        <v>12.5</v>
      </c>
      <c r="H252" s="5">
        <v>12.5</v>
      </c>
      <c r="I252" s="3">
        <v>9210</v>
      </c>
      <c r="J252" s="3">
        <v>53360000</v>
      </c>
      <c r="K252" s="3">
        <v>534000</v>
      </c>
      <c r="L252" s="3">
        <v>643000</v>
      </c>
      <c r="M252" s="3">
        <v>76.099999999999994</v>
      </c>
      <c r="N252" s="5">
        <f t="shared" si="22"/>
        <v>4605</v>
      </c>
      <c r="O252" s="3">
        <v>53360000</v>
      </c>
      <c r="P252" s="3">
        <v>534000</v>
      </c>
      <c r="Q252" s="3">
        <v>643000</v>
      </c>
      <c r="R252" s="5">
        <v>76.099999999999994</v>
      </c>
      <c r="T252" s="3">
        <v>84910000</v>
      </c>
      <c r="U252" s="4"/>
      <c r="V252" s="5">
        <f t="shared" si="23"/>
        <v>4605</v>
      </c>
      <c r="W252" s="8"/>
      <c r="X252" s="9" t="str">
        <f t="shared" si="28"/>
        <v>a</v>
      </c>
      <c r="Y252" s="9" t="str">
        <f t="shared" si="28"/>
        <v>a</v>
      </c>
      <c r="Z252" s="31">
        <f t="shared" si="24"/>
        <v>330078.125</v>
      </c>
      <c r="AA252" s="31">
        <f t="shared" si="25"/>
        <v>330078.125</v>
      </c>
    </row>
    <row r="253" spans="1:27" ht="13">
      <c r="A253" s="9">
        <v>251</v>
      </c>
      <c r="B253" s="3" t="s">
        <v>1605</v>
      </c>
      <c r="C253" s="3"/>
      <c r="D253" s="5">
        <v>77.7</v>
      </c>
      <c r="E253" s="3">
        <v>200</v>
      </c>
      <c r="F253" s="3">
        <v>150</v>
      </c>
      <c r="G253" s="5">
        <v>16</v>
      </c>
      <c r="H253" s="5">
        <v>16</v>
      </c>
      <c r="I253" s="3">
        <v>9900</v>
      </c>
      <c r="J253" s="3">
        <v>50360000</v>
      </c>
      <c r="K253" s="3">
        <v>504000</v>
      </c>
      <c r="L253" s="3">
        <v>638000</v>
      </c>
      <c r="M253" s="3">
        <v>71.3</v>
      </c>
      <c r="N253" s="5">
        <f t="shared" si="22"/>
        <v>5657.1428571428569</v>
      </c>
      <c r="O253" s="3">
        <v>31520000</v>
      </c>
      <c r="P253" s="3">
        <v>420000</v>
      </c>
      <c r="Q253" s="3">
        <v>518000</v>
      </c>
      <c r="R253" s="5">
        <v>56.4</v>
      </c>
      <c r="T253" s="3">
        <v>63700000</v>
      </c>
      <c r="U253" s="4"/>
      <c r="V253" s="5">
        <f t="shared" si="23"/>
        <v>4242.8571428571431</v>
      </c>
      <c r="W253" s="8"/>
      <c r="X253" s="9" t="str">
        <f t="shared" si="28"/>
        <v>a</v>
      </c>
      <c r="Y253" s="9" t="str">
        <f t="shared" si="28"/>
        <v>a</v>
      </c>
      <c r="Z253" s="31">
        <f t="shared" si="24"/>
        <v>333696</v>
      </c>
      <c r="AA253" s="31">
        <f t="shared" si="25"/>
        <v>270096</v>
      </c>
    </row>
    <row r="254" spans="1:27" ht="13">
      <c r="A254" s="9">
        <v>252</v>
      </c>
      <c r="B254" s="3" t="s">
        <v>1606</v>
      </c>
      <c r="C254" s="3"/>
      <c r="D254" s="5">
        <v>81.099999999999994</v>
      </c>
      <c r="E254" s="3">
        <v>200</v>
      </c>
      <c r="F254" s="3">
        <v>200</v>
      </c>
      <c r="G254" s="5">
        <v>14.2</v>
      </c>
      <c r="H254" s="5">
        <v>14.2</v>
      </c>
      <c r="I254" s="3">
        <v>10300</v>
      </c>
      <c r="J254" s="3">
        <v>58720000</v>
      </c>
      <c r="K254" s="3">
        <v>587000</v>
      </c>
      <c r="L254" s="3">
        <v>714000</v>
      </c>
      <c r="M254" s="3">
        <v>75.400000000000006</v>
      </c>
      <c r="N254" s="5">
        <f t="shared" si="22"/>
        <v>5150</v>
      </c>
      <c r="O254" s="3">
        <v>58720000</v>
      </c>
      <c r="P254" s="3">
        <v>587000</v>
      </c>
      <c r="Q254" s="3">
        <v>714000</v>
      </c>
      <c r="R254" s="5">
        <v>75.400000000000006</v>
      </c>
      <c r="T254" s="3">
        <v>94170000</v>
      </c>
      <c r="U254" s="4"/>
      <c r="V254" s="5">
        <f t="shared" si="23"/>
        <v>5150</v>
      </c>
      <c r="W254" s="8"/>
      <c r="X254" s="9" t="str">
        <f t="shared" si="28"/>
        <v>a</v>
      </c>
      <c r="Y254" s="9" t="str">
        <f t="shared" si="28"/>
        <v>a</v>
      </c>
      <c r="Z254" s="31">
        <f t="shared" si="24"/>
        <v>368371.288</v>
      </c>
      <c r="AA254" s="31">
        <f t="shared" si="25"/>
        <v>368371.288</v>
      </c>
    </row>
    <row r="255" spans="1:27" ht="13">
      <c r="A255" s="9">
        <v>253</v>
      </c>
      <c r="B255" s="3" t="s">
        <v>1607</v>
      </c>
      <c r="C255" s="3"/>
      <c r="D255" s="5">
        <v>90.3</v>
      </c>
      <c r="E255" s="3">
        <v>200</v>
      </c>
      <c r="F255" s="3">
        <v>200</v>
      </c>
      <c r="G255" s="5">
        <v>16</v>
      </c>
      <c r="H255" s="5">
        <v>16</v>
      </c>
      <c r="I255" s="3">
        <v>11500</v>
      </c>
      <c r="J255" s="3">
        <v>63940000</v>
      </c>
      <c r="K255" s="3">
        <v>639000</v>
      </c>
      <c r="L255" s="3">
        <v>785000</v>
      </c>
      <c r="M255" s="3">
        <v>74.599999999999994</v>
      </c>
      <c r="N255" s="5">
        <f t="shared" si="22"/>
        <v>5750</v>
      </c>
      <c r="O255" s="3">
        <v>63940000</v>
      </c>
      <c r="P255" s="3">
        <v>639000</v>
      </c>
      <c r="Q255" s="3">
        <v>785000</v>
      </c>
      <c r="R255" s="5">
        <v>74.599999999999994</v>
      </c>
      <c r="T255" s="3">
        <v>103400000</v>
      </c>
      <c r="U255" s="4"/>
      <c r="V255" s="5">
        <f t="shared" si="23"/>
        <v>5750</v>
      </c>
      <c r="W255" s="8"/>
      <c r="X255" s="9" t="str">
        <f t="shared" si="28"/>
        <v>a</v>
      </c>
      <c r="Y255" s="9" t="str">
        <f t="shared" si="28"/>
        <v>a</v>
      </c>
      <c r="Z255" s="31">
        <f t="shared" si="24"/>
        <v>407296</v>
      </c>
      <c r="AA255" s="31">
        <f t="shared" si="25"/>
        <v>407296</v>
      </c>
    </row>
    <row r="256" spans="1:27" ht="13">
      <c r="A256" s="9">
        <v>254</v>
      </c>
      <c r="B256" s="3" t="s">
        <v>1608</v>
      </c>
      <c r="C256" s="3"/>
      <c r="D256" s="5">
        <v>25.7</v>
      </c>
      <c r="E256" s="3">
        <v>220</v>
      </c>
      <c r="F256" s="3">
        <v>120</v>
      </c>
      <c r="G256" s="5">
        <v>5</v>
      </c>
      <c r="H256" s="5">
        <v>5</v>
      </c>
      <c r="I256" s="3">
        <v>3270</v>
      </c>
      <c r="J256" s="3">
        <v>21250000</v>
      </c>
      <c r="K256" s="3">
        <v>193000</v>
      </c>
      <c r="L256" s="3">
        <v>236000</v>
      </c>
      <c r="M256" s="3">
        <v>80.599999999999994</v>
      </c>
      <c r="N256" s="5">
        <f t="shared" si="22"/>
        <v>2115.8823529411766</v>
      </c>
      <c r="O256" s="3">
        <v>8290000</v>
      </c>
      <c r="P256" s="3">
        <v>138000</v>
      </c>
      <c r="Q256" s="3">
        <v>155000</v>
      </c>
      <c r="R256" s="5">
        <v>50.3</v>
      </c>
      <c r="T256" s="3">
        <v>18810000</v>
      </c>
      <c r="U256" s="4"/>
      <c r="V256" s="5">
        <f t="shared" si="23"/>
        <v>1154.1176470588234</v>
      </c>
      <c r="W256" s="8"/>
      <c r="X256" s="9" t="str">
        <f t="shared" si="28"/>
        <v>a</v>
      </c>
      <c r="Y256" s="9" t="str">
        <f t="shared" si="28"/>
        <v>a</v>
      </c>
      <c r="Z256" s="31">
        <f t="shared" si="24"/>
        <v>119625</v>
      </c>
      <c r="AA256" s="31">
        <f t="shared" si="25"/>
        <v>78375</v>
      </c>
    </row>
    <row r="257" spans="1:54" ht="13">
      <c r="A257" s="9">
        <v>255</v>
      </c>
      <c r="B257" s="3" t="s">
        <v>1609</v>
      </c>
      <c r="C257" s="3"/>
      <c r="D257" s="5">
        <v>32</v>
      </c>
      <c r="E257" s="3">
        <v>220</v>
      </c>
      <c r="F257" s="3">
        <v>120</v>
      </c>
      <c r="G257" s="5">
        <v>6.3</v>
      </c>
      <c r="H257" s="5">
        <v>6.3</v>
      </c>
      <c r="I257" s="3">
        <v>4080</v>
      </c>
      <c r="J257" s="3">
        <v>26100000</v>
      </c>
      <c r="K257" s="3">
        <v>237000</v>
      </c>
      <c r="L257" s="3">
        <v>292000</v>
      </c>
      <c r="M257" s="3">
        <v>80</v>
      </c>
      <c r="N257" s="5">
        <f t="shared" si="22"/>
        <v>2640</v>
      </c>
      <c r="O257" s="3">
        <v>10100000</v>
      </c>
      <c r="P257" s="3">
        <v>168000</v>
      </c>
      <c r="Q257" s="3">
        <v>191000</v>
      </c>
      <c r="R257" s="5">
        <v>49.8</v>
      </c>
      <c r="T257" s="3">
        <v>23150000</v>
      </c>
      <c r="U257" s="4"/>
      <c r="V257" s="5">
        <f t="shared" si="23"/>
        <v>1440</v>
      </c>
      <c r="W257" s="8"/>
      <c r="X257" s="9" t="str">
        <f t="shared" si="28"/>
        <v>a</v>
      </c>
      <c r="Y257" s="9" t="str">
        <f t="shared" si="28"/>
        <v>a</v>
      </c>
      <c r="Z257" s="31">
        <f t="shared" si="24"/>
        <v>148526.84700000001</v>
      </c>
      <c r="AA257" s="31">
        <f t="shared" si="25"/>
        <v>96961.347000000009</v>
      </c>
    </row>
    <row r="258" spans="1:54" ht="13">
      <c r="A258" s="9">
        <v>256</v>
      </c>
      <c r="B258" s="3" t="s">
        <v>1610</v>
      </c>
      <c r="C258" s="3"/>
      <c r="D258" s="5">
        <v>35.9</v>
      </c>
      <c r="E258" s="3">
        <v>220</v>
      </c>
      <c r="F258" s="3">
        <v>120</v>
      </c>
      <c r="G258" s="5">
        <v>7.1</v>
      </c>
      <c r="H258" s="5">
        <v>7.1</v>
      </c>
      <c r="I258" s="3">
        <v>4570</v>
      </c>
      <c r="J258" s="3">
        <v>28950000</v>
      </c>
      <c r="K258" s="3">
        <v>263000</v>
      </c>
      <c r="L258" s="3">
        <v>326000</v>
      </c>
      <c r="M258" s="3">
        <v>79.599999999999994</v>
      </c>
      <c r="N258" s="5">
        <f t="shared" si="22"/>
        <v>2957.0588235294117</v>
      </c>
      <c r="O258" s="3">
        <v>11160000</v>
      </c>
      <c r="P258" s="3">
        <v>186000</v>
      </c>
      <c r="Q258" s="3">
        <v>213000</v>
      </c>
      <c r="R258" s="5">
        <v>49.4</v>
      </c>
      <c r="T258" s="3">
        <v>25720000</v>
      </c>
      <c r="U258" s="4"/>
      <c r="V258" s="5">
        <f t="shared" si="23"/>
        <v>1612.9411764705883</v>
      </c>
      <c r="W258" s="8"/>
      <c r="X258" s="9" t="str">
        <f t="shared" si="28"/>
        <v>a</v>
      </c>
      <c r="Y258" s="9" t="str">
        <f t="shared" si="28"/>
        <v>a</v>
      </c>
      <c r="Z258" s="31">
        <f t="shared" si="24"/>
        <v>165873.11100000003</v>
      </c>
      <c r="AA258" s="31">
        <f t="shared" si="25"/>
        <v>108043.611</v>
      </c>
    </row>
    <row r="259" spans="1:54" ht="13">
      <c r="A259" s="9">
        <v>257</v>
      </c>
      <c r="B259" s="3" t="s">
        <v>1611</v>
      </c>
      <c r="C259" s="3"/>
      <c r="D259" s="5">
        <v>40.200000000000003</v>
      </c>
      <c r="E259" s="3">
        <v>220</v>
      </c>
      <c r="F259" s="3">
        <v>120</v>
      </c>
      <c r="G259" s="5">
        <v>8</v>
      </c>
      <c r="H259" s="5">
        <v>8</v>
      </c>
      <c r="I259" s="3">
        <v>5120</v>
      </c>
      <c r="J259" s="3">
        <v>32030000</v>
      </c>
      <c r="K259" s="3">
        <v>291000</v>
      </c>
      <c r="L259" s="3">
        <v>362000</v>
      </c>
      <c r="M259" s="3">
        <v>79.099999999999994</v>
      </c>
      <c r="N259" s="5">
        <f t="shared" ref="N259:N322" si="29">I259*E259/(F259+E259)</f>
        <v>3312.9411764705883</v>
      </c>
      <c r="O259" s="3">
        <v>12290000</v>
      </c>
      <c r="P259" s="3">
        <v>205000</v>
      </c>
      <c r="Q259" s="3">
        <v>236000</v>
      </c>
      <c r="R259" s="5">
        <v>49</v>
      </c>
      <c r="T259" s="3">
        <v>28500000</v>
      </c>
      <c r="U259" s="4"/>
      <c r="V259" s="5">
        <f t="shared" ref="V259:V322" si="30">I259*F259/(E259+F259)</f>
        <v>1807.0588235294117</v>
      </c>
      <c r="W259" s="8"/>
      <c r="X259" s="9" t="str">
        <f t="shared" si="28"/>
        <v>a</v>
      </c>
      <c r="Y259" s="9" t="str">
        <f t="shared" si="28"/>
        <v>a</v>
      </c>
      <c r="Z259" s="31">
        <f t="shared" ref="Z259:Z322" si="31">(H259*(0.5*E259-G259)^2)+(F259*G259)*(0.5*E259-0.5*G259)</f>
        <v>184992</v>
      </c>
      <c r="AA259" s="31">
        <f t="shared" ref="AA259:AA322" si="32">(H259*(0.5*F259-G259)^2)+(E259*G259)*(0.5*F259-0.5*G259)</f>
        <v>120192</v>
      </c>
    </row>
    <row r="260" spans="1:54" ht="13">
      <c r="A260" s="9">
        <v>258</v>
      </c>
      <c r="B260" s="3" t="s">
        <v>1612</v>
      </c>
      <c r="C260" s="3"/>
      <c r="D260" s="5">
        <v>41.9</v>
      </c>
      <c r="E260" s="3">
        <v>220</v>
      </c>
      <c r="F260" s="3">
        <v>220</v>
      </c>
      <c r="G260" s="5">
        <v>6.3</v>
      </c>
      <c r="H260" s="5">
        <v>6.3</v>
      </c>
      <c r="I260" s="3">
        <v>5340</v>
      </c>
      <c r="J260" s="3">
        <v>40490000</v>
      </c>
      <c r="K260" s="3">
        <v>368000</v>
      </c>
      <c r="L260" s="3">
        <v>427000</v>
      </c>
      <c r="M260" s="3">
        <v>87.1</v>
      </c>
      <c r="N260" s="5">
        <f t="shared" si="29"/>
        <v>2670</v>
      </c>
      <c r="O260" s="3">
        <v>40490000</v>
      </c>
      <c r="P260" s="3">
        <v>368000</v>
      </c>
      <c r="Q260" s="3">
        <v>427000</v>
      </c>
      <c r="R260" s="5">
        <v>87.1</v>
      </c>
      <c r="T260" s="3">
        <v>62400000</v>
      </c>
      <c r="U260" s="4"/>
      <c r="V260" s="5">
        <f t="shared" si="30"/>
        <v>2670</v>
      </c>
      <c r="W260" s="8"/>
      <c r="X260" s="9" t="str">
        <f t="shared" si="28"/>
        <v>a</v>
      </c>
      <c r="Y260" s="9" t="str">
        <f t="shared" si="28"/>
        <v>a</v>
      </c>
      <c r="Z260" s="31">
        <f t="shared" si="31"/>
        <v>215842.34700000001</v>
      </c>
      <c r="AA260" s="31">
        <f t="shared" si="32"/>
        <v>215842.34700000001</v>
      </c>
    </row>
    <row r="261" spans="1:54" ht="13">
      <c r="A261" s="9">
        <v>259</v>
      </c>
      <c r="B261" s="3" t="s">
        <v>1613</v>
      </c>
      <c r="C261" s="3"/>
      <c r="D261" s="5">
        <v>43.9</v>
      </c>
      <c r="E261" s="3">
        <v>220</v>
      </c>
      <c r="F261" s="3">
        <v>120</v>
      </c>
      <c r="G261" s="5">
        <v>8.8000000000000007</v>
      </c>
      <c r="H261" s="5">
        <v>8.8000000000000007</v>
      </c>
      <c r="I261" s="3">
        <v>5590</v>
      </c>
      <c r="J261" s="3">
        <v>34670000</v>
      </c>
      <c r="K261" s="3">
        <v>315000</v>
      </c>
      <c r="L261" s="3">
        <v>394000</v>
      </c>
      <c r="M261" s="3">
        <v>78.7</v>
      </c>
      <c r="N261" s="5">
        <f t="shared" si="29"/>
        <v>3617.0588235294117</v>
      </c>
      <c r="O261" s="3">
        <v>13240000</v>
      </c>
      <c r="P261" s="3">
        <v>221000</v>
      </c>
      <c r="Q261" s="3">
        <v>256000</v>
      </c>
      <c r="R261" s="5">
        <v>48.7</v>
      </c>
      <c r="T261" s="3">
        <v>30890000</v>
      </c>
      <c r="U261" s="4"/>
      <c r="V261" s="5">
        <f t="shared" si="30"/>
        <v>1972.9411764705883</v>
      </c>
      <c r="W261" s="8"/>
      <c r="X261" s="9" t="str">
        <f t="shared" si="28"/>
        <v>a</v>
      </c>
      <c r="Y261" s="9" t="str">
        <f t="shared" si="28"/>
        <v>a</v>
      </c>
      <c r="Z261" s="31">
        <f t="shared" si="31"/>
        <v>201638.272</v>
      </c>
      <c r="AA261" s="31">
        <f t="shared" si="32"/>
        <v>130710.27200000003</v>
      </c>
    </row>
    <row r="262" spans="1:54" ht="13">
      <c r="A262" s="9">
        <v>260</v>
      </c>
      <c r="B262" s="3" t="s">
        <v>1614</v>
      </c>
      <c r="C262" s="3"/>
      <c r="D262" s="5">
        <v>49.4</v>
      </c>
      <c r="E262" s="3">
        <v>220</v>
      </c>
      <c r="F262" s="3">
        <v>120</v>
      </c>
      <c r="G262" s="5">
        <v>10</v>
      </c>
      <c r="H262" s="5">
        <v>10</v>
      </c>
      <c r="I262" s="3">
        <v>6290</v>
      </c>
      <c r="J262" s="3">
        <v>38440000</v>
      </c>
      <c r="K262" s="3">
        <v>349000</v>
      </c>
      <c r="L262" s="3">
        <v>440000</v>
      </c>
      <c r="M262" s="3">
        <v>78.2</v>
      </c>
      <c r="N262" s="5">
        <f t="shared" si="29"/>
        <v>4070</v>
      </c>
      <c r="O262" s="3">
        <v>14590000</v>
      </c>
      <c r="P262" s="3">
        <v>243000</v>
      </c>
      <c r="Q262" s="3">
        <v>285000</v>
      </c>
      <c r="R262" s="5">
        <v>48.1</v>
      </c>
      <c r="T262" s="3">
        <v>34310000</v>
      </c>
      <c r="U262" s="4"/>
      <c r="V262" s="5">
        <f t="shared" si="30"/>
        <v>2220</v>
      </c>
      <c r="W262" s="8"/>
      <c r="X262" s="9" t="str">
        <f t="shared" si="28"/>
        <v>a</v>
      </c>
      <c r="Y262" s="9" t="str">
        <f t="shared" si="28"/>
        <v>a</v>
      </c>
      <c r="Z262" s="31">
        <f t="shared" si="31"/>
        <v>226000</v>
      </c>
      <c r="AA262" s="31">
        <f t="shared" si="32"/>
        <v>146000</v>
      </c>
    </row>
    <row r="263" spans="1:54" ht="13">
      <c r="A263" s="9">
        <v>261</v>
      </c>
      <c r="B263" s="3" t="s">
        <v>1615</v>
      </c>
      <c r="C263" s="3"/>
      <c r="D263" s="5">
        <v>52.7</v>
      </c>
      <c r="E263" s="3">
        <v>220</v>
      </c>
      <c r="F263" s="3">
        <v>220</v>
      </c>
      <c r="G263" s="5">
        <v>8</v>
      </c>
      <c r="H263" s="5">
        <v>8</v>
      </c>
      <c r="I263" s="3">
        <v>6720</v>
      </c>
      <c r="J263" s="3">
        <v>50020000</v>
      </c>
      <c r="K263" s="3">
        <v>455000</v>
      </c>
      <c r="L263" s="3">
        <v>532000</v>
      </c>
      <c r="M263" s="3">
        <v>86.3</v>
      </c>
      <c r="N263" s="5">
        <f t="shared" si="29"/>
        <v>3360</v>
      </c>
      <c r="O263" s="3">
        <v>50020000</v>
      </c>
      <c r="P263" s="3">
        <v>455000</v>
      </c>
      <c r="Q263" s="3">
        <v>532000</v>
      </c>
      <c r="R263" s="5">
        <v>86.3</v>
      </c>
      <c r="T263" s="3">
        <v>77650000</v>
      </c>
      <c r="U263" s="4"/>
      <c r="V263" s="5">
        <f t="shared" si="30"/>
        <v>3360</v>
      </c>
      <c r="W263" s="8"/>
      <c r="X263" s="9" t="str">
        <f t="shared" ref="X263:Y282" si="33">IF(fy=460,"a0","a")</f>
        <v>a</v>
      </c>
      <c r="Y263" s="9" t="str">
        <f t="shared" si="33"/>
        <v>a</v>
      </c>
      <c r="Z263" s="31">
        <f t="shared" si="31"/>
        <v>269792</v>
      </c>
      <c r="AA263" s="31">
        <f t="shared" si="32"/>
        <v>269792</v>
      </c>
    </row>
    <row r="264" spans="1:54" ht="13">
      <c r="A264" s="9">
        <v>262</v>
      </c>
      <c r="B264" s="3" t="s">
        <v>1616</v>
      </c>
      <c r="C264" s="3"/>
      <c r="D264" s="5">
        <v>60.5</v>
      </c>
      <c r="E264" s="3">
        <v>220</v>
      </c>
      <c r="F264" s="3">
        <v>120</v>
      </c>
      <c r="G264" s="5">
        <v>12.5</v>
      </c>
      <c r="H264" s="5">
        <v>12.5</v>
      </c>
      <c r="I264" s="3">
        <v>7710</v>
      </c>
      <c r="J264" s="3">
        <v>45600000</v>
      </c>
      <c r="K264" s="3">
        <v>415000</v>
      </c>
      <c r="L264" s="3">
        <v>530000</v>
      </c>
      <c r="M264" s="3">
        <v>76.900000000000006</v>
      </c>
      <c r="N264" s="5">
        <f t="shared" si="29"/>
        <v>4988.8235294117649</v>
      </c>
      <c r="O264" s="3">
        <v>17070000</v>
      </c>
      <c r="P264" s="3">
        <v>285000</v>
      </c>
      <c r="Q264" s="3">
        <v>341000</v>
      </c>
      <c r="R264" s="5">
        <v>47.1</v>
      </c>
      <c r="T264" s="3">
        <v>40870000</v>
      </c>
      <c r="U264" s="4"/>
      <c r="V264" s="5">
        <f t="shared" si="30"/>
        <v>2721.1764705882351</v>
      </c>
      <c r="W264" s="8"/>
      <c r="X264" s="9" t="str">
        <f t="shared" si="33"/>
        <v>a</v>
      </c>
      <c r="Y264" s="9" t="str">
        <f t="shared" si="33"/>
        <v>a</v>
      </c>
      <c r="Z264" s="31">
        <f t="shared" si="31"/>
        <v>274453.125</v>
      </c>
      <c r="AA264" s="31">
        <f t="shared" si="32"/>
        <v>176015.625</v>
      </c>
    </row>
    <row r="265" spans="1:54" ht="13">
      <c r="A265" s="9">
        <v>263</v>
      </c>
      <c r="B265" s="3" t="s">
        <v>1617</v>
      </c>
      <c r="C265" s="3"/>
      <c r="D265" s="5">
        <v>65.099999999999994</v>
      </c>
      <c r="E265" s="3">
        <v>220</v>
      </c>
      <c r="F265" s="3">
        <v>220</v>
      </c>
      <c r="G265" s="5">
        <v>10</v>
      </c>
      <c r="H265" s="5">
        <v>10</v>
      </c>
      <c r="I265" s="3">
        <v>8290</v>
      </c>
      <c r="J265" s="3">
        <v>60500000</v>
      </c>
      <c r="K265" s="3">
        <v>550000</v>
      </c>
      <c r="L265" s="3">
        <v>650000</v>
      </c>
      <c r="M265" s="3">
        <v>85.4</v>
      </c>
      <c r="N265" s="5">
        <f t="shared" si="29"/>
        <v>4145</v>
      </c>
      <c r="O265" s="3">
        <v>60500000</v>
      </c>
      <c r="P265" s="3">
        <v>550000</v>
      </c>
      <c r="Q265" s="3">
        <v>650000</v>
      </c>
      <c r="R265" s="5">
        <v>85.4</v>
      </c>
      <c r="T265" s="3">
        <v>94730000</v>
      </c>
      <c r="U265" s="4"/>
      <c r="V265" s="5">
        <f t="shared" si="30"/>
        <v>4145</v>
      </c>
      <c r="W265" s="8"/>
      <c r="X265" s="9" t="str">
        <f t="shared" si="33"/>
        <v>a</v>
      </c>
      <c r="Y265" s="9" t="str">
        <f t="shared" si="33"/>
        <v>a</v>
      </c>
      <c r="Z265" s="31">
        <f t="shared" si="31"/>
        <v>331000</v>
      </c>
      <c r="AA265" s="31">
        <f t="shared" si="32"/>
        <v>331000</v>
      </c>
    </row>
    <row r="266" spans="1:54" ht="13">
      <c r="A266" s="9">
        <v>264</v>
      </c>
      <c r="B266" s="3" t="s">
        <v>1618</v>
      </c>
      <c r="C266" s="3"/>
      <c r="D266" s="5">
        <v>67.8</v>
      </c>
      <c r="E266" s="3">
        <v>220</v>
      </c>
      <c r="F266" s="3">
        <v>120</v>
      </c>
      <c r="G266" s="5">
        <v>14.2</v>
      </c>
      <c r="H266" s="5">
        <v>14.2</v>
      </c>
      <c r="I266" s="3">
        <v>8630</v>
      </c>
      <c r="J266" s="3">
        <v>49960000</v>
      </c>
      <c r="K266" s="3">
        <v>454000</v>
      </c>
      <c r="L266" s="3">
        <v>586000</v>
      </c>
      <c r="M266" s="3">
        <v>76.099999999999994</v>
      </c>
      <c r="N266" s="5">
        <f t="shared" si="29"/>
        <v>5584.1176470588234</v>
      </c>
      <c r="O266" s="3">
        <v>18530000</v>
      </c>
      <c r="P266" s="3">
        <v>309000</v>
      </c>
      <c r="Q266" s="3">
        <v>376000</v>
      </c>
      <c r="R266" s="5">
        <v>46.3</v>
      </c>
      <c r="T266" s="3">
        <v>44880000</v>
      </c>
      <c r="U266" s="4"/>
      <c r="V266" s="5">
        <f t="shared" si="30"/>
        <v>3045.8823529411766</v>
      </c>
      <c r="W266" s="8"/>
      <c r="X266" s="9" t="str">
        <f t="shared" si="33"/>
        <v>a</v>
      </c>
      <c r="Y266" s="9" t="str">
        <f t="shared" si="33"/>
        <v>a</v>
      </c>
      <c r="Z266" s="31">
        <f t="shared" si="31"/>
        <v>305664.08799999999</v>
      </c>
      <c r="AA266" s="31">
        <f t="shared" si="32"/>
        <v>195046.08799999999</v>
      </c>
    </row>
    <row r="267" spans="1:54" ht="13">
      <c r="A267" s="9">
        <v>265</v>
      </c>
      <c r="B267" s="3" t="s">
        <v>1619</v>
      </c>
      <c r="C267" s="3"/>
      <c r="D267" s="5">
        <v>75.2</v>
      </c>
      <c r="E267" s="3">
        <v>220</v>
      </c>
      <c r="F267" s="3">
        <v>120</v>
      </c>
      <c r="G267" s="5">
        <v>16</v>
      </c>
      <c r="H267" s="5">
        <v>16</v>
      </c>
      <c r="I267" s="3">
        <v>9580</v>
      </c>
      <c r="J267" s="3">
        <v>54130000</v>
      </c>
      <c r="K267" s="3">
        <v>492000</v>
      </c>
      <c r="L267" s="3">
        <v>643000</v>
      </c>
      <c r="M267" s="3">
        <v>75.2</v>
      </c>
      <c r="N267" s="5">
        <f t="shared" si="29"/>
        <v>6198.8235294117649</v>
      </c>
      <c r="O267" s="3">
        <v>19880000</v>
      </c>
      <c r="P267" s="3">
        <v>331000</v>
      </c>
      <c r="Q267" s="3">
        <v>410000</v>
      </c>
      <c r="R267" s="5">
        <v>45.5</v>
      </c>
      <c r="T267" s="3">
        <v>48730000</v>
      </c>
      <c r="U267" s="4"/>
      <c r="V267" s="5">
        <f t="shared" si="30"/>
        <v>3381.1764705882351</v>
      </c>
      <c r="W267" s="8"/>
      <c r="X267" s="9" t="str">
        <f t="shared" si="33"/>
        <v>a</v>
      </c>
      <c r="Y267" s="9" t="str">
        <f t="shared" si="33"/>
        <v>a</v>
      </c>
      <c r="Z267" s="31">
        <f t="shared" si="31"/>
        <v>337216</v>
      </c>
      <c r="AA267" s="31">
        <f t="shared" si="32"/>
        <v>214016</v>
      </c>
    </row>
    <row r="268" spans="1:54" ht="13">
      <c r="A268" s="9">
        <v>266</v>
      </c>
      <c r="B268" s="3" t="s">
        <v>1620</v>
      </c>
      <c r="C268" s="3"/>
      <c r="D268" s="5">
        <v>80.099999999999994</v>
      </c>
      <c r="E268" s="3">
        <v>220</v>
      </c>
      <c r="F268" s="3">
        <v>220</v>
      </c>
      <c r="G268" s="5">
        <v>12.5</v>
      </c>
      <c r="H268" s="5">
        <v>12.5</v>
      </c>
      <c r="I268" s="3">
        <v>10200</v>
      </c>
      <c r="J268" s="3">
        <v>72540000</v>
      </c>
      <c r="K268" s="3">
        <v>659000</v>
      </c>
      <c r="L268" s="3">
        <v>789000</v>
      </c>
      <c r="M268" s="3">
        <v>84.3</v>
      </c>
      <c r="N268" s="5">
        <f t="shared" si="29"/>
        <v>5100</v>
      </c>
      <c r="O268" s="3">
        <v>72540000</v>
      </c>
      <c r="P268" s="3">
        <v>659000</v>
      </c>
      <c r="Q268" s="3">
        <v>789000</v>
      </c>
      <c r="R268" s="5">
        <v>84.3</v>
      </c>
      <c r="T268" s="3">
        <v>114800000</v>
      </c>
      <c r="U268" s="4"/>
      <c r="V268" s="5">
        <f t="shared" si="30"/>
        <v>5100</v>
      </c>
      <c r="W268" s="8"/>
      <c r="X268" s="9" t="str">
        <f t="shared" si="33"/>
        <v>a</v>
      </c>
      <c r="Y268" s="9" t="str">
        <f t="shared" si="33"/>
        <v>a</v>
      </c>
      <c r="Z268" s="31">
        <f t="shared" si="31"/>
        <v>404140.625</v>
      </c>
      <c r="AA268" s="31">
        <f t="shared" si="32"/>
        <v>404140.625</v>
      </c>
    </row>
    <row r="269" spans="1:54" ht="13">
      <c r="A269" s="9">
        <v>267</v>
      </c>
      <c r="B269" s="3" t="s">
        <v>1621</v>
      </c>
      <c r="C269" s="3"/>
      <c r="D269" s="5">
        <v>90.1</v>
      </c>
      <c r="E269" s="3">
        <v>220</v>
      </c>
      <c r="F269" s="3">
        <v>220</v>
      </c>
      <c r="G269" s="5">
        <v>14.2</v>
      </c>
      <c r="H269" s="5">
        <v>14.2</v>
      </c>
      <c r="I269" s="3">
        <v>11500</v>
      </c>
      <c r="J269" s="3">
        <v>80070000</v>
      </c>
      <c r="K269" s="3">
        <v>728000</v>
      </c>
      <c r="L269" s="3">
        <v>879000</v>
      </c>
      <c r="M269" s="3">
        <v>83.5</v>
      </c>
      <c r="N269" s="5">
        <f t="shared" si="29"/>
        <v>5750</v>
      </c>
      <c r="O269" s="3">
        <v>80070000</v>
      </c>
      <c r="P269" s="3">
        <v>728000</v>
      </c>
      <c r="Q269" s="3">
        <v>879000</v>
      </c>
      <c r="R269" s="5">
        <v>83.5</v>
      </c>
      <c r="T269" s="3">
        <v>127700000</v>
      </c>
      <c r="U269" s="4"/>
      <c r="V269" s="5">
        <f t="shared" si="30"/>
        <v>5750</v>
      </c>
      <c r="W269" s="8"/>
      <c r="X269" s="9" t="str">
        <f t="shared" si="33"/>
        <v>a</v>
      </c>
      <c r="Y269" s="9" t="str">
        <f t="shared" si="33"/>
        <v>a</v>
      </c>
      <c r="Z269" s="31">
        <f t="shared" si="31"/>
        <v>451782.08799999999</v>
      </c>
      <c r="AA269" s="31">
        <f t="shared" si="32"/>
        <v>451782.08799999999</v>
      </c>
    </row>
    <row r="270" spans="1:54" ht="13">
      <c r="A270" s="9">
        <v>268</v>
      </c>
      <c r="B270" s="3" t="s">
        <v>1622</v>
      </c>
      <c r="C270" s="3"/>
      <c r="D270" s="5">
        <v>100</v>
      </c>
      <c r="E270" s="3">
        <v>220</v>
      </c>
      <c r="F270" s="3">
        <v>220</v>
      </c>
      <c r="G270" s="5">
        <v>16</v>
      </c>
      <c r="H270" s="5">
        <v>16</v>
      </c>
      <c r="I270" s="3">
        <v>12800</v>
      </c>
      <c r="J270" s="3">
        <v>87490000</v>
      </c>
      <c r="K270" s="3">
        <v>795000</v>
      </c>
      <c r="L270" s="3">
        <v>969000</v>
      </c>
      <c r="M270" s="3">
        <v>82.7</v>
      </c>
      <c r="N270" s="5">
        <f t="shared" si="29"/>
        <v>6400</v>
      </c>
      <c r="O270" s="3">
        <v>87490000</v>
      </c>
      <c r="P270" s="3">
        <v>795000</v>
      </c>
      <c r="Q270" s="3">
        <v>969000</v>
      </c>
      <c r="R270" s="5">
        <v>82.7</v>
      </c>
      <c r="T270" s="3">
        <v>140500000</v>
      </c>
      <c r="U270" s="4"/>
      <c r="V270" s="5">
        <f t="shared" si="30"/>
        <v>6400</v>
      </c>
      <c r="W270" s="8"/>
      <c r="X270" s="9" t="str">
        <f t="shared" si="33"/>
        <v>a</v>
      </c>
      <c r="Y270" s="9" t="str">
        <f t="shared" si="33"/>
        <v>a</v>
      </c>
      <c r="Z270" s="31">
        <f t="shared" si="31"/>
        <v>500416</v>
      </c>
      <c r="AA270" s="31">
        <f t="shared" si="32"/>
        <v>500416</v>
      </c>
    </row>
    <row r="271" spans="1:54" ht="13">
      <c r="A271" s="9">
        <v>269</v>
      </c>
      <c r="B271" s="3" t="s">
        <v>1623</v>
      </c>
      <c r="C271" s="3"/>
      <c r="D271" s="5">
        <v>26.5</v>
      </c>
      <c r="E271" s="3">
        <v>250</v>
      </c>
      <c r="F271" s="3">
        <v>100</v>
      </c>
      <c r="G271" s="5">
        <v>5</v>
      </c>
      <c r="H271" s="5">
        <v>5</v>
      </c>
      <c r="I271" s="3">
        <v>3370</v>
      </c>
      <c r="J271" s="3">
        <v>26100000</v>
      </c>
      <c r="K271" s="3">
        <v>209000</v>
      </c>
      <c r="L271" s="3">
        <v>263000</v>
      </c>
      <c r="M271" s="3">
        <v>88</v>
      </c>
      <c r="N271" s="5">
        <f t="shared" si="29"/>
        <v>2407.1428571428573</v>
      </c>
      <c r="O271" s="3">
        <v>6180000</v>
      </c>
      <c r="P271" s="3">
        <v>124000</v>
      </c>
      <c r="Q271" s="3">
        <v>138000</v>
      </c>
      <c r="R271" s="5">
        <v>42.8</v>
      </c>
      <c r="T271" s="3">
        <v>16170000</v>
      </c>
      <c r="U271" s="4"/>
      <c r="V271" s="5">
        <f t="shared" si="30"/>
        <v>962.85714285714289</v>
      </c>
      <c r="W271" s="8"/>
      <c r="X271" s="9" t="str">
        <f t="shared" si="33"/>
        <v>a</v>
      </c>
      <c r="Y271" s="9" t="str">
        <f t="shared" si="33"/>
        <v>a</v>
      </c>
      <c r="Z271" s="31">
        <f t="shared" si="31"/>
        <v>133250</v>
      </c>
      <c r="AA271" s="31">
        <f t="shared" si="32"/>
        <v>69500</v>
      </c>
    </row>
    <row r="272" spans="1:54" ht="13">
      <c r="A272" s="9">
        <v>270</v>
      </c>
      <c r="B272" s="3" t="s">
        <v>1624</v>
      </c>
      <c r="C272" s="3"/>
      <c r="D272" s="5">
        <v>33</v>
      </c>
      <c r="E272" s="3">
        <v>250</v>
      </c>
      <c r="F272" s="3">
        <v>100</v>
      </c>
      <c r="G272" s="5">
        <v>6.3</v>
      </c>
      <c r="H272" s="5">
        <v>6.3</v>
      </c>
      <c r="I272" s="3">
        <v>4210</v>
      </c>
      <c r="J272" s="3">
        <v>32070000</v>
      </c>
      <c r="K272" s="3">
        <v>257000</v>
      </c>
      <c r="L272" s="3">
        <v>326000</v>
      </c>
      <c r="M272" s="3">
        <v>87.3</v>
      </c>
      <c r="N272" s="5">
        <f t="shared" si="29"/>
        <v>3007.1428571428573</v>
      </c>
      <c r="O272" s="3">
        <v>7510000</v>
      </c>
      <c r="P272" s="3">
        <v>150000</v>
      </c>
      <c r="Q272" s="3">
        <v>169000</v>
      </c>
      <c r="R272" s="5">
        <v>42.2</v>
      </c>
      <c r="T272" s="3">
        <v>19830000</v>
      </c>
      <c r="U272" s="4"/>
      <c r="V272" s="5">
        <f t="shared" si="30"/>
        <v>1202.8571428571429</v>
      </c>
      <c r="W272" s="8"/>
      <c r="X272" s="9" t="str">
        <f t="shared" si="33"/>
        <v>a</v>
      </c>
      <c r="Y272" s="9" t="str">
        <f t="shared" si="33"/>
        <v>a</v>
      </c>
      <c r="Z272" s="31">
        <f t="shared" si="31"/>
        <v>165530.54700000002</v>
      </c>
      <c r="AA272" s="31">
        <f t="shared" si="32"/>
        <v>85819.797000000006</v>
      </c>
    </row>
    <row r="273" spans="1:27" ht="13">
      <c r="A273" s="9">
        <v>271</v>
      </c>
      <c r="B273" s="3" t="s">
        <v>1625</v>
      </c>
      <c r="C273" s="3"/>
      <c r="D273" s="5">
        <v>34.299999999999997</v>
      </c>
      <c r="E273" s="3">
        <v>250</v>
      </c>
      <c r="F273" s="3">
        <v>200</v>
      </c>
      <c r="G273" s="5">
        <v>5</v>
      </c>
      <c r="H273" s="5">
        <v>5</v>
      </c>
      <c r="I273" s="3">
        <v>4370</v>
      </c>
      <c r="J273" s="3">
        <v>41110000</v>
      </c>
      <c r="K273" s="3">
        <v>329000</v>
      </c>
      <c r="L273" s="3">
        <v>386000</v>
      </c>
      <c r="M273" s="3">
        <v>97</v>
      </c>
      <c r="N273" s="5">
        <f t="shared" si="29"/>
        <v>2427.7777777777778</v>
      </c>
      <c r="O273" s="3">
        <v>29210000</v>
      </c>
      <c r="P273" s="3">
        <v>292000</v>
      </c>
      <c r="Q273" s="3">
        <v>331000</v>
      </c>
      <c r="R273" s="5">
        <v>81.7</v>
      </c>
      <c r="T273" s="3">
        <v>52480000</v>
      </c>
      <c r="U273" s="4"/>
      <c r="V273" s="5">
        <f t="shared" si="30"/>
        <v>1942.2222222222222</v>
      </c>
      <c r="W273" s="8"/>
      <c r="X273" s="9" t="str">
        <f t="shared" si="33"/>
        <v>a</v>
      </c>
      <c r="Y273" s="9" t="str">
        <f t="shared" si="33"/>
        <v>a</v>
      </c>
      <c r="Z273" s="31">
        <f t="shared" si="31"/>
        <v>194500</v>
      </c>
      <c r="AA273" s="31">
        <f t="shared" si="32"/>
        <v>167000</v>
      </c>
    </row>
    <row r="274" spans="1:27" ht="13">
      <c r="A274" s="9">
        <v>272</v>
      </c>
      <c r="B274" s="3" t="s">
        <v>1626</v>
      </c>
      <c r="C274" s="3"/>
      <c r="D274" s="5">
        <v>37</v>
      </c>
      <c r="E274" s="3">
        <v>250</v>
      </c>
      <c r="F274" s="3">
        <v>100</v>
      </c>
      <c r="G274" s="5">
        <v>7.1</v>
      </c>
      <c r="H274" s="5">
        <v>7.1</v>
      </c>
      <c r="I274" s="3">
        <v>4710</v>
      </c>
      <c r="J274" s="3">
        <v>35590000</v>
      </c>
      <c r="K274" s="3">
        <v>285000</v>
      </c>
      <c r="L274" s="3">
        <v>363000</v>
      </c>
      <c r="M274" s="3">
        <v>86.9</v>
      </c>
      <c r="N274" s="5">
        <f t="shared" si="29"/>
        <v>3364.2857142857142</v>
      </c>
      <c r="O274" s="3">
        <v>8270000</v>
      </c>
      <c r="P274" s="3">
        <v>165000</v>
      </c>
      <c r="Q274" s="3">
        <v>188000</v>
      </c>
      <c r="R274" s="5">
        <v>41.9</v>
      </c>
      <c r="T274" s="3">
        <v>21980000</v>
      </c>
      <c r="U274" s="4"/>
      <c r="V274" s="5">
        <f t="shared" si="30"/>
        <v>1345.7142857142858</v>
      </c>
      <c r="W274" s="8"/>
      <c r="X274" s="9" t="str">
        <f t="shared" si="33"/>
        <v>a</v>
      </c>
      <c r="Y274" s="9" t="str">
        <f t="shared" si="33"/>
        <v>a</v>
      </c>
      <c r="Z274" s="31">
        <f t="shared" si="31"/>
        <v>184922.41100000002</v>
      </c>
      <c r="AA274" s="31">
        <f t="shared" si="32"/>
        <v>95515.660999999993</v>
      </c>
    </row>
    <row r="275" spans="1:27" ht="13">
      <c r="A275" s="9">
        <v>273</v>
      </c>
      <c r="B275" s="3" t="s">
        <v>1627</v>
      </c>
      <c r="C275" s="3"/>
      <c r="D275" s="5">
        <v>38</v>
      </c>
      <c r="E275" s="3">
        <v>250</v>
      </c>
      <c r="F275" s="3">
        <v>150</v>
      </c>
      <c r="G275" s="5">
        <v>6.3</v>
      </c>
      <c r="H275" s="5">
        <v>6.3</v>
      </c>
      <c r="I275" s="3">
        <v>4840</v>
      </c>
      <c r="J275" s="3">
        <v>41430000</v>
      </c>
      <c r="K275" s="3">
        <v>331000</v>
      </c>
      <c r="L275" s="3">
        <v>402000</v>
      </c>
      <c r="M275" s="3">
        <v>92.5</v>
      </c>
      <c r="N275" s="5">
        <f t="shared" si="29"/>
        <v>3025</v>
      </c>
      <c r="O275" s="3">
        <v>18740000</v>
      </c>
      <c r="P275" s="3">
        <v>250000</v>
      </c>
      <c r="Q275" s="3">
        <v>283000</v>
      </c>
      <c r="R275" s="5">
        <v>62.2</v>
      </c>
      <c r="T275" s="3">
        <v>40540000</v>
      </c>
      <c r="U275" s="4"/>
      <c r="V275" s="5">
        <f t="shared" si="30"/>
        <v>1815</v>
      </c>
      <c r="W275" s="8"/>
      <c r="X275" s="9" t="str">
        <f t="shared" si="33"/>
        <v>a</v>
      </c>
      <c r="Y275" s="9" t="str">
        <f t="shared" si="33"/>
        <v>a</v>
      </c>
      <c r="Z275" s="31">
        <f t="shared" si="31"/>
        <v>203913.29700000002</v>
      </c>
      <c r="AA275" s="31">
        <f t="shared" si="32"/>
        <v>142897.79699999999</v>
      </c>
    </row>
    <row r="276" spans="1:27" ht="13">
      <c r="A276" s="9">
        <v>274</v>
      </c>
      <c r="B276" s="3" t="s">
        <v>1628</v>
      </c>
      <c r="C276" s="3"/>
      <c r="D276" s="5">
        <v>38.299999999999997</v>
      </c>
      <c r="E276" s="3">
        <v>250</v>
      </c>
      <c r="F276" s="3">
        <v>250</v>
      </c>
      <c r="G276" s="5">
        <v>5</v>
      </c>
      <c r="H276" s="5">
        <v>5</v>
      </c>
      <c r="I276" s="3">
        <v>4870</v>
      </c>
      <c r="J276" s="3">
        <v>48610000</v>
      </c>
      <c r="K276" s="3">
        <v>389000</v>
      </c>
      <c r="L276" s="3">
        <v>447000</v>
      </c>
      <c r="M276" s="3">
        <v>99.9</v>
      </c>
      <c r="N276" s="5">
        <f t="shared" si="29"/>
        <v>2435</v>
      </c>
      <c r="O276" s="3">
        <v>48610000</v>
      </c>
      <c r="P276" s="3">
        <v>389000</v>
      </c>
      <c r="Q276" s="3">
        <v>447000</v>
      </c>
      <c r="R276" s="5">
        <v>99.9</v>
      </c>
      <c r="T276" s="3">
        <v>74300000</v>
      </c>
      <c r="U276" s="4"/>
      <c r="V276" s="5">
        <f t="shared" si="30"/>
        <v>2435</v>
      </c>
      <c r="W276" s="8"/>
      <c r="X276" s="9" t="str">
        <f t="shared" si="33"/>
        <v>a</v>
      </c>
      <c r="Y276" s="9" t="str">
        <f t="shared" si="33"/>
        <v>a</v>
      </c>
      <c r="Z276" s="31">
        <f t="shared" si="31"/>
        <v>225125</v>
      </c>
      <c r="AA276" s="31">
        <f t="shared" si="32"/>
        <v>225125</v>
      </c>
    </row>
    <row r="277" spans="1:27" ht="13">
      <c r="A277" s="9">
        <v>275</v>
      </c>
      <c r="B277" s="3" t="s">
        <v>1629</v>
      </c>
      <c r="C277" s="3"/>
      <c r="D277" s="5">
        <v>41.4</v>
      </c>
      <c r="E277" s="3">
        <v>250</v>
      </c>
      <c r="F277" s="3">
        <v>100</v>
      </c>
      <c r="G277" s="5">
        <v>8</v>
      </c>
      <c r="H277" s="5">
        <v>8</v>
      </c>
      <c r="I277" s="3">
        <v>5280</v>
      </c>
      <c r="J277" s="3">
        <v>39400000</v>
      </c>
      <c r="K277" s="3">
        <v>315000</v>
      </c>
      <c r="L277" s="3">
        <v>404000</v>
      </c>
      <c r="M277" s="3">
        <v>86.4</v>
      </c>
      <c r="N277" s="5">
        <f t="shared" si="29"/>
        <v>3771.4285714285716</v>
      </c>
      <c r="O277" s="3">
        <v>9090000</v>
      </c>
      <c r="P277" s="3">
        <v>182000</v>
      </c>
      <c r="Q277" s="3">
        <v>209000</v>
      </c>
      <c r="R277" s="5">
        <v>41.5</v>
      </c>
      <c r="T277" s="3">
        <v>24300000</v>
      </c>
      <c r="U277" s="4"/>
      <c r="V277" s="5">
        <f t="shared" si="30"/>
        <v>1508.5714285714287</v>
      </c>
      <c r="W277" s="8"/>
      <c r="X277" s="9" t="str">
        <f t="shared" si="33"/>
        <v>a</v>
      </c>
      <c r="Y277" s="9" t="str">
        <f t="shared" si="33"/>
        <v>a</v>
      </c>
      <c r="Z277" s="31">
        <f t="shared" si="31"/>
        <v>206312</v>
      </c>
      <c r="AA277" s="31">
        <f t="shared" si="32"/>
        <v>106112</v>
      </c>
    </row>
    <row r="278" spans="1:27" ht="13">
      <c r="A278" s="9">
        <v>276</v>
      </c>
      <c r="B278" s="3" t="s">
        <v>1630</v>
      </c>
      <c r="C278" s="3"/>
      <c r="D278" s="5">
        <v>42.9</v>
      </c>
      <c r="E278" s="3">
        <v>250</v>
      </c>
      <c r="F278" s="3">
        <v>200</v>
      </c>
      <c r="G278" s="5">
        <v>6.3</v>
      </c>
      <c r="H278" s="5">
        <v>6.3</v>
      </c>
      <c r="I278" s="3">
        <v>5470</v>
      </c>
      <c r="J278" s="3">
        <v>50780000</v>
      </c>
      <c r="K278" s="3">
        <v>406000</v>
      </c>
      <c r="L278" s="3">
        <v>479000</v>
      </c>
      <c r="M278" s="3">
        <v>96.4</v>
      </c>
      <c r="N278" s="5">
        <f t="shared" si="29"/>
        <v>3038.8888888888887</v>
      </c>
      <c r="O278" s="3">
        <v>36020000</v>
      </c>
      <c r="P278" s="3">
        <v>360000</v>
      </c>
      <c r="Q278" s="3">
        <v>411000</v>
      </c>
      <c r="R278" s="5">
        <v>81.2</v>
      </c>
      <c r="T278" s="3">
        <v>65120000</v>
      </c>
      <c r="U278" s="4"/>
      <c r="V278" s="5">
        <f t="shared" si="30"/>
        <v>2431.1111111111113</v>
      </c>
      <c r="W278" s="8"/>
      <c r="X278" s="9" t="str">
        <f t="shared" si="33"/>
        <v>a</v>
      </c>
      <c r="Y278" s="9" t="str">
        <f t="shared" si="33"/>
        <v>a</v>
      </c>
      <c r="Z278" s="31">
        <f t="shared" si="31"/>
        <v>242296.04700000002</v>
      </c>
      <c r="AA278" s="31">
        <f t="shared" si="32"/>
        <v>207850.79699999999</v>
      </c>
    </row>
    <row r="279" spans="1:27" ht="13">
      <c r="A279" s="9">
        <v>277</v>
      </c>
      <c r="B279" s="3" t="s">
        <v>1631</v>
      </c>
      <c r="C279" s="3"/>
      <c r="D279" s="5">
        <v>45.3</v>
      </c>
      <c r="E279" s="3">
        <v>250</v>
      </c>
      <c r="F279" s="3">
        <v>100</v>
      </c>
      <c r="G279" s="5">
        <v>8.8000000000000007</v>
      </c>
      <c r="H279" s="5">
        <v>8.8000000000000007</v>
      </c>
      <c r="I279" s="3">
        <v>5770</v>
      </c>
      <c r="J279" s="3">
        <v>42660000</v>
      </c>
      <c r="K279" s="3">
        <v>341000</v>
      </c>
      <c r="L279" s="3">
        <v>439000</v>
      </c>
      <c r="M279" s="3">
        <v>86</v>
      </c>
      <c r="N279" s="5">
        <f t="shared" si="29"/>
        <v>4121.4285714285716</v>
      </c>
      <c r="O279" s="3">
        <v>9770000</v>
      </c>
      <c r="P279" s="3">
        <v>195000</v>
      </c>
      <c r="Q279" s="3">
        <v>226000</v>
      </c>
      <c r="R279" s="5">
        <v>41.2</v>
      </c>
      <c r="T279" s="3">
        <v>26270000</v>
      </c>
      <c r="U279" s="4"/>
      <c r="V279" s="5">
        <f t="shared" si="30"/>
        <v>1648.5714285714287</v>
      </c>
      <c r="W279" s="8"/>
      <c r="X279" s="9" t="str">
        <f t="shared" si="33"/>
        <v>a</v>
      </c>
      <c r="Y279" s="9" t="str">
        <f t="shared" si="33"/>
        <v>a</v>
      </c>
      <c r="Z279" s="31">
        <f t="shared" si="31"/>
        <v>224949.47200000001</v>
      </c>
      <c r="AA279" s="31">
        <f t="shared" si="32"/>
        <v>115257.47200000001</v>
      </c>
    </row>
    <row r="280" spans="1:27" ht="13">
      <c r="A280" s="9">
        <v>278</v>
      </c>
      <c r="B280" s="3" t="s">
        <v>1632</v>
      </c>
      <c r="C280" s="3"/>
      <c r="D280" s="5">
        <v>47.7</v>
      </c>
      <c r="E280" s="3">
        <v>250</v>
      </c>
      <c r="F280" s="3">
        <v>150</v>
      </c>
      <c r="G280" s="5">
        <v>8</v>
      </c>
      <c r="H280" s="5">
        <v>8</v>
      </c>
      <c r="I280" s="3">
        <v>6080</v>
      </c>
      <c r="J280" s="3">
        <v>51110000</v>
      </c>
      <c r="K280" s="3">
        <v>409000</v>
      </c>
      <c r="L280" s="3">
        <v>501000</v>
      </c>
      <c r="M280" s="3">
        <v>91.7</v>
      </c>
      <c r="N280" s="5">
        <f t="shared" si="29"/>
        <v>3800</v>
      </c>
      <c r="O280" s="3">
        <v>22980000</v>
      </c>
      <c r="P280" s="3">
        <v>306000</v>
      </c>
      <c r="Q280" s="3">
        <v>350000</v>
      </c>
      <c r="R280" s="5">
        <v>61.5</v>
      </c>
      <c r="T280" s="3">
        <v>50210000</v>
      </c>
      <c r="U280" s="4"/>
      <c r="V280" s="5">
        <f t="shared" si="30"/>
        <v>2280</v>
      </c>
      <c r="W280" s="8"/>
      <c r="X280" s="9" t="str">
        <f t="shared" si="33"/>
        <v>a</v>
      </c>
      <c r="Y280" s="9" t="str">
        <f t="shared" si="33"/>
        <v>a</v>
      </c>
      <c r="Z280" s="31">
        <f t="shared" si="31"/>
        <v>254712</v>
      </c>
      <c r="AA280" s="31">
        <f t="shared" si="32"/>
        <v>177912</v>
      </c>
    </row>
    <row r="281" spans="1:27" ht="13">
      <c r="A281" s="9">
        <v>279</v>
      </c>
      <c r="B281" s="3" t="s">
        <v>1633</v>
      </c>
      <c r="C281" s="3"/>
      <c r="D281" s="5">
        <v>47.9</v>
      </c>
      <c r="E281" s="3">
        <v>250</v>
      </c>
      <c r="F281" s="3">
        <v>250</v>
      </c>
      <c r="G281" s="5">
        <v>6.3</v>
      </c>
      <c r="H281" s="5">
        <v>6.3</v>
      </c>
      <c r="I281" s="3">
        <v>6100</v>
      </c>
      <c r="J281" s="3">
        <v>60140000</v>
      </c>
      <c r="K281" s="3">
        <v>481000</v>
      </c>
      <c r="L281" s="3">
        <v>556000</v>
      </c>
      <c r="M281" s="3">
        <v>99.3</v>
      </c>
      <c r="N281" s="5">
        <f t="shared" si="29"/>
        <v>3050</v>
      </c>
      <c r="O281" s="3">
        <v>60140000</v>
      </c>
      <c r="P281" s="3">
        <v>481000</v>
      </c>
      <c r="Q281" s="3">
        <v>556000</v>
      </c>
      <c r="R281" s="5">
        <v>99.3</v>
      </c>
      <c r="T281" s="3">
        <v>92380000</v>
      </c>
      <c r="U281" s="4"/>
      <c r="V281" s="5">
        <f t="shared" si="30"/>
        <v>3050</v>
      </c>
      <c r="W281" s="8"/>
      <c r="X281" s="9" t="str">
        <f t="shared" si="33"/>
        <v>a</v>
      </c>
      <c r="Y281" s="9" t="str">
        <f t="shared" si="33"/>
        <v>a</v>
      </c>
      <c r="Z281" s="31">
        <f t="shared" si="31"/>
        <v>280678.79700000002</v>
      </c>
      <c r="AA281" s="31">
        <f t="shared" si="32"/>
        <v>280678.79700000002</v>
      </c>
    </row>
    <row r="282" spans="1:27" ht="13">
      <c r="A282" s="9">
        <v>280</v>
      </c>
      <c r="B282" s="3" t="s">
        <v>1634</v>
      </c>
      <c r="C282" s="3"/>
      <c r="D282" s="5">
        <v>48.2</v>
      </c>
      <c r="E282" s="3">
        <v>250</v>
      </c>
      <c r="F282" s="3">
        <v>200</v>
      </c>
      <c r="G282" s="5">
        <v>7.1</v>
      </c>
      <c r="H282" s="5">
        <v>7.1</v>
      </c>
      <c r="I282" s="3">
        <v>6130</v>
      </c>
      <c r="J282" s="3">
        <v>56540000</v>
      </c>
      <c r="K282" s="3">
        <v>452000</v>
      </c>
      <c r="L282" s="3">
        <v>535000</v>
      </c>
      <c r="M282" s="3">
        <v>96</v>
      </c>
      <c r="N282" s="5">
        <f t="shared" si="29"/>
        <v>3405.5555555555557</v>
      </c>
      <c r="O282" s="3">
        <v>40060000</v>
      </c>
      <c r="P282" s="3">
        <v>401000</v>
      </c>
      <c r="Q282" s="3">
        <v>459000</v>
      </c>
      <c r="R282" s="5">
        <v>80.8</v>
      </c>
      <c r="T282" s="3">
        <v>72700000</v>
      </c>
      <c r="U282" s="4"/>
      <c r="V282" s="5">
        <f t="shared" si="30"/>
        <v>2724.4444444444443</v>
      </c>
      <c r="W282" s="8"/>
      <c r="X282" s="9" t="str">
        <f t="shared" si="33"/>
        <v>a</v>
      </c>
      <c r="Y282" s="9" t="str">
        <f t="shared" si="33"/>
        <v>a</v>
      </c>
      <c r="Z282" s="31">
        <f t="shared" si="31"/>
        <v>271151.91100000002</v>
      </c>
      <c r="AA282" s="31">
        <f t="shared" si="32"/>
        <v>232474.66100000002</v>
      </c>
    </row>
    <row r="283" spans="1:27" ht="13">
      <c r="A283" s="9">
        <v>281</v>
      </c>
      <c r="B283" s="3" t="s">
        <v>1635</v>
      </c>
      <c r="C283" s="3"/>
      <c r="D283" s="5">
        <v>51</v>
      </c>
      <c r="E283" s="3">
        <v>250</v>
      </c>
      <c r="F283" s="3">
        <v>100</v>
      </c>
      <c r="G283" s="5">
        <v>10</v>
      </c>
      <c r="H283" s="5">
        <v>10</v>
      </c>
      <c r="I283" s="3">
        <v>6490</v>
      </c>
      <c r="J283" s="3">
        <v>47330000</v>
      </c>
      <c r="K283" s="3">
        <v>379000</v>
      </c>
      <c r="L283" s="3">
        <v>491000</v>
      </c>
      <c r="M283" s="3">
        <v>85.4</v>
      </c>
      <c r="N283" s="5">
        <f t="shared" si="29"/>
        <v>4635.7142857142853</v>
      </c>
      <c r="O283" s="3">
        <v>10720000</v>
      </c>
      <c r="P283" s="3">
        <v>214000</v>
      </c>
      <c r="Q283" s="3">
        <v>251000</v>
      </c>
      <c r="R283" s="5">
        <v>40.6</v>
      </c>
      <c r="T283" s="3">
        <v>29080000</v>
      </c>
      <c r="U283" s="4"/>
      <c r="V283" s="5">
        <f t="shared" si="30"/>
        <v>1854.2857142857142</v>
      </c>
      <c r="W283" s="8"/>
      <c r="X283" s="9" t="str">
        <f t="shared" ref="X283:Y302" si="34">IF(fy=460,"a0","a")</f>
        <v>a</v>
      </c>
      <c r="Y283" s="9" t="str">
        <f t="shared" si="34"/>
        <v>a</v>
      </c>
      <c r="Z283" s="31">
        <f t="shared" si="31"/>
        <v>252250</v>
      </c>
      <c r="AA283" s="31">
        <f t="shared" si="32"/>
        <v>128500</v>
      </c>
    </row>
    <row r="284" spans="1:27" ht="13">
      <c r="A284" s="9">
        <v>282</v>
      </c>
      <c r="B284" s="3" t="s">
        <v>1636</v>
      </c>
      <c r="C284" s="3"/>
      <c r="D284" s="5">
        <v>53.7</v>
      </c>
      <c r="E284" s="3">
        <v>250</v>
      </c>
      <c r="F284" s="3">
        <v>250</v>
      </c>
      <c r="G284" s="5">
        <v>7.1</v>
      </c>
      <c r="H284" s="5">
        <v>7.1</v>
      </c>
      <c r="I284" s="3">
        <v>6840</v>
      </c>
      <c r="J284" s="3">
        <v>67010000</v>
      </c>
      <c r="K284" s="3">
        <v>536000</v>
      </c>
      <c r="L284" s="3">
        <v>622000</v>
      </c>
      <c r="M284" s="3">
        <v>99</v>
      </c>
      <c r="N284" s="5">
        <f t="shared" si="29"/>
        <v>3420</v>
      </c>
      <c r="O284" s="3">
        <v>67010000</v>
      </c>
      <c r="P284" s="3">
        <v>536000</v>
      </c>
      <c r="Q284" s="3">
        <v>622000</v>
      </c>
      <c r="R284" s="5">
        <v>99</v>
      </c>
      <c r="T284" s="3">
        <v>103250000</v>
      </c>
      <c r="U284" s="4"/>
      <c r="V284" s="5">
        <f t="shared" si="30"/>
        <v>3420</v>
      </c>
      <c r="W284" s="8"/>
      <c r="X284" s="9" t="str">
        <f t="shared" si="34"/>
        <v>a</v>
      </c>
      <c r="Y284" s="9" t="str">
        <f t="shared" si="34"/>
        <v>a</v>
      </c>
      <c r="Z284" s="31">
        <f t="shared" si="31"/>
        <v>314266.66100000002</v>
      </c>
      <c r="AA284" s="31">
        <f t="shared" si="32"/>
        <v>314266.66100000002</v>
      </c>
    </row>
    <row r="285" spans="1:27" ht="13">
      <c r="A285" s="9">
        <v>283</v>
      </c>
      <c r="B285" s="3" t="s">
        <v>1637</v>
      </c>
      <c r="C285" s="3"/>
      <c r="D285" s="5">
        <v>54</v>
      </c>
      <c r="E285" s="3">
        <v>250</v>
      </c>
      <c r="F285" s="3">
        <v>200</v>
      </c>
      <c r="G285" s="5">
        <v>8</v>
      </c>
      <c r="H285" s="5">
        <v>8</v>
      </c>
      <c r="I285" s="3">
        <v>6880</v>
      </c>
      <c r="J285" s="3">
        <v>62830000</v>
      </c>
      <c r="K285" s="3">
        <v>503000</v>
      </c>
      <c r="L285" s="3">
        <v>597000</v>
      </c>
      <c r="M285" s="3">
        <v>95.6</v>
      </c>
      <c r="N285" s="5">
        <f t="shared" si="29"/>
        <v>3822.2222222222222</v>
      </c>
      <c r="O285" s="3">
        <v>44470000</v>
      </c>
      <c r="P285" s="3">
        <v>445000</v>
      </c>
      <c r="Q285" s="3">
        <v>512000</v>
      </c>
      <c r="R285" s="5">
        <v>80.400000000000006</v>
      </c>
      <c r="T285" s="3">
        <v>81040000</v>
      </c>
      <c r="U285" s="4"/>
      <c r="V285" s="5">
        <f t="shared" si="30"/>
        <v>3057.7777777777778</v>
      </c>
      <c r="W285" s="8"/>
      <c r="X285" s="9" t="str">
        <f t="shared" si="34"/>
        <v>a</v>
      </c>
      <c r="Y285" s="9" t="str">
        <f t="shared" si="34"/>
        <v>a</v>
      </c>
      <c r="Z285" s="31">
        <f t="shared" si="31"/>
        <v>303112</v>
      </c>
      <c r="AA285" s="31">
        <f t="shared" si="32"/>
        <v>259712</v>
      </c>
    </row>
    <row r="286" spans="1:27" ht="13">
      <c r="A286" s="9">
        <v>284</v>
      </c>
      <c r="B286" s="3" t="s">
        <v>1638</v>
      </c>
      <c r="C286" s="3"/>
      <c r="D286" s="5">
        <v>58.8</v>
      </c>
      <c r="E286" s="3">
        <v>250</v>
      </c>
      <c r="F286" s="3">
        <v>150</v>
      </c>
      <c r="G286" s="5">
        <v>10</v>
      </c>
      <c r="H286" s="5">
        <v>10</v>
      </c>
      <c r="I286" s="3">
        <v>7490</v>
      </c>
      <c r="J286" s="3">
        <v>61740000</v>
      </c>
      <c r="K286" s="3">
        <v>494000</v>
      </c>
      <c r="L286" s="3">
        <v>611000</v>
      </c>
      <c r="M286" s="3">
        <v>90.8</v>
      </c>
      <c r="N286" s="5">
        <f t="shared" si="29"/>
        <v>4681.25</v>
      </c>
      <c r="O286" s="3">
        <v>27550000</v>
      </c>
      <c r="P286" s="3">
        <v>367000</v>
      </c>
      <c r="Q286" s="3">
        <v>426000</v>
      </c>
      <c r="R286" s="5">
        <v>60.6</v>
      </c>
      <c r="T286" s="3">
        <v>60900000</v>
      </c>
      <c r="U286" s="4"/>
      <c r="V286" s="5">
        <f t="shared" si="30"/>
        <v>2808.75</v>
      </c>
      <c r="W286" s="8"/>
      <c r="X286" s="9" t="str">
        <f t="shared" si="34"/>
        <v>a</v>
      </c>
      <c r="Y286" s="9" t="str">
        <f t="shared" si="34"/>
        <v>a</v>
      </c>
      <c r="Z286" s="31">
        <f t="shared" si="31"/>
        <v>312250</v>
      </c>
      <c r="AA286" s="31">
        <f t="shared" si="32"/>
        <v>217250</v>
      </c>
    </row>
    <row r="287" spans="1:27" ht="13">
      <c r="A287" s="9">
        <v>285</v>
      </c>
      <c r="B287" s="3" t="s">
        <v>1639</v>
      </c>
      <c r="C287" s="3"/>
      <c r="D287" s="5">
        <v>59.1</v>
      </c>
      <c r="E287" s="3">
        <v>250</v>
      </c>
      <c r="F287" s="3">
        <v>200</v>
      </c>
      <c r="G287" s="5">
        <v>8.8000000000000007</v>
      </c>
      <c r="H287" s="5">
        <v>8.8000000000000007</v>
      </c>
      <c r="I287" s="3">
        <v>7530</v>
      </c>
      <c r="J287" s="3">
        <v>68270000</v>
      </c>
      <c r="K287" s="3">
        <v>546000</v>
      </c>
      <c r="L287" s="3">
        <v>651000</v>
      </c>
      <c r="M287" s="3">
        <v>95.2</v>
      </c>
      <c r="N287" s="5">
        <f t="shared" si="29"/>
        <v>4183.333333333333</v>
      </c>
      <c r="O287" s="3">
        <v>48260000</v>
      </c>
      <c r="P287" s="3">
        <v>483000</v>
      </c>
      <c r="Q287" s="3">
        <v>558000</v>
      </c>
      <c r="R287" s="5">
        <v>80.099999999999994</v>
      </c>
      <c r="T287" s="3">
        <v>88290000</v>
      </c>
      <c r="U287" s="4"/>
      <c r="V287" s="5">
        <f t="shared" si="30"/>
        <v>3346.6666666666665</v>
      </c>
      <c r="W287" s="8"/>
      <c r="X287" s="9" t="str">
        <f t="shared" si="34"/>
        <v>a</v>
      </c>
      <c r="Y287" s="9" t="str">
        <f t="shared" si="34"/>
        <v>a</v>
      </c>
      <c r="Z287" s="31">
        <f t="shared" si="31"/>
        <v>331077.47200000007</v>
      </c>
      <c r="AA287" s="31">
        <f t="shared" si="32"/>
        <v>283513.47200000001</v>
      </c>
    </row>
    <row r="288" spans="1:27" ht="13">
      <c r="A288" s="9">
        <v>286</v>
      </c>
      <c r="B288" s="3" t="s">
        <v>1640</v>
      </c>
      <c r="C288" s="3"/>
      <c r="D288" s="5">
        <v>60.3</v>
      </c>
      <c r="E288" s="3">
        <v>250</v>
      </c>
      <c r="F288" s="3">
        <v>250</v>
      </c>
      <c r="G288" s="5">
        <v>8</v>
      </c>
      <c r="H288" s="5">
        <v>8</v>
      </c>
      <c r="I288" s="3">
        <v>7680</v>
      </c>
      <c r="J288" s="3">
        <v>74550000</v>
      </c>
      <c r="K288" s="3">
        <v>596000</v>
      </c>
      <c r="L288" s="3">
        <v>694000</v>
      </c>
      <c r="M288" s="3">
        <v>98.6</v>
      </c>
      <c r="N288" s="5">
        <f t="shared" si="29"/>
        <v>3840</v>
      </c>
      <c r="O288" s="3">
        <v>74550000</v>
      </c>
      <c r="P288" s="3">
        <v>596000</v>
      </c>
      <c r="Q288" s="3">
        <v>694000</v>
      </c>
      <c r="R288" s="5">
        <v>98.6</v>
      </c>
      <c r="T288" s="3">
        <v>115250000</v>
      </c>
      <c r="U288" s="4"/>
      <c r="V288" s="5">
        <f t="shared" si="30"/>
        <v>3840</v>
      </c>
      <c r="W288" s="8"/>
      <c r="X288" s="9" t="str">
        <f t="shared" si="34"/>
        <v>a</v>
      </c>
      <c r="Y288" s="9" t="str">
        <f t="shared" si="34"/>
        <v>a</v>
      </c>
      <c r="Z288" s="31">
        <f t="shared" si="31"/>
        <v>351512</v>
      </c>
      <c r="AA288" s="31">
        <f t="shared" si="32"/>
        <v>351512</v>
      </c>
    </row>
    <row r="289" spans="1:27" ht="13">
      <c r="A289" s="9">
        <v>287</v>
      </c>
      <c r="B289" s="3" t="s">
        <v>1641</v>
      </c>
      <c r="C289" s="3"/>
      <c r="D289" s="5">
        <v>62.5</v>
      </c>
      <c r="E289" s="3">
        <v>250</v>
      </c>
      <c r="F289" s="3">
        <v>100</v>
      </c>
      <c r="G289" s="5">
        <v>12.5</v>
      </c>
      <c r="H289" s="5">
        <v>12.5</v>
      </c>
      <c r="I289" s="3">
        <v>7960</v>
      </c>
      <c r="J289" s="3">
        <v>56220000</v>
      </c>
      <c r="K289" s="3">
        <v>450000</v>
      </c>
      <c r="L289" s="3">
        <v>592000</v>
      </c>
      <c r="M289" s="3">
        <v>84.1</v>
      </c>
      <c r="N289" s="5">
        <f t="shared" si="29"/>
        <v>5685.7142857142853</v>
      </c>
      <c r="O289" s="3">
        <v>12450000</v>
      </c>
      <c r="P289" s="3">
        <v>249000</v>
      </c>
      <c r="Q289" s="3">
        <v>299000</v>
      </c>
      <c r="R289" s="5">
        <v>39.6</v>
      </c>
      <c r="T289" s="3">
        <v>34360000</v>
      </c>
      <c r="U289" s="4"/>
      <c r="V289" s="5">
        <f t="shared" si="30"/>
        <v>2274.2857142857142</v>
      </c>
      <c r="W289" s="8"/>
      <c r="X289" s="9" t="str">
        <f t="shared" si="34"/>
        <v>a</v>
      </c>
      <c r="Y289" s="9" t="str">
        <f t="shared" si="34"/>
        <v>a</v>
      </c>
      <c r="Z289" s="31">
        <f t="shared" si="31"/>
        <v>306640.625</v>
      </c>
      <c r="AA289" s="31">
        <f t="shared" si="32"/>
        <v>154296.875</v>
      </c>
    </row>
    <row r="290" spans="1:27" ht="13">
      <c r="A290" s="9">
        <v>288</v>
      </c>
      <c r="B290" s="3" t="s">
        <v>1642</v>
      </c>
      <c r="C290" s="3"/>
      <c r="D290" s="5">
        <v>66</v>
      </c>
      <c r="E290" s="3">
        <v>250</v>
      </c>
      <c r="F290" s="3">
        <v>250</v>
      </c>
      <c r="G290" s="5">
        <v>8.8000000000000007</v>
      </c>
      <c r="H290" s="5">
        <v>8.8000000000000007</v>
      </c>
      <c r="I290" s="3">
        <v>8410</v>
      </c>
      <c r="J290" s="3">
        <v>81070000</v>
      </c>
      <c r="K290" s="3">
        <v>649000</v>
      </c>
      <c r="L290" s="3">
        <v>758000</v>
      </c>
      <c r="M290" s="3">
        <v>98.2</v>
      </c>
      <c r="N290" s="5">
        <f t="shared" si="29"/>
        <v>4205</v>
      </c>
      <c r="O290" s="3">
        <v>81070000</v>
      </c>
      <c r="P290" s="3">
        <v>649000</v>
      </c>
      <c r="Q290" s="3">
        <v>758000</v>
      </c>
      <c r="R290" s="5">
        <v>98.2</v>
      </c>
      <c r="T290" s="3">
        <v>125720000</v>
      </c>
      <c r="U290" s="4"/>
      <c r="V290" s="5">
        <f t="shared" si="30"/>
        <v>4205</v>
      </c>
      <c r="W290" s="8"/>
      <c r="X290" s="9" t="str">
        <f t="shared" si="34"/>
        <v>a</v>
      </c>
      <c r="Y290" s="9" t="str">
        <f t="shared" si="34"/>
        <v>a</v>
      </c>
      <c r="Z290" s="31">
        <f t="shared" si="31"/>
        <v>384141.47200000001</v>
      </c>
      <c r="AA290" s="31">
        <f t="shared" si="32"/>
        <v>384141.47200000001</v>
      </c>
    </row>
    <row r="291" spans="1:27" ht="13">
      <c r="A291" s="9">
        <v>289</v>
      </c>
      <c r="B291" s="3" t="s">
        <v>1643</v>
      </c>
      <c r="C291" s="3"/>
      <c r="D291" s="5">
        <v>66.7</v>
      </c>
      <c r="E291" s="3">
        <v>250</v>
      </c>
      <c r="F291" s="3">
        <v>200</v>
      </c>
      <c r="G291" s="5">
        <v>10</v>
      </c>
      <c r="H291" s="5">
        <v>10</v>
      </c>
      <c r="I291" s="3">
        <v>8490</v>
      </c>
      <c r="J291" s="3">
        <v>76140000</v>
      </c>
      <c r="K291" s="3">
        <v>609000</v>
      </c>
      <c r="L291" s="3">
        <v>731000</v>
      </c>
      <c r="M291" s="3">
        <v>94.7</v>
      </c>
      <c r="N291" s="5">
        <f t="shared" si="29"/>
        <v>4716.666666666667</v>
      </c>
      <c r="O291" s="3">
        <v>53740000</v>
      </c>
      <c r="P291" s="3">
        <v>537000</v>
      </c>
      <c r="Q291" s="3">
        <v>626000</v>
      </c>
      <c r="R291" s="5">
        <v>79.5</v>
      </c>
      <c r="T291" s="3">
        <v>98890000</v>
      </c>
      <c r="U291" s="4"/>
      <c r="V291" s="5">
        <f t="shared" si="30"/>
        <v>3773.3333333333335</v>
      </c>
      <c r="W291" s="8"/>
      <c r="X291" s="9" t="str">
        <f t="shared" si="34"/>
        <v>a</v>
      </c>
      <c r="Y291" s="9" t="str">
        <f t="shared" si="34"/>
        <v>a</v>
      </c>
      <c r="Z291" s="31">
        <f t="shared" si="31"/>
        <v>372250</v>
      </c>
      <c r="AA291" s="31">
        <f t="shared" si="32"/>
        <v>318500</v>
      </c>
    </row>
    <row r="292" spans="1:27" ht="13">
      <c r="A292" s="9">
        <v>290</v>
      </c>
      <c r="B292" s="3" t="s">
        <v>1644</v>
      </c>
      <c r="C292" s="3"/>
      <c r="D292" s="5">
        <v>70</v>
      </c>
      <c r="E292" s="3">
        <v>250</v>
      </c>
      <c r="F292" s="3">
        <v>100</v>
      </c>
      <c r="G292" s="5">
        <v>14.2</v>
      </c>
      <c r="H292" s="5">
        <v>14.2</v>
      </c>
      <c r="I292" s="3">
        <v>8920</v>
      </c>
      <c r="J292" s="3">
        <v>61650000</v>
      </c>
      <c r="K292" s="3">
        <v>493000</v>
      </c>
      <c r="L292" s="3">
        <v>655000</v>
      </c>
      <c r="M292" s="3">
        <v>83.1</v>
      </c>
      <c r="N292" s="5">
        <f t="shared" si="29"/>
        <v>6371.4285714285716</v>
      </c>
      <c r="O292" s="3">
        <v>13440000</v>
      </c>
      <c r="P292" s="3">
        <v>269000</v>
      </c>
      <c r="Q292" s="3">
        <v>329000</v>
      </c>
      <c r="R292" s="5">
        <v>38.799999999999997</v>
      </c>
      <c r="T292" s="3">
        <v>37520000</v>
      </c>
      <c r="U292" s="4"/>
      <c r="V292" s="5">
        <f t="shared" si="30"/>
        <v>2548.5714285714284</v>
      </c>
      <c r="W292" s="8"/>
      <c r="X292" s="9" t="str">
        <f t="shared" si="34"/>
        <v>a</v>
      </c>
      <c r="Y292" s="9" t="str">
        <f t="shared" si="34"/>
        <v>a</v>
      </c>
      <c r="Z292" s="31">
        <f t="shared" si="31"/>
        <v>341746.28799999994</v>
      </c>
      <c r="AA292" s="31">
        <f t="shared" si="32"/>
        <v>170494.288</v>
      </c>
    </row>
    <row r="293" spans="1:27" ht="13">
      <c r="A293" s="9">
        <v>291</v>
      </c>
      <c r="B293" s="3" t="s">
        <v>1645</v>
      </c>
      <c r="C293" s="3"/>
      <c r="D293" s="5">
        <v>72.3</v>
      </c>
      <c r="E293" s="3">
        <v>250</v>
      </c>
      <c r="F293" s="3">
        <v>150</v>
      </c>
      <c r="G293" s="5">
        <v>12.5</v>
      </c>
      <c r="H293" s="5">
        <v>12.5</v>
      </c>
      <c r="I293" s="3">
        <v>9210</v>
      </c>
      <c r="J293" s="3">
        <v>73870000</v>
      </c>
      <c r="K293" s="3">
        <v>591000</v>
      </c>
      <c r="L293" s="3">
        <v>740000</v>
      </c>
      <c r="M293" s="3">
        <v>89.6</v>
      </c>
      <c r="N293" s="5">
        <f t="shared" si="29"/>
        <v>5756.25</v>
      </c>
      <c r="O293" s="3">
        <v>32650000</v>
      </c>
      <c r="P293" s="3">
        <v>435000</v>
      </c>
      <c r="Q293" s="3">
        <v>514000</v>
      </c>
      <c r="R293" s="5">
        <v>59.6</v>
      </c>
      <c r="T293" s="3">
        <v>73260000</v>
      </c>
      <c r="U293" s="4"/>
      <c r="V293" s="5">
        <f t="shared" si="30"/>
        <v>3453.75</v>
      </c>
      <c r="W293" s="8"/>
      <c r="X293" s="9" t="str">
        <f t="shared" si="34"/>
        <v>a</v>
      </c>
      <c r="Y293" s="9" t="str">
        <f t="shared" si="34"/>
        <v>a</v>
      </c>
      <c r="Z293" s="31">
        <f t="shared" si="31"/>
        <v>380859.375</v>
      </c>
      <c r="AA293" s="31">
        <f t="shared" si="32"/>
        <v>263671.875</v>
      </c>
    </row>
    <row r="294" spans="1:27" ht="13">
      <c r="A294" s="9">
        <v>292</v>
      </c>
      <c r="B294" s="3" t="s">
        <v>1646</v>
      </c>
      <c r="C294" s="3"/>
      <c r="D294" s="5">
        <v>74.5</v>
      </c>
      <c r="E294" s="3">
        <v>250</v>
      </c>
      <c r="F294" s="3">
        <v>250</v>
      </c>
      <c r="G294" s="5">
        <v>10</v>
      </c>
      <c r="H294" s="5">
        <v>10</v>
      </c>
      <c r="I294" s="3">
        <v>9490</v>
      </c>
      <c r="J294" s="3">
        <v>90550000</v>
      </c>
      <c r="K294" s="3">
        <v>724000</v>
      </c>
      <c r="L294" s="3">
        <v>851000</v>
      </c>
      <c r="M294" s="3">
        <v>97.7</v>
      </c>
      <c r="N294" s="5">
        <f t="shared" si="29"/>
        <v>4745</v>
      </c>
      <c r="O294" s="3">
        <v>90550000</v>
      </c>
      <c r="P294" s="3">
        <v>724000</v>
      </c>
      <c r="Q294" s="3">
        <v>851000</v>
      </c>
      <c r="R294" s="5">
        <v>97.7</v>
      </c>
      <c r="T294" s="3">
        <v>141060000</v>
      </c>
      <c r="U294" s="4"/>
      <c r="V294" s="5">
        <f t="shared" si="30"/>
        <v>4745</v>
      </c>
      <c r="W294" s="8"/>
      <c r="X294" s="9" t="str">
        <f t="shared" si="34"/>
        <v>a</v>
      </c>
      <c r="Y294" s="9" t="str">
        <f t="shared" si="34"/>
        <v>a</v>
      </c>
      <c r="Z294" s="31">
        <f t="shared" si="31"/>
        <v>432250</v>
      </c>
      <c r="AA294" s="31">
        <f t="shared" si="32"/>
        <v>432250</v>
      </c>
    </row>
    <row r="295" spans="1:27" ht="13">
      <c r="A295" s="9">
        <v>293</v>
      </c>
      <c r="B295" s="3" t="s">
        <v>1647</v>
      </c>
      <c r="C295" s="3"/>
      <c r="D295" s="5">
        <v>77.7</v>
      </c>
      <c r="E295" s="3">
        <v>250</v>
      </c>
      <c r="F295" s="3">
        <v>100</v>
      </c>
      <c r="G295" s="5">
        <v>16</v>
      </c>
      <c r="H295" s="5">
        <v>16</v>
      </c>
      <c r="I295" s="3">
        <v>9900</v>
      </c>
      <c r="J295" s="3">
        <v>66860000</v>
      </c>
      <c r="K295" s="3">
        <v>535000</v>
      </c>
      <c r="L295" s="3">
        <v>719000</v>
      </c>
      <c r="M295" s="3">
        <v>82.2</v>
      </c>
      <c r="N295" s="5">
        <f t="shared" si="29"/>
        <v>7071.4285714285716</v>
      </c>
      <c r="O295" s="3">
        <v>14330000</v>
      </c>
      <c r="P295" s="3">
        <v>287000</v>
      </c>
      <c r="Q295" s="3">
        <v>358000</v>
      </c>
      <c r="R295" s="5">
        <v>38</v>
      </c>
      <c r="T295" s="3">
        <v>40500000</v>
      </c>
      <c r="U295" s="4"/>
      <c r="V295" s="5">
        <f t="shared" si="30"/>
        <v>2828.5714285714284</v>
      </c>
      <c r="W295" s="8"/>
      <c r="X295" s="9" t="str">
        <f t="shared" si="34"/>
        <v>a</v>
      </c>
      <c r="Y295" s="9" t="str">
        <f t="shared" si="34"/>
        <v>a</v>
      </c>
      <c r="Z295" s="31">
        <f t="shared" si="31"/>
        <v>377296</v>
      </c>
      <c r="AA295" s="31">
        <f t="shared" si="32"/>
        <v>186496</v>
      </c>
    </row>
    <row r="296" spans="1:27" ht="13">
      <c r="A296" s="9">
        <v>294</v>
      </c>
      <c r="B296" s="3" t="s">
        <v>1648</v>
      </c>
      <c r="C296" s="3"/>
      <c r="D296" s="5">
        <v>81.099999999999994</v>
      </c>
      <c r="E296" s="3">
        <v>250</v>
      </c>
      <c r="F296" s="3">
        <v>150</v>
      </c>
      <c r="G296" s="5">
        <v>14.2</v>
      </c>
      <c r="H296" s="5">
        <v>14.2</v>
      </c>
      <c r="I296" s="3">
        <v>10300</v>
      </c>
      <c r="J296" s="3">
        <v>81410000</v>
      </c>
      <c r="K296" s="3">
        <v>651000</v>
      </c>
      <c r="L296" s="3">
        <v>823000</v>
      </c>
      <c r="M296" s="3">
        <v>88.7</v>
      </c>
      <c r="N296" s="5">
        <f t="shared" si="29"/>
        <v>6437.5</v>
      </c>
      <c r="O296" s="3">
        <v>35760000</v>
      </c>
      <c r="P296" s="3">
        <v>477000</v>
      </c>
      <c r="Q296" s="3">
        <v>570000</v>
      </c>
      <c r="R296" s="5">
        <v>58.8</v>
      </c>
      <c r="T296" s="3">
        <v>81020000</v>
      </c>
      <c r="U296" s="4"/>
      <c r="V296" s="5">
        <f t="shared" si="30"/>
        <v>3862.5</v>
      </c>
      <c r="W296" s="8"/>
      <c r="X296" s="9" t="str">
        <f t="shared" si="34"/>
        <v>a</v>
      </c>
      <c r="Y296" s="9" t="str">
        <f t="shared" si="34"/>
        <v>a</v>
      </c>
      <c r="Z296" s="31">
        <f t="shared" si="31"/>
        <v>425455.28799999994</v>
      </c>
      <c r="AA296" s="31">
        <f t="shared" si="32"/>
        <v>293537.288</v>
      </c>
    </row>
    <row r="297" spans="1:27" ht="13">
      <c r="A297" s="9">
        <v>295</v>
      </c>
      <c r="B297" s="3" t="s">
        <v>1649</v>
      </c>
      <c r="C297" s="3"/>
      <c r="D297" s="5">
        <v>82.1</v>
      </c>
      <c r="E297" s="3">
        <v>250</v>
      </c>
      <c r="F297" s="3">
        <v>200</v>
      </c>
      <c r="G297" s="5">
        <v>12.5</v>
      </c>
      <c r="H297" s="5">
        <v>12.5</v>
      </c>
      <c r="I297" s="3">
        <v>10500</v>
      </c>
      <c r="J297" s="3">
        <v>91510000</v>
      </c>
      <c r="K297" s="3">
        <v>732000</v>
      </c>
      <c r="L297" s="3">
        <v>888000</v>
      </c>
      <c r="M297" s="3">
        <v>93.5</v>
      </c>
      <c r="N297" s="5">
        <f t="shared" si="29"/>
        <v>5833.333333333333</v>
      </c>
      <c r="O297" s="3">
        <v>64370000</v>
      </c>
      <c r="P297" s="3">
        <v>644000</v>
      </c>
      <c r="Q297" s="3">
        <v>760000</v>
      </c>
      <c r="R297" s="5">
        <v>78.5</v>
      </c>
      <c r="T297" s="3">
        <v>119860000</v>
      </c>
      <c r="U297" s="4"/>
      <c r="V297" s="5">
        <f t="shared" si="30"/>
        <v>4666.666666666667</v>
      </c>
      <c r="W297" s="8"/>
      <c r="X297" s="9" t="str">
        <f t="shared" si="34"/>
        <v>a</v>
      </c>
      <c r="Y297" s="9" t="str">
        <f t="shared" si="34"/>
        <v>a</v>
      </c>
      <c r="Z297" s="31">
        <f t="shared" si="31"/>
        <v>455078.125</v>
      </c>
      <c r="AA297" s="31">
        <f t="shared" si="32"/>
        <v>388671.875</v>
      </c>
    </row>
    <row r="298" spans="1:27" ht="13">
      <c r="A298" s="9">
        <v>296</v>
      </c>
      <c r="B298" s="3" t="s">
        <v>1650</v>
      </c>
      <c r="C298" s="3"/>
      <c r="D298" s="5">
        <v>90.3</v>
      </c>
      <c r="E298" s="3">
        <v>250</v>
      </c>
      <c r="F298" s="3">
        <v>150</v>
      </c>
      <c r="G298" s="5">
        <v>16</v>
      </c>
      <c r="H298" s="5">
        <v>16</v>
      </c>
      <c r="I298" s="3">
        <v>11500</v>
      </c>
      <c r="J298" s="3">
        <v>88790000</v>
      </c>
      <c r="K298" s="3">
        <v>710000</v>
      </c>
      <c r="L298" s="3">
        <v>906000</v>
      </c>
      <c r="M298" s="3">
        <v>87.9</v>
      </c>
      <c r="N298" s="5">
        <f t="shared" si="29"/>
        <v>7187.5</v>
      </c>
      <c r="O298" s="3">
        <v>38730000</v>
      </c>
      <c r="P298" s="3">
        <v>516000</v>
      </c>
      <c r="Q298" s="3">
        <v>625000</v>
      </c>
      <c r="R298" s="5">
        <v>58</v>
      </c>
      <c r="T298" s="3">
        <v>88680000</v>
      </c>
      <c r="U298" s="4"/>
      <c r="V298" s="5">
        <f t="shared" si="30"/>
        <v>4312.5</v>
      </c>
      <c r="W298" s="8"/>
      <c r="X298" s="9" t="str">
        <f t="shared" si="34"/>
        <v>a</v>
      </c>
      <c r="Y298" s="9" t="str">
        <f t="shared" si="34"/>
        <v>a</v>
      </c>
      <c r="Z298" s="31">
        <f t="shared" si="31"/>
        <v>470896</v>
      </c>
      <c r="AA298" s="31">
        <f t="shared" si="32"/>
        <v>323696</v>
      </c>
    </row>
    <row r="299" spans="1:27" ht="13">
      <c r="A299" s="9">
        <v>297</v>
      </c>
      <c r="B299" s="3" t="s">
        <v>1651</v>
      </c>
      <c r="C299" s="3"/>
      <c r="D299" s="5">
        <v>91.9</v>
      </c>
      <c r="E299" s="3">
        <v>250</v>
      </c>
      <c r="F299" s="3">
        <v>250</v>
      </c>
      <c r="G299" s="5">
        <v>12.5</v>
      </c>
      <c r="H299" s="5">
        <v>12.5</v>
      </c>
      <c r="I299" s="3">
        <v>11700</v>
      </c>
      <c r="J299" s="3">
        <v>109200000</v>
      </c>
      <c r="K299" s="3">
        <v>873000</v>
      </c>
      <c r="L299" s="3">
        <v>1037000</v>
      </c>
      <c r="M299" s="3">
        <v>96.6</v>
      </c>
      <c r="N299" s="5">
        <f t="shared" si="29"/>
        <v>5850</v>
      </c>
      <c r="O299" s="3">
        <v>109200000</v>
      </c>
      <c r="P299" s="3">
        <v>873000</v>
      </c>
      <c r="Q299" s="3">
        <v>1037000</v>
      </c>
      <c r="R299" s="5">
        <v>96.6</v>
      </c>
      <c r="T299" s="3">
        <v>171600000</v>
      </c>
      <c r="U299" s="4"/>
      <c r="V299" s="5">
        <f t="shared" si="30"/>
        <v>5850</v>
      </c>
      <c r="W299" s="8"/>
      <c r="X299" s="9" t="str">
        <f t="shared" si="34"/>
        <v>a</v>
      </c>
      <c r="Y299" s="9" t="str">
        <f t="shared" si="34"/>
        <v>a</v>
      </c>
      <c r="Z299" s="31">
        <f t="shared" si="31"/>
        <v>529296.875</v>
      </c>
      <c r="AA299" s="31">
        <f t="shared" si="32"/>
        <v>529296.875</v>
      </c>
    </row>
    <row r="300" spans="1:27" ht="13">
      <c r="A300" s="9">
        <v>298</v>
      </c>
      <c r="B300" s="3" t="s">
        <v>1652</v>
      </c>
      <c r="C300" s="3"/>
      <c r="D300" s="5">
        <v>92.3</v>
      </c>
      <c r="E300" s="3">
        <v>250</v>
      </c>
      <c r="F300" s="3">
        <v>200</v>
      </c>
      <c r="G300" s="5">
        <v>14.2</v>
      </c>
      <c r="H300" s="5">
        <v>14.2</v>
      </c>
      <c r="I300" s="3">
        <v>11800</v>
      </c>
      <c r="J300" s="3">
        <v>101170000</v>
      </c>
      <c r="K300" s="3">
        <v>809000</v>
      </c>
      <c r="L300" s="3">
        <v>990000</v>
      </c>
      <c r="M300" s="3">
        <v>92.8</v>
      </c>
      <c r="N300" s="5">
        <f t="shared" si="29"/>
        <v>6555.5555555555557</v>
      </c>
      <c r="O300" s="3">
        <v>71000000</v>
      </c>
      <c r="P300" s="3">
        <v>710000</v>
      </c>
      <c r="Q300" s="3">
        <v>846000</v>
      </c>
      <c r="R300" s="5">
        <v>77.7</v>
      </c>
      <c r="T300" s="3">
        <v>133270000</v>
      </c>
      <c r="U300" s="4"/>
      <c r="V300" s="5">
        <f t="shared" si="30"/>
        <v>5244.4444444444443</v>
      </c>
      <c r="W300" s="8"/>
      <c r="X300" s="9" t="str">
        <f t="shared" si="34"/>
        <v>a</v>
      </c>
      <c r="Y300" s="9" t="str">
        <f t="shared" si="34"/>
        <v>a</v>
      </c>
      <c r="Z300" s="31">
        <f t="shared" si="31"/>
        <v>509164.28799999994</v>
      </c>
      <c r="AA300" s="31">
        <f t="shared" si="32"/>
        <v>434330.288</v>
      </c>
    </row>
    <row r="301" spans="1:27" ht="13">
      <c r="A301" s="9">
        <v>299</v>
      </c>
      <c r="B301" s="3" t="s">
        <v>1653</v>
      </c>
      <c r="C301" s="3"/>
      <c r="D301" s="5">
        <v>103</v>
      </c>
      <c r="E301" s="3">
        <v>250</v>
      </c>
      <c r="F301" s="3">
        <v>200</v>
      </c>
      <c r="G301" s="5">
        <v>16</v>
      </c>
      <c r="H301" s="5">
        <v>16</v>
      </c>
      <c r="I301" s="3">
        <v>13100</v>
      </c>
      <c r="J301" s="3">
        <v>110730000</v>
      </c>
      <c r="K301" s="3">
        <v>886000</v>
      </c>
      <c r="L301" s="3">
        <v>1093000</v>
      </c>
      <c r="M301" s="3">
        <v>91.9</v>
      </c>
      <c r="N301" s="5">
        <f t="shared" si="29"/>
        <v>7277.7777777777774</v>
      </c>
      <c r="O301" s="3">
        <v>77510000</v>
      </c>
      <c r="P301" s="3">
        <v>775000</v>
      </c>
      <c r="Q301" s="3">
        <v>933000</v>
      </c>
      <c r="R301" s="5">
        <v>76.900000000000006</v>
      </c>
      <c r="T301" s="3">
        <v>146740000</v>
      </c>
      <c r="U301" s="4"/>
      <c r="V301" s="5">
        <f t="shared" si="30"/>
        <v>5822.2222222222226</v>
      </c>
      <c r="W301" s="8"/>
      <c r="X301" s="9" t="str">
        <f t="shared" si="34"/>
        <v>a</v>
      </c>
      <c r="Y301" s="9" t="str">
        <f t="shared" si="34"/>
        <v>a</v>
      </c>
      <c r="Z301" s="31">
        <f t="shared" si="31"/>
        <v>564496</v>
      </c>
      <c r="AA301" s="31">
        <f t="shared" si="32"/>
        <v>480896</v>
      </c>
    </row>
    <row r="302" spans="1:27" ht="13">
      <c r="A302" s="9">
        <v>300</v>
      </c>
      <c r="B302" s="3" t="s">
        <v>1654</v>
      </c>
      <c r="C302" s="3"/>
      <c r="D302" s="5">
        <v>103</v>
      </c>
      <c r="E302" s="3">
        <v>250</v>
      </c>
      <c r="F302" s="3">
        <v>250</v>
      </c>
      <c r="G302" s="5">
        <v>14.2</v>
      </c>
      <c r="H302" s="5">
        <v>14.2</v>
      </c>
      <c r="I302" s="3">
        <v>13200</v>
      </c>
      <c r="J302" s="3">
        <v>120900000</v>
      </c>
      <c r="K302" s="3">
        <v>967000</v>
      </c>
      <c r="L302" s="3">
        <v>1158000</v>
      </c>
      <c r="M302" s="3">
        <v>95.8</v>
      </c>
      <c r="N302" s="5">
        <f t="shared" si="29"/>
        <v>6600</v>
      </c>
      <c r="O302" s="3">
        <v>120900000</v>
      </c>
      <c r="P302" s="3">
        <v>967000</v>
      </c>
      <c r="Q302" s="3">
        <v>1158000</v>
      </c>
      <c r="R302" s="5">
        <v>95.8</v>
      </c>
      <c r="T302" s="3">
        <v>191400000</v>
      </c>
      <c r="U302" s="4"/>
      <c r="V302" s="5">
        <f t="shared" si="30"/>
        <v>6600</v>
      </c>
      <c r="W302" s="8"/>
      <c r="X302" s="9" t="str">
        <f t="shared" si="34"/>
        <v>a</v>
      </c>
      <c r="Y302" s="9" t="str">
        <f t="shared" si="34"/>
        <v>a</v>
      </c>
      <c r="Z302" s="31">
        <f t="shared" si="31"/>
        <v>592873.28799999994</v>
      </c>
      <c r="AA302" s="31">
        <f t="shared" si="32"/>
        <v>592873.28799999994</v>
      </c>
    </row>
    <row r="303" spans="1:27" ht="13">
      <c r="A303" s="9">
        <v>301</v>
      </c>
      <c r="B303" s="3" t="s">
        <v>1655</v>
      </c>
      <c r="C303" s="3"/>
      <c r="D303" s="5">
        <v>115</v>
      </c>
      <c r="E303" s="3">
        <v>250</v>
      </c>
      <c r="F303" s="3">
        <v>250</v>
      </c>
      <c r="G303" s="5">
        <v>16</v>
      </c>
      <c r="H303" s="5">
        <v>16</v>
      </c>
      <c r="I303" s="3">
        <v>14700</v>
      </c>
      <c r="J303" s="3">
        <v>132670000</v>
      </c>
      <c r="K303" s="3">
        <v>1061000</v>
      </c>
      <c r="L303" s="3">
        <v>1280000</v>
      </c>
      <c r="M303" s="3">
        <v>95</v>
      </c>
      <c r="N303" s="5">
        <f t="shared" si="29"/>
        <v>7350</v>
      </c>
      <c r="O303" s="3">
        <v>132670000</v>
      </c>
      <c r="P303" s="3">
        <v>1061000</v>
      </c>
      <c r="Q303" s="3">
        <v>1280000</v>
      </c>
      <c r="R303" s="5">
        <v>95</v>
      </c>
      <c r="T303" s="3">
        <v>211380000</v>
      </c>
      <c r="U303" s="4"/>
      <c r="V303" s="5">
        <f t="shared" si="30"/>
        <v>7350</v>
      </c>
      <c r="W303" s="8"/>
      <c r="X303" s="9" t="str">
        <f t="shared" ref="X303:Y322" si="35">IF(fy=460,"a0","a")</f>
        <v>a</v>
      </c>
      <c r="Y303" s="9" t="str">
        <f t="shared" si="35"/>
        <v>a</v>
      </c>
      <c r="Z303" s="31">
        <f t="shared" si="31"/>
        <v>658096</v>
      </c>
      <c r="AA303" s="31">
        <f t="shared" si="32"/>
        <v>658096</v>
      </c>
    </row>
    <row r="304" spans="1:27" ht="13">
      <c r="A304" s="9">
        <v>302</v>
      </c>
      <c r="B304" s="3" t="s">
        <v>1656</v>
      </c>
      <c r="C304" s="3"/>
      <c r="D304" s="5">
        <v>30.4</v>
      </c>
      <c r="E304" s="3">
        <v>260</v>
      </c>
      <c r="F304" s="3">
        <v>140</v>
      </c>
      <c r="G304" s="5">
        <v>5</v>
      </c>
      <c r="H304" s="5">
        <v>5</v>
      </c>
      <c r="I304" s="3">
        <v>3870</v>
      </c>
      <c r="J304" s="3">
        <v>35320000</v>
      </c>
      <c r="K304" s="3">
        <v>272000</v>
      </c>
      <c r="L304" s="3">
        <v>331000</v>
      </c>
      <c r="M304" s="3">
        <v>95.5</v>
      </c>
      <c r="N304" s="5">
        <f t="shared" si="29"/>
        <v>2515.5</v>
      </c>
      <c r="O304" s="3">
        <v>13540000</v>
      </c>
      <c r="P304" s="3">
        <v>193000</v>
      </c>
      <c r="Q304" s="3">
        <v>216000</v>
      </c>
      <c r="R304" s="5">
        <v>59.1</v>
      </c>
      <c r="T304" s="3">
        <v>30780000</v>
      </c>
      <c r="U304" s="4"/>
      <c r="V304" s="5">
        <f t="shared" si="30"/>
        <v>1354.5</v>
      </c>
      <c r="W304" s="8"/>
      <c r="X304" s="9" t="str">
        <f t="shared" si="35"/>
        <v>a</v>
      </c>
      <c r="Y304" s="9" t="str">
        <f t="shared" si="35"/>
        <v>a</v>
      </c>
      <c r="Z304" s="31">
        <f t="shared" si="31"/>
        <v>167375</v>
      </c>
      <c r="AA304" s="31">
        <f t="shared" si="32"/>
        <v>108875</v>
      </c>
    </row>
    <row r="305" spans="1:27" ht="13">
      <c r="A305" s="9">
        <v>303</v>
      </c>
      <c r="B305" s="3" t="s">
        <v>1657</v>
      </c>
      <c r="C305" s="3"/>
      <c r="D305" s="5">
        <v>33.5</v>
      </c>
      <c r="E305" s="3">
        <v>260</v>
      </c>
      <c r="F305" s="3">
        <v>180</v>
      </c>
      <c r="G305" s="5">
        <v>5</v>
      </c>
      <c r="H305" s="5">
        <v>5</v>
      </c>
      <c r="I305" s="3">
        <v>4270</v>
      </c>
      <c r="J305" s="3">
        <v>41820000</v>
      </c>
      <c r="K305" s="3">
        <v>322000</v>
      </c>
      <c r="L305" s="3">
        <v>382000</v>
      </c>
      <c r="M305" s="3">
        <v>98.9</v>
      </c>
      <c r="N305" s="5">
        <f t="shared" si="29"/>
        <v>2523.181818181818</v>
      </c>
      <c r="O305" s="3">
        <v>23780000</v>
      </c>
      <c r="P305" s="3">
        <v>264000</v>
      </c>
      <c r="Q305" s="3">
        <v>297000</v>
      </c>
      <c r="R305" s="5">
        <v>74.599999999999994</v>
      </c>
      <c r="T305" s="3">
        <v>46860000</v>
      </c>
      <c r="U305" s="4"/>
      <c r="V305" s="5">
        <f t="shared" si="30"/>
        <v>1746.8181818181818</v>
      </c>
      <c r="W305" s="8"/>
      <c r="X305" s="9" t="str">
        <f t="shared" si="35"/>
        <v>a</v>
      </c>
      <c r="Y305" s="9" t="str">
        <f t="shared" si="35"/>
        <v>a</v>
      </c>
      <c r="Z305" s="31">
        <f t="shared" si="31"/>
        <v>192875</v>
      </c>
      <c r="AA305" s="31">
        <f t="shared" si="32"/>
        <v>149875</v>
      </c>
    </row>
    <row r="306" spans="1:27" ht="13">
      <c r="A306" s="9">
        <v>304</v>
      </c>
      <c r="B306" s="3" t="s">
        <v>1658</v>
      </c>
      <c r="C306" s="3"/>
      <c r="D306" s="5">
        <v>38</v>
      </c>
      <c r="E306" s="3">
        <v>260</v>
      </c>
      <c r="F306" s="3">
        <v>140</v>
      </c>
      <c r="G306" s="5">
        <v>6.3</v>
      </c>
      <c r="H306" s="5">
        <v>6.3</v>
      </c>
      <c r="I306" s="3">
        <v>4840</v>
      </c>
      <c r="J306" s="3">
        <v>43550000</v>
      </c>
      <c r="K306" s="3">
        <v>335000</v>
      </c>
      <c r="L306" s="3">
        <v>411000</v>
      </c>
      <c r="M306" s="3">
        <v>94.9</v>
      </c>
      <c r="N306" s="5">
        <f t="shared" si="29"/>
        <v>3146</v>
      </c>
      <c r="O306" s="3">
        <v>16600000</v>
      </c>
      <c r="P306" s="3">
        <v>237000</v>
      </c>
      <c r="Q306" s="3">
        <v>267000</v>
      </c>
      <c r="R306" s="5">
        <v>58.6</v>
      </c>
      <c r="T306" s="3">
        <v>38030000</v>
      </c>
      <c r="U306" s="4"/>
      <c r="V306" s="5">
        <f t="shared" si="30"/>
        <v>1694</v>
      </c>
      <c r="W306" s="8"/>
      <c r="X306" s="9" t="str">
        <f t="shared" si="35"/>
        <v>a</v>
      </c>
      <c r="Y306" s="9" t="str">
        <f t="shared" si="35"/>
        <v>a</v>
      </c>
      <c r="Z306" s="31">
        <f t="shared" si="31"/>
        <v>208282.34700000001</v>
      </c>
      <c r="AA306" s="31">
        <f t="shared" si="32"/>
        <v>135063.747</v>
      </c>
    </row>
    <row r="307" spans="1:27" ht="13">
      <c r="A307" s="9">
        <v>305</v>
      </c>
      <c r="B307" s="3" t="s">
        <v>1659</v>
      </c>
      <c r="C307" s="3"/>
      <c r="D307" s="5">
        <v>41.9</v>
      </c>
      <c r="E307" s="3">
        <v>260</v>
      </c>
      <c r="F307" s="3">
        <v>180</v>
      </c>
      <c r="G307" s="5">
        <v>6.3</v>
      </c>
      <c r="H307" s="5">
        <v>6.3</v>
      </c>
      <c r="I307" s="3">
        <v>5340</v>
      </c>
      <c r="J307" s="3">
        <v>51660000</v>
      </c>
      <c r="K307" s="3">
        <v>397000</v>
      </c>
      <c r="L307" s="3">
        <v>475000</v>
      </c>
      <c r="M307" s="3">
        <v>98.3</v>
      </c>
      <c r="N307" s="5">
        <f t="shared" si="29"/>
        <v>3155.4545454545455</v>
      </c>
      <c r="O307" s="3">
        <v>29290000</v>
      </c>
      <c r="P307" s="3">
        <v>325000</v>
      </c>
      <c r="Q307" s="3">
        <v>369000</v>
      </c>
      <c r="R307" s="5">
        <v>74</v>
      </c>
      <c r="T307" s="3">
        <v>58100000</v>
      </c>
      <c r="U307" s="4"/>
      <c r="V307" s="5">
        <f t="shared" si="30"/>
        <v>2184.5454545454545</v>
      </c>
      <c r="W307" s="8"/>
      <c r="X307" s="9" t="str">
        <f t="shared" si="35"/>
        <v>a</v>
      </c>
      <c r="Y307" s="9" t="str">
        <f t="shared" si="35"/>
        <v>a</v>
      </c>
      <c r="Z307" s="31">
        <f t="shared" si="31"/>
        <v>240248.54699999999</v>
      </c>
      <c r="AA307" s="31">
        <f t="shared" si="32"/>
        <v>186396.147</v>
      </c>
    </row>
    <row r="308" spans="1:27" ht="13">
      <c r="A308" s="9">
        <v>306</v>
      </c>
      <c r="B308" s="3" t="s">
        <v>1660</v>
      </c>
      <c r="C308" s="3"/>
      <c r="D308" s="5">
        <v>42.6</v>
      </c>
      <c r="E308" s="3">
        <v>260</v>
      </c>
      <c r="F308" s="3">
        <v>140</v>
      </c>
      <c r="G308" s="5">
        <v>7.1</v>
      </c>
      <c r="H308" s="5">
        <v>7.1</v>
      </c>
      <c r="I308" s="3">
        <v>5420</v>
      </c>
      <c r="J308" s="3">
        <v>48420000</v>
      </c>
      <c r="K308" s="3">
        <v>372000</v>
      </c>
      <c r="L308" s="3">
        <v>459000</v>
      </c>
      <c r="M308" s="3">
        <v>94.5</v>
      </c>
      <c r="N308" s="5">
        <f t="shared" si="29"/>
        <v>3523</v>
      </c>
      <c r="O308" s="3">
        <v>18390000</v>
      </c>
      <c r="P308" s="3">
        <v>263000</v>
      </c>
      <c r="Q308" s="3">
        <v>298000</v>
      </c>
      <c r="R308" s="5">
        <v>58.2</v>
      </c>
      <c r="T308" s="3">
        <v>42340000</v>
      </c>
      <c r="U308" s="4"/>
      <c r="V308" s="5">
        <f t="shared" si="30"/>
        <v>1897</v>
      </c>
      <c r="W308" s="8"/>
      <c r="X308" s="9" t="str">
        <f t="shared" si="35"/>
        <v>a</v>
      </c>
      <c r="Y308" s="9" t="str">
        <f t="shared" si="35"/>
        <v>a</v>
      </c>
      <c r="Z308" s="31">
        <f t="shared" si="31"/>
        <v>232932.611</v>
      </c>
      <c r="AA308" s="31">
        <f t="shared" si="32"/>
        <v>150757.21100000001</v>
      </c>
    </row>
    <row r="309" spans="1:27" ht="13">
      <c r="A309" s="9">
        <v>307</v>
      </c>
      <c r="B309" s="3" t="s">
        <v>1661</v>
      </c>
      <c r="C309" s="3"/>
      <c r="D309" s="5">
        <v>47</v>
      </c>
      <c r="E309" s="3">
        <v>260</v>
      </c>
      <c r="F309" s="3">
        <v>180</v>
      </c>
      <c r="G309" s="5">
        <v>7.1</v>
      </c>
      <c r="H309" s="5">
        <v>7.1</v>
      </c>
      <c r="I309" s="3">
        <v>5990</v>
      </c>
      <c r="J309" s="3">
        <v>57500000</v>
      </c>
      <c r="K309" s="3">
        <v>442000</v>
      </c>
      <c r="L309" s="3">
        <v>531000</v>
      </c>
      <c r="M309" s="3">
        <v>98</v>
      </c>
      <c r="N309" s="5">
        <f t="shared" si="29"/>
        <v>3539.5454545454545</v>
      </c>
      <c r="O309" s="3">
        <v>32540000</v>
      </c>
      <c r="P309" s="3">
        <v>362000</v>
      </c>
      <c r="Q309" s="3">
        <v>412000</v>
      </c>
      <c r="R309" s="5">
        <v>73.7</v>
      </c>
      <c r="T309" s="3">
        <v>64820000</v>
      </c>
      <c r="U309" s="4"/>
      <c r="V309" s="5">
        <f t="shared" si="30"/>
        <v>2450.4545454545455</v>
      </c>
      <c r="W309" s="8"/>
      <c r="X309" s="9" t="str">
        <f t="shared" si="35"/>
        <v>a</v>
      </c>
      <c r="Y309" s="9" t="str">
        <f t="shared" si="35"/>
        <v>a</v>
      </c>
      <c r="Z309" s="31">
        <f t="shared" si="31"/>
        <v>268844.41100000002</v>
      </c>
      <c r="AA309" s="31">
        <f t="shared" si="32"/>
        <v>208380.81100000002</v>
      </c>
    </row>
    <row r="310" spans="1:27" ht="13">
      <c r="A310" s="9">
        <v>308</v>
      </c>
      <c r="B310" s="3" t="s">
        <v>1662</v>
      </c>
      <c r="C310" s="3"/>
      <c r="D310" s="5">
        <v>47.7</v>
      </c>
      <c r="E310" s="3">
        <v>260</v>
      </c>
      <c r="F310" s="3">
        <v>140</v>
      </c>
      <c r="G310" s="5">
        <v>8</v>
      </c>
      <c r="H310" s="5">
        <v>8</v>
      </c>
      <c r="I310" s="3">
        <v>6080</v>
      </c>
      <c r="J310" s="3">
        <v>53730000</v>
      </c>
      <c r="K310" s="3">
        <v>413000</v>
      </c>
      <c r="L310" s="3">
        <v>511000</v>
      </c>
      <c r="M310" s="3">
        <v>94</v>
      </c>
      <c r="N310" s="5">
        <f t="shared" si="29"/>
        <v>3952</v>
      </c>
      <c r="O310" s="3">
        <v>20320000</v>
      </c>
      <c r="P310" s="3">
        <v>290000</v>
      </c>
      <c r="Q310" s="3">
        <v>331000</v>
      </c>
      <c r="R310" s="5">
        <v>57.8</v>
      </c>
      <c r="T310" s="3">
        <v>47040000</v>
      </c>
      <c r="U310" s="4"/>
      <c r="V310" s="5">
        <f t="shared" si="30"/>
        <v>2128</v>
      </c>
      <c r="W310" s="8"/>
      <c r="X310" s="9" t="str">
        <f t="shared" si="35"/>
        <v>a</v>
      </c>
      <c r="Y310" s="9" t="str">
        <f t="shared" si="35"/>
        <v>a</v>
      </c>
      <c r="Z310" s="31">
        <f t="shared" si="31"/>
        <v>260192</v>
      </c>
      <c r="AA310" s="31">
        <f t="shared" si="32"/>
        <v>168032</v>
      </c>
    </row>
    <row r="311" spans="1:27" ht="13">
      <c r="A311" s="9">
        <v>309</v>
      </c>
      <c r="B311" s="3" t="s">
        <v>1663</v>
      </c>
      <c r="C311" s="3"/>
      <c r="D311" s="5">
        <v>49.9</v>
      </c>
      <c r="E311" s="3">
        <v>260</v>
      </c>
      <c r="F311" s="3">
        <v>260</v>
      </c>
      <c r="G311" s="5">
        <v>6.3</v>
      </c>
      <c r="H311" s="5">
        <v>6.3</v>
      </c>
      <c r="I311" s="3">
        <v>6350</v>
      </c>
      <c r="J311" s="3">
        <v>67880000</v>
      </c>
      <c r="K311" s="3">
        <v>522000</v>
      </c>
      <c r="L311" s="3">
        <v>603000</v>
      </c>
      <c r="M311" s="3">
        <v>103</v>
      </c>
      <c r="N311" s="5">
        <f t="shared" si="29"/>
        <v>3175</v>
      </c>
      <c r="O311" s="3">
        <v>67880000</v>
      </c>
      <c r="P311" s="3">
        <v>522000</v>
      </c>
      <c r="Q311" s="3">
        <v>603000</v>
      </c>
      <c r="R311" s="5">
        <v>103</v>
      </c>
      <c r="T311" s="3">
        <v>104200000</v>
      </c>
      <c r="U311" s="4"/>
      <c r="V311" s="5">
        <f t="shared" si="30"/>
        <v>3175</v>
      </c>
      <c r="W311" s="8"/>
      <c r="X311" s="9" t="str">
        <f t="shared" si="35"/>
        <v>a</v>
      </c>
      <c r="Y311" s="9" t="str">
        <f t="shared" si="35"/>
        <v>a</v>
      </c>
      <c r="Z311" s="31">
        <f t="shared" si="31"/>
        <v>304180.94699999999</v>
      </c>
      <c r="AA311" s="31">
        <f t="shared" si="32"/>
        <v>304180.94699999999</v>
      </c>
    </row>
    <row r="312" spans="1:27" ht="13">
      <c r="A312" s="9">
        <v>310</v>
      </c>
      <c r="B312" s="3" t="s">
        <v>1664</v>
      </c>
      <c r="C312" s="3"/>
      <c r="D312" s="5">
        <v>52.2</v>
      </c>
      <c r="E312" s="3">
        <v>260</v>
      </c>
      <c r="F312" s="3">
        <v>140</v>
      </c>
      <c r="G312" s="5">
        <v>8.8000000000000007</v>
      </c>
      <c r="H312" s="5">
        <v>8.8000000000000007</v>
      </c>
      <c r="I312" s="3">
        <v>6650</v>
      </c>
      <c r="J312" s="3">
        <v>58310000</v>
      </c>
      <c r="K312" s="3">
        <v>449000</v>
      </c>
      <c r="L312" s="3">
        <v>557000</v>
      </c>
      <c r="M312" s="3">
        <v>93.7</v>
      </c>
      <c r="N312" s="5">
        <f t="shared" si="29"/>
        <v>4322.5</v>
      </c>
      <c r="O312" s="3">
        <v>21970000</v>
      </c>
      <c r="P312" s="3">
        <v>314000</v>
      </c>
      <c r="Q312" s="3">
        <v>360000</v>
      </c>
      <c r="R312" s="5">
        <v>57.5</v>
      </c>
      <c r="T312" s="3">
        <v>51100000</v>
      </c>
      <c r="U312" s="4"/>
      <c r="V312" s="5">
        <f t="shared" si="30"/>
        <v>2327.5</v>
      </c>
      <c r="W312" s="8"/>
      <c r="X312" s="9" t="str">
        <f t="shared" si="35"/>
        <v>a</v>
      </c>
      <c r="Y312" s="9" t="str">
        <f t="shared" si="35"/>
        <v>a</v>
      </c>
      <c r="Z312" s="31">
        <f t="shared" si="31"/>
        <v>284006.272</v>
      </c>
      <c r="AA312" s="31">
        <f t="shared" si="32"/>
        <v>183052.67199999999</v>
      </c>
    </row>
    <row r="313" spans="1:27" ht="13">
      <c r="A313" s="9">
        <v>311</v>
      </c>
      <c r="B313" s="3" t="s">
        <v>1665</v>
      </c>
      <c r="C313" s="3"/>
      <c r="D313" s="5">
        <v>52.7</v>
      </c>
      <c r="E313" s="3">
        <v>260</v>
      </c>
      <c r="F313" s="3">
        <v>180</v>
      </c>
      <c r="G313" s="5">
        <v>8</v>
      </c>
      <c r="H313" s="5">
        <v>8</v>
      </c>
      <c r="I313" s="3">
        <v>6720</v>
      </c>
      <c r="J313" s="3">
        <v>63900000</v>
      </c>
      <c r="K313" s="3">
        <v>492000</v>
      </c>
      <c r="L313" s="3">
        <v>592000</v>
      </c>
      <c r="M313" s="3">
        <v>97.5</v>
      </c>
      <c r="N313" s="5">
        <f t="shared" si="29"/>
        <v>3970.909090909091</v>
      </c>
      <c r="O313" s="3">
        <v>36080000</v>
      </c>
      <c r="P313" s="3">
        <v>401000</v>
      </c>
      <c r="Q313" s="3">
        <v>459000</v>
      </c>
      <c r="R313" s="5">
        <v>73.3</v>
      </c>
      <c r="T313" s="3">
        <v>72210000</v>
      </c>
      <c r="U313" s="4"/>
      <c r="V313" s="5">
        <f t="shared" si="30"/>
        <v>2749.090909090909</v>
      </c>
      <c r="W313" s="8"/>
      <c r="X313" s="9" t="str">
        <f t="shared" si="35"/>
        <v>a</v>
      </c>
      <c r="Y313" s="9" t="str">
        <f t="shared" si="35"/>
        <v>a</v>
      </c>
      <c r="Z313" s="31">
        <f t="shared" si="31"/>
        <v>300512</v>
      </c>
      <c r="AA313" s="31">
        <f t="shared" si="32"/>
        <v>232672</v>
      </c>
    </row>
    <row r="314" spans="1:27" ht="13">
      <c r="A314" s="9">
        <v>312</v>
      </c>
      <c r="B314" s="3" t="s">
        <v>1666</v>
      </c>
      <c r="C314" s="3"/>
      <c r="D314" s="5">
        <v>52.7</v>
      </c>
      <c r="E314" s="3">
        <v>260</v>
      </c>
      <c r="F314" s="3">
        <v>180</v>
      </c>
      <c r="G314" s="5">
        <v>8</v>
      </c>
      <c r="H314" s="5">
        <v>8</v>
      </c>
      <c r="I314" s="3">
        <v>6720</v>
      </c>
      <c r="J314" s="3">
        <v>63900000</v>
      </c>
      <c r="K314" s="3">
        <v>492000</v>
      </c>
      <c r="L314" s="3">
        <v>592000</v>
      </c>
      <c r="M314" s="3">
        <v>97.5</v>
      </c>
      <c r="N314" s="5">
        <f t="shared" si="29"/>
        <v>3970.909090909091</v>
      </c>
      <c r="O314" s="3">
        <v>36080000</v>
      </c>
      <c r="P314" s="3">
        <v>401000</v>
      </c>
      <c r="Q314" s="3">
        <v>459000</v>
      </c>
      <c r="R314" s="5">
        <v>73.3</v>
      </c>
      <c r="T314" s="3">
        <v>72210000</v>
      </c>
      <c r="U314" s="4"/>
      <c r="V314" s="5">
        <f t="shared" si="30"/>
        <v>2749.090909090909</v>
      </c>
      <c r="W314" s="8"/>
      <c r="X314" s="9" t="str">
        <f t="shared" si="35"/>
        <v>a</v>
      </c>
      <c r="Y314" s="9" t="str">
        <f t="shared" si="35"/>
        <v>a</v>
      </c>
      <c r="Z314" s="31">
        <f t="shared" si="31"/>
        <v>300512</v>
      </c>
      <c r="AA314" s="31">
        <f t="shared" si="32"/>
        <v>232672</v>
      </c>
    </row>
    <row r="315" spans="1:27" ht="13">
      <c r="A315" s="9">
        <v>313</v>
      </c>
      <c r="B315" s="3" t="s">
        <v>1667</v>
      </c>
      <c r="C315" s="3"/>
      <c r="D315" s="5">
        <v>56</v>
      </c>
      <c r="E315" s="3">
        <v>260</v>
      </c>
      <c r="F315" s="3">
        <v>260</v>
      </c>
      <c r="G315" s="5">
        <v>7.1</v>
      </c>
      <c r="H315" s="5">
        <v>7.1</v>
      </c>
      <c r="I315" s="3">
        <v>7130</v>
      </c>
      <c r="J315" s="3">
        <v>75670000</v>
      </c>
      <c r="K315" s="3">
        <v>582000</v>
      </c>
      <c r="L315" s="3">
        <v>674000</v>
      </c>
      <c r="M315" s="3">
        <v>103</v>
      </c>
      <c r="N315" s="5">
        <f t="shared" si="29"/>
        <v>3565</v>
      </c>
      <c r="O315" s="3">
        <v>75670000</v>
      </c>
      <c r="P315" s="3">
        <v>582000</v>
      </c>
      <c r="Q315" s="3">
        <v>674000</v>
      </c>
      <c r="R315" s="5">
        <v>103</v>
      </c>
      <c r="T315" s="3">
        <v>116470000</v>
      </c>
      <c r="U315" s="4"/>
      <c r="V315" s="5">
        <f t="shared" si="30"/>
        <v>3565</v>
      </c>
      <c r="W315" s="8"/>
      <c r="X315" s="9" t="str">
        <f t="shared" si="35"/>
        <v>a</v>
      </c>
      <c r="Y315" s="9" t="str">
        <f t="shared" si="35"/>
        <v>a</v>
      </c>
      <c r="Z315" s="31">
        <f t="shared" si="31"/>
        <v>340668.011</v>
      </c>
      <c r="AA315" s="31">
        <f t="shared" si="32"/>
        <v>340668.011</v>
      </c>
    </row>
    <row r="316" spans="1:27" ht="13">
      <c r="A316" s="9">
        <v>314</v>
      </c>
      <c r="B316" s="3" t="s">
        <v>1668</v>
      </c>
      <c r="C316" s="3"/>
      <c r="D316" s="5">
        <v>57.7</v>
      </c>
      <c r="E316" s="3">
        <v>260</v>
      </c>
      <c r="F316" s="3">
        <v>180</v>
      </c>
      <c r="G316" s="5">
        <v>8.8000000000000007</v>
      </c>
      <c r="H316" s="5">
        <v>8.8000000000000007</v>
      </c>
      <c r="I316" s="3">
        <v>7350</v>
      </c>
      <c r="J316" s="3">
        <v>69420000</v>
      </c>
      <c r="K316" s="3">
        <v>534000</v>
      </c>
      <c r="L316" s="3">
        <v>645000</v>
      </c>
      <c r="M316" s="3">
        <v>97.2</v>
      </c>
      <c r="N316" s="5">
        <f t="shared" si="29"/>
        <v>4343.181818181818</v>
      </c>
      <c r="O316" s="3">
        <v>39120000</v>
      </c>
      <c r="P316" s="3">
        <v>435000</v>
      </c>
      <c r="Q316" s="3">
        <v>500000</v>
      </c>
      <c r="R316" s="5">
        <v>73</v>
      </c>
      <c r="T316" s="3">
        <v>78630000</v>
      </c>
      <c r="U316" s="4"/>
      <c r="V316" s="5">
        <f t="shared" si="30"/>
        <v>3006.818181818182</v>
      </c>
      <c r="W316" s="8"/>
      <c r="X316" s="9" t="str">
        <f t="shared" si="35"/>
        <v>a</v>
      </c>
      <c r="Y316" s="9" t="str">
        <f t="shared" si="35"/>
        <v>a</v>
      </c>
      <c r="Z316" s="31">
        <f t="shared" si="31"/>
        <v>328217.47200000007</v>
      </c>
      <c r="AA316" s="31">
        <f t="shared" si="32"/>
        <v>253875.07199999999</v>
      </c>
    </row>
    <row r="317" spans="1:27" ht="13">
      <c r="A317" s="9">
        <v>315</v>
      </c>
      <c r="B317" s="3" t="s">
        <v>1669</v>
      </c>
      <c r="C317" s="3"/>
      <c r="D317" s="5">
        <v>58.8</v>
      </c>
      <c r="E317" s="3">
        <v>260</v>
      </c>
      <c r="F317" s="3">
        <v>140</v>
      </c>
      <c r="G317" s="5">
        <v>10</v>
      </c>
      <c r="H317" s="5">
        <v>10</v>
      </c>
      <c r="I317" s="3">
        <v>7490</v>
      </c>
      <c r="J317" s="3">
        <v>64900000</v>
      </c>
      <c r="K317" s="3">
        <v>499000</v>
      </c>
      <c r="L317" s="3">
        <v>624000</v>
      </c>
      <c r="M317" s="3">
        <v>93.1</v>
      </c>
      <c r="N317" s="5">
        <f t="shared" si="29"/>
        <v>4868.5</v>
      </c>
      <c r="O317" s="3">
        <v>24320000</v>
      </c>
      <c r="P317" s="3">
        <v>347000</v>
      </c>
      <c r="Q317" s="3">
        <v>402000</v>
      </c>
      <c r="R317" s="5">
        <v>57</v>
      </c>
      <c r="T317" s="3">
        <v>56980000</v>
      </c>
      <c r="U317" s="4"/>
      <c r="V317" s="5">
        <f t="shared" si="30"/>
        <v>2621.5</v>
      </c>
      <c r="W317" s="8"/>
      <c r="X317" s="9" t="str">
        <f t="shared" si="35"/>
        <v>a</v>
      </c>
      <c r="Y317" s="9" t="str">
        <f t="shared" si="35"/>
        <v>a</v>
      </c>
      <c r="Z317" s="31">
        <f t="shared" si="31"/>
        <v>319000</v>
      </c>
      <c r="AA317" s="31">
        <f t="shared" si="32"/>
        <v>205000</v>
      </c>
    </row>
    <row r="318" spans="1:27" ht="13">
      <c r="A318" s="9">
        <v>316</v>
      </c>
      <c r="B318" s="3" t="s">
        <v>1670</v>
      </c>
      <c r="C318" s="3"/>
      <c r="D318" s="5">
        <v>62.8</v>
      </c>
      <c r="E318" s="3">
        <v>260</v>
      </c>
      <c r="F318" s="3">
        <v>260</v>
      </c>
      <c r="G318" s="5">
        <v>8</v>
      </c>
      <c r="H318" s="5">
        <v>8</v>
      </c>
      <c r="I318" s="3">
        <v>8000</v>
      </c>
      <c r="J318" s="3">
        <v>84230000</v>
      </c>
      <c r="K318" s="3">
        <v>648000</v>
      </c>
      <c r="L318" s="3">
        <v>753000</v>
      </c>
      <c r="M318" s="3">
        <v>103</v>
      </c>
      <c r="N318" s="5">
        <f t="shared" si="29"/>
        <v>4000</v>
      </c>
      <c r="O318" s="3">
        <v>84230000</v>
      </c>
      <c r="P318" s="3">
        <v>648000</v>
      </c>
      <c r="Q318" s="3">
        <v>753000</v>
      </c>
      <c r="R318" s="5">
        <v>103</v>
      </c>
      <c r="T318" s="3">
        <v>130060000</v>
      </c>
      <c r="U318" s="4"/>
      <c r="V318" s="5">
        <f t="shared" si="30"/>
        <v>4000</v>
      </c>
      <c r="W318" s="8"/>
      <c r="X318" s="9" t="str">
        <f t="shared" si="35"/>
        <v>a</v>
      </c>
      <c r="Y318" s="9" t="str">
        <f t="shared" si="35"/>
        <v>a</v>
      </c>
      <c r="Z318" s="31">
        <f t="shared" si="31"/>
        <v>381152</v>
      </c>
      <c r="AA318" s="31">
        <f t="shared" si="32"/>
        <v>381152</v>
      </c>
    </row>
    <row r="319" spans="1:27" ht="13">
      <c r="A319" s="9">
        <v>317</v>
      </c>
      <c r="B319" s="3" t="s">
        <v>1671</v>
      </c>
      <c r="C319" s="3"/>
      <c r="D319" s="5">
        <v>65.099999999999994</v>
      </c>
      <c r="E319" s="3">
        <v>260</v>
      </c>
      <c r="F319" s="3">
        <v>180</v>
      </c>
      <c r="G319" s="5">
        <v>10</v>
      </c>
      <c r="H319" s="5">
        <v>10</v>
      </c>
      <c r="I319" s="3">
        <v>8290</v>
      </c>
      <c r="J319" s="3">
        <v>77410000</v>
      </c>
      <c r="K319" s="3">
        <v>595000</v>
      </c>
      <c r="L319" s="3">
        <v>724000</v>
      </c>
      <c r="M319" s="3">
        <v>96.6</v>
      </c>
      <c r="N319" s="5">
        <f t="shared" si="29"/>
        <v>4898.636363636364</v>
      </c>
      <c r="O319" s="3">
        <v>43510000</v>
      </c>
      <c r="P319" s="3">
        <v>483000</v>
      </c>
      <c r="Q319" s="3">
        <v>560000</v>
      </c>
      <c r="R319" s="5">
        <v>72.400000000000006</v>
      </c>
      <c r="T319" s="3">
        <v>87980000</v>
      </c>
      <c r="U319" s="4"/>
      <c r="V319" s="5">
        <f t="shared" si="30"/>
        <v>3391.3636363636365</v>
      </c>
      <c r="W319" s="8"/>
      <c r="X319" s="9" t="str">
        <f t="shared" si="35"/>
        <v>a</v>
      </c>
      <c r="Y319" s="9" t="str">
        <f t="shared" si="35"/>
        <v>a</v>
      </c>
      <c r="Z319" s="31">
        <f t="shared" si="31"/>
        <v>369000</v>
      </c>
      <c r="AA319" s="31">
        <f t="shared" si="32"/>
        <v>285000</v>
      </c>
    </row>
    <row r="320" spans="1:27" ht="13">
      <c r="A320" s="9">
        <v>318</v>
      </c>
      <c r="B320" s="3" t="s">
        <v>1672</v>
      </c>
      <c r="C320" s="3"/>
      <c r="D320" s="5">
        <v>68.8</v>
      </c>
      <c r="E320" s="3">
        <v>260</v>
      </c>
      <c r="F320" s="3">
        <v>260</v>
      </c>
      <c r="G320" s="5">
        <v>8.8000000000000007</v>
      </c>
      <c r="H320" s="5">
        <v>8.8000000000000007</v>
      </c>
      <c r="I320" s="3">
        <v>8760</v>
      </c>
      <c r="J320" s="3">
        <v>91640000</v>
      </c>
      <c r="K320" s="3">
        <v>705000</v>
      </c>
      <c r="L320" s="3">
        <v>822000</v>
      </c>
      <c r="M320" s="3">
        <v>102</v>
      </c>
      <c r="N320" s="5">
        <f t="shared" si="29"/>
        <v>4380</v>
      </c>
      <c r="O320" s="3">
        <v>91640000</v>
      </c>
      <c r="P320" s="3">
        <v>705000</v>
      </c>
      <c r="Q320" s="3">
        <v>822000</v>
      </c>
      <c r="R320" s="5">
        <v>102</v>
      </c>
      <c r="T320" s="3">
        <v>141920000</v>
      </c>
      <c r="U320" s="4"/>
      <c r="V320" s="5">
        <f t="shared" si="30"/>
        <v>4380</v>
      </c>
      <c r="W320" s="8"/>
      <c r="X320" s="9" t="str">
        <f t="shared" si="35"/>
        <v>a</v>
      </c>
      <c r="Y320" s="9" t="str">
        <f t="shared" si="35"/>
        <v>a</v>
      </c>
      <c r="Z320" s="31">
        <f t="shared" si="31"/>
        <v>416639.87199999997</v>
      </c>
      <c r="AA320" s="31">
        <f t="shared" si="32"/>
        <v>416639.87199999997</v>
      </c>
    </row>
    <row r="321" spans="1:27" ht="13">
      <c r="A321" s="9">
        <v>319</v>
      </c>
      <c r="B321" s="3" t="s">
        <v>1673</v>
      </c>
      <c r="C321" s="3"/>
      <c r="D321" s="5">
        <v>72.3</v>
      </c>
      <c r="E321" s="3">
        <v>260</v>
      </c>
      <c r="F321" s="3">
        <v>140</v>
      </c>
      <c r="G321" s="5">
        <v>12.5</v>
      </c>
      <c r="H321" s="5">
        <v>12.5</v>
      </c>
      <c r="I321" s="3">
        <v>9210</v>
      </c>
      <c r="J321" s="3">
        <v>77670000</v>
      </c>
      <c r="K321" s="3">
        <v>597000</v>
      </c>
      <c r="L321" s="3">
        <v>756000</v>
      </c>
      <c r="M321" s="3">
        <v>91.8</v>
      </c>
      <c r="N321" s="5">
        <f t="shared" si="29"/>
        <v>5986.5</v>
      </c>
      <c r="O321" s="3">
        <v>28760000</v>
      </c>
      <c r="P321" s="3">
        <v>411000</v>
      </c>
      <c r="Q321" s="3">
        <v>485000</v>
      </c>
      <c r="R321" s="5">
        <v>55.9</v>
      </c>
      <c r="T321" s="3">
        <v>68410000</v>
      </c>
      <c r="U321" s="4"/>
      <c r="V321" s="5">
        <f t="shared" si="30"/>
        <v>3223.5</v>
      </c>
      <c r="W321" s="8"/>
      <c r="X321" s="9" t="str">
        <f t="shared" si="35"/>
        <v>a</v>
      </c>
      <c r="Y321" s="9" t="str">
        <f t="shared" si="35"/>
        <v>a</v>
      </c>
      <c r="Z321" s="31">
        <f t="shared" si="31"/>
        <v>389140.625</v>
      </c>
      <c r="AA321" s="31">
        <f t="shared" si="32"/>
        <v>248515.625</v>
      </c>
    </row>
    <row r="322" spans="1:27" ht="13">
      <c r="A322" s="9">
        <v>320</v>
      </c>
      <c r="B322" s="3" t="s">
        <v>1674</v>
      </c>
      <c r="C322" s="3"/>
      <c r="D322" s="5">
        <v>77.7</v>
      </c>
      <c r="E322" s="3">
        <v>260</v>
      </c>
      <c r="F322" s="3">
        <v>260</v>
      </c>
      <c r="G322" s="5">
        <v>10</v>
      </c>
      <c r="H322" s="5">
        <v>10</v>
      </c>
      <c r="I322" s="3">
        <v>9890</v>
      </c>
      <c r="J322" s="3">
        <v>102420000</v>
      </c>
      <c r="K322" s="3">
        <v>788000</v>
      </c>
      <c r="L322" s="3">
        <v>924000</v>
      </c>
      <c r="M322" s="3">
        <v>102</v>
      </c>
      <c r="N322" s="5">
        <f t="shared" si="29"/>
        <v>4945</v>
      </c>
      <c r="O322" s="3">
        <v>102420000</v>
      </c>
      <c r="P322" s="3">
        <v>788000</v>
      </c>
      <c r="Q322" s="3">
        <v>924000</v>
      </c>
      <c r="R322" s="5">
        <v>102</v>
      </c>
      <c r="T322" s="3">
        <v>159320000</v>
      </c>
      <c r="U322" s="4"/>
      <c r="V322" s="5">
        <f t="shared" si="30"/>
        <v>4945</v>
      </c>
      <c r="W322" s="8"/>
      <c r="X322" s="9" t="str">
        <f t="shared" si="35"/>
        <v>a</v>
      </c>
      <c r="Y322" s="9" t="str">
        <f t="shared" si="35"/>
        <v>a</v>
      </c>
      <c r="Z322" s="31">
        <f t="shared" si="31"/>
        <v>469000</v>
      </c>
      <c r="AA322" s="31">
        <f t="shared" si="32"/>
        <v>469000</v>
      </c>
    </row>
    <row r="323" spans="1:27" ht="13">
      <c r="A323" s="9">
        <v>321</v>
      </c>
      <c r="B323" s="3" t="s">
        <v>1675</v>
      </c>
      <c r="C323" s="3"/>
      <c r="D323" s="5">
        <v>80.099999999999994</v>
      </c>
      <c r="E323" s="3">
        <v>260</v>
      </c>
      <c r="F323" s="3">
        <v>180</v>
      </c>
      <c r="G323" s="5">
        <v>12.5</v>
      </c>
      <c r="H323" s="5">
        <v>12.5</v>
      </c>
      <c r="I323" s="3">
        <v>10200</v>
      </c>
      <c r="J323" s="3">
        <v>92990000</v>
      </c>
      <c r="K323" s="3">
        <v>715000</v>
      </c>
      <c r="L323" s="3">
        <v>879000</v>
      </c>
      <c r="M323" s="3">
        <v>95.4</v>
      </c>
      <c r="N323" s="5">
        <f t="shared" ref="N323:N386" si="36">I323*E323/(F323+E323)</f>
        <v>6027.272727272727</v>
      </c>
      <c r="O323" s="3">
        <v>51960000</v>
      </c>
      <c r="P323" s="3">
        <v>577000</v>
      </c>
      <c r="Q323" s="3">
        <v>679000</v>
      </c>
      <c r="R323" s="5">
        <v>71.3</v>
      </c>
      <c r="T323" s="3">
        <v>106400000</v>
      </c>
      <c r="U323" s="4"/>
      <c r="V323" s="5">
        <f t="shared" ref="V323:V386" si="37">I323*F323/(E323+F323)</f>
        <v>4172.727272727273</v>
      </c>
      <c r="W323" s="8"/>
      <c r="X323" s="9" t="str">
        <f t="shared" ref="X323:Y342" si="38">IF(fy=460,"a0","a")</f>
        <v>a</v>
      </c>
      <c r="Y323" s="9" t="str">
        <f t="shared" si="38"/>
        <v>a</v>
      </c>
      <c r="Z323" s="31">
        <f t="shared" ref="Z323:Z386" si="39">(H323*(0.5*E323-G323)^2)+(F323*G323)*(0.5*E323-0.5*G323)</f>
        <v>451015.625</v>
      </c>
      <c r="AA323" s="31">
        <f t="shared" ref="AA323:AA386" si="40">(H323*(0.5*F323-G323)^2)+(E323*G323)*(0.5*F323-0.5*G323)</f>
        <v>347265.625</v>
      </c>
    </row>
    <row r="324" spans="1:27" ht="13">
      <c r="A324" s="9">
        <v>322</v>
      </c>
      <c r="B324" s="3" t="s">
        <v>1676</v>
      </c>
      <c r="C324" s="3"/>
      <c r="D324" s="5">
        <v>81.099999999999994</v>
      </c>
      <c r="E324" s="3">
        <v>260</v>
      </c>
      <c r="F324" s="3">
        <v>140</v>
      </c>
      <c r="G324" s="5">
        <v>14.2</v>
      </c>
      <c r="H324" s="5">
        <v>14.2</v>
      </c>
      <c r="I324" s="3">
        <v>10300</v>
      </c>
      <c r="J324" s="3">
        <v>85600000</v>
      </c>
      <c r="K324" s="3">
        <v>658000</v>
      </c>
      <c r="L324" s="3">
        <v>840000</v>
      </c>
      <c r="M324" s="3">
        <v>91</v>
      </c>
      <c r="N324" s="5">
        <f t="shared" si="36"/>
        <v>6695</v>
      </c>
      <c r="O324" s="3">
        <v>31440000</v>
      </c>
      <c r="P324" s="3">
        <v>449000</v>
      </c>
      <c r="Q324" s="3">
        <v>537000</v>
      </c>
      <c r="R324" s="5">
        <v>55.2</v>
      </c>
      <c r="T324" s="3">
        <v>75550000</v>
      </c>
      <c r="U324" s="4"/>
      <c r="V324" s="5">
        <f t="shared" si="37"/>
        <v>3605</v>
      </c>
      <c r="W324" s="8"/>
      <c r="X324" s="9" t="str">
        <f t="shared" si="38"/>
        <v>a</v>
      </c>
      <c r="Y324" s="9" t="str">
        <f t="shared" si="38"/>
        <v>a</v>
      </c>
      <c r="Z324" s="31">
        <f t="shared" si="39"/>
        <v>434742.08799999999</v>
      </c>
      <c r="AA324" s="31">
        <f t="shared" si="40"/>
        <v>276440.48800000001</v>
      </c>
    </row>
    <row r="325" spans="1:27" ht="13">
      <c r="A325" s="9">
        <v>323</v>
      </c>
      <c r="B325" s="3" t="s">
        <v>1677</v>
      </c>
      <c r="C325" s="3"/>
      <c r="D325" s="5">
        <v>90.1</v>
      </c>
      <c r="E325" s="3">
        <v>260</v>
      </c>
      <c r="F325" s="3">
        <v>180</v>
      </c>
      <c r="G325" s="5">
        <v>14.2</v>
      </c>
      <c r="H325" s="5">
        <v>14.2</v>
      </c>
      <c r="I325" s="3">
        <v>11500</v>
      </c>
      <c r="J325" s="3">
        <v>102800000</v>
      </c>
      <c r="K325" s="3">
        <v>791000</v>
      </c>
      <c r="L325" s="3">
        <v>980000</v>
      </c>
      <c r="M325" s="3">
        <v>94.6</v>
      </c>
      <c r="N325" s="5">
        <f t="shared" si="36"/>
        <v>6795.454545454545</v>
      </c>
      <c r="O325" s="3">
        <v>57190000</v>
      </c>
      <c r="P325" s="3">
        <v>635000</v>
      </c>
      <c r="Q325" s="3">
        <v>755000</v>
      </c>
      <c r="R325" s="5">
        <v>70.599999999999994</v>
      </c>
      <c r="T325" s="3">
        <v>118200000</v>
      </c>
      <c r="U325" s="4"/>
      <c r="V325" s="5">
        <f t="shared" si="37"/>
        <v>4704.545454545455</v>
      </c>
      <c r="W325" s="8"/>
      <c r="X325" s="9" t="str">
        <f t="shared" si="38"/>
        <v>a</v>
      </c>
      <c r="Y325" s="9" t="str">
        <f t="shared" si="38"/>
        <v>a</v>
      </c>
      <c r="Z325" s="31">
        <f t="shared" si="39"/>
        <v>504549.288</v>
      </c>
      <c r="AA325" s="31">
        <f t="shared" si="40"/>
        <v>387654.88800000004</v>
      </c>
    </row>
    <row r="326" spans="1:27" ht="13">
      <c r="A326" s="9">
        <v>324</v>
      </c>
      <c r="B326" s="3" t="s">
        <v>1678</v>
      </c>
      <c r="C326" s="3"/>
      <c r="D326" s="5">
        <v>90.3</v>
      </c>
      <c r="E326" s="3">
        <v>260</v>
      </c>
      <c r="F326" s="3">
        <v>140</v>
      </c>
      <c r="G326" s="5">
        <v>16</v>
      </c>
      <c r="H326" s="5">
        <v>16</v>
      </c>
      <c r="I326" s="3">
        <v>11500</v>
      </c>
      <c r="J326" s="3">
        <v>93370000</v>
      </c>
      <c r="K326" s="3">
        <v>718000</v>
      </c>
      <c r="L326" s="3">
        <v>925000</v>
      </c>
      <c r="M326" s="3">
        <v>90.1</v>
      </c>
      <c r="N326" s="5">
        <f t="shared" si="36"/>
        <v>7475</v>
      </c>
      <c r="O326" s="3">
        <v>34000000</v>
      </c>
      <c r="P326" s="3">
        <v>486000</v>
      </c>
      <c r="Q326" s="3">
        <v>588000</v>
      </c>
      <c r="R326" s="5">
        <v>54.4</v>
      </c>
      <c r="T326" s="3">
        <v>82570000</v>
      </c>
      <c r="U326" s="4"/>
      <c r="V326" s="5">
        <f t="shared" si="37"/>
        <v>4025</v>
      </c>
      <c r="W326" s="8"/>
      <c r="X326" s="9" t="str">
        <f t="shared" si="38"/>
        <v>a</v>
      </c>
      <c r="Y326" s="9" t="str">
        <f t="shared" si="38"/>
        <v>a</v>
      </c>
      <c r="Z326" s="31">
        <f t="shared" si="39"/>
        <v>481216</v>
      </c>
      <c r="AA326" s="31">
        <f t="shared" si="40"/>
        <v>304576</v>
      </c>
    </row>
    <row r="327" spans="1:27" ht="13">
      <c r="A327" s="9">
        <v>325</v>
      </c>
      <c r="B327" s="3" t="s">
        <v>1679</v>
      </c>
      <c r="C327" s="3"/>
      <c r="D327" s="5">
        <v>95.8</v>
      </c>
      <c r="E327" s="3">
        <v>260</v>
      </c>
      <c r="F327" s="3">
        <v>260</v>
      </c>
      <c r="G327" s="5">
        <v>12.5</v>
      </c>
      <c r="H327" s="5">
        <v>12.5</v>
      </c>
      <c r="I327" s="3">
        <v>12200</v>
      </c>
      <c r="J327" s="3">
        <v>123700000</v>
      </c>
      <c r="K327" s="3">
        <v>951000</v>
      </c>
      <c r="L327" s="3">
        <v>1127000</v>
      </c>
      <c r="M327" s="3">
        <v>101</v>
      </c>
      <c r="N327" s="5">
        <f t="shared" si="36"/>
        <v>6100</v>
      </c>
      <c r="O327" s="3">
        <v>123700000</v>
      </c>
      <c r="P327" s="3">
        <v>951000</v>
      </c>
      <c r="Q327" s="3">
        <v>1127000</v>
      </c>
      <c r="R327" s="5">
        <v>101</v>
      </c>
      <c r="T327" s="3">
        <v>194100000</v>
      </c>
      <c r="U327" s="4"/>
      <c r="V327" s="5">
        <f t="shared" si="37"/>
        <v>6100</v>
      </c>
      <c r="W327" s="8"/>
      <c r="X327" s="9" t="str">
        <f t="shared" si="38"/>
        <v>a</v>
      </c>
      <c r="Y327" s="9" t="str">
        <f t="shared" si="38"/>
        <v>a</v>
      </c>
      <c r="Z327" s="31">
        <f t="shared" si="39"/>
        <v>574765.625</v>
      </c>
      <c r="AA327" s="31">
        <f t="shared" si="40"/>
        <v>574765.625</v>
      </c>
    </row>
    <row r="328" spans="1:27" ht="13">
      <c r="A328" s="9">
        <v>326</v>
      </c>
      <c r="B328" s="3" t="s">
        <v>1680</v>
      </c>
      <c r="C328" s="3"/>
      <c r="D328" s="5">
        <v>100</v>
      </c>
      <c r="E328" s="3">
        <v>260</v>
      </c>
      <c r="F328" s="3">
        <v>180</v>
      </c>
      <c r="G328" s="5">
        <v>16</v>
      </c>
      <c r="H328" s="5">
        <v>16</v>
      </c>
      <c r="I328" s="3">
        <v>12800</v>
      </c>
      <c r="J328" s="3">
        <v>112450000</v>
      </c>
      <c r="K328" s="3">
        <v>865000</v>
      </c>
      <c r="L328" s="3">
        <v>1081000</v>
      </c>
      <c r="M328" s="3">
        <v>93.8</v>
      </c>
      <c r="N328" s="5">
        <f t="shared" si="36"/>
        <v>7563.636363636364</v>
      </c>
      <c r="O328" s="3">
        <v>62310000</v>
      </c>
      <c r="P328" s="3">
        <v>692000</v>
      </c>
      <c r="Q328" s="3">
        <v>831000</v>
      </c>
      <c r="R328" s="5">
        <v>69.8</v>
      </c>
      <c r="T328" s="3">
        <v>129930000</v>
      </c>
      <c r="U328" s="4"/>
      <c r="V328" s="5">
        <f t="shared" si="37"/>
        <v>5236.363636363636</v>
      </c>
      <c r="W328" s="8"/>
      <c r="X328" s="9" t="str">
        <f t="shared" si="38"/>
        <v>a</v>
      </c>
      <c r="Y328" s="9" t="str">
        <f t="shared" si="38"/>
        <v>a</v>
      </c>
      <c r="Z328" s="31">
        <f t="shared" si="39"/>
        <v>559296</v>
      </c>
      <c r="AA328" s="31">
        <f t="shared" si="40"/>
        <v>428736</v>
      </c>
    </row>
    <row r="329" spans="1:27" ht="13">
      <c r="A329" s="9">
        <v>327</v>
      </c>
      <c r="B329" s="3" t="s">
        <v>1681</v>
      </c>
      <c r="C329" s="3"/>
      <c r="D329" s="5">
        <v>100</v>
      </c>
      <c r="E329" s="3">
        <v>260</v>
      </c>
      <c r="F329" s="3">
        <v>180</v>
      </c>
      <c r="G329" s="5">
        <v>16</v>
      </c>
      <c r="H329" s="5">
        <v>16</v>
      </c>
      <c r="I329" s="3">
        <v>12800</v>
      </c>
      <c r="J329" s="3">
        <v>112500000</v>
      </c>
      <c r="K329" s="3">
        <v>865000</v>
      </c>
      <c r="L329" s="3">
        <v>1081000</v>
      </c>
      <c r="M329" s="3">
        <v>93.8</v>
      </c>
      <c r="N329" s="5">
        <f t="shared" si="36"/>
        <v>7563.636363636364</v>
      </c>
      <c r="O329" s="3">
        <v>62310000</v>
      </c>
      <c r="P329" s="3">
        <v>692000</v>
      </c>
      <c r="Q329" s="3">
        <v>831000</v>
      </c>
      <c r="R329" s="5">
        <v>69.8</v>
      </c>
      <c r="T329" s="3">
        <v>129900000</v>
      </c>
      <c r="U329" s="4"/>
      <c r="V329" s="5">
        <f t="shared" si="37"/>
        <v>5236.363636363636</v>
      </c>
      <c r="W329" s="8"/>
      <c r="X329" s="9" t="str">
        <f t="shared" si="38"/>
        <v>a</v>
      </c>
      <c r="Y329" s="9" t="str">
        <f t="shared" si="38"/>
        <v>a</v>
      </c>
      <c r="Z329" s="31">
        <f t="shared" si="39"/>
        <v>559296</v>
      </c>
      <c r="AA329" s="31">
        <f t="shared" si="40"/>
        <v>428736</v>
      </c>
    </row>
    <row r="330" spans="1:27" ht="13">
      <c r="A330" s="9">
        <v>328</v>
      </c>
      <c r="B330" s="3" t="s">
        <v>1682</v>
      </c>
      <c r="C330" s="3"/>
      <c r="D330" s="5">
        <v>108</v>
      </c>
      <c r="E330" s="3">
        <v>260</v>
      </c>
      <c r="F330" s="3">
        <v>260</v>
      </c>
      <c r="G330" s="5">
        <v>14.2</v>
      </c>
      <c r="H330" s="5">
        <v>14.2</v>
      </c>
      <c r="I330" s="3">
        <v>13700</v>
      </c>
      <c r="J330" s="3">
        <v>137100000</v>
      </c>
      <c r="K330" s="3">
        <v>1055000</v>
      </c>
      <c r="L330" s="3">
        <v>1259000</v>
      </c>
      <c r="M330" s="3">
        <v>100</v>
      </c>
      <c r="N330" s="5">
        <f t="shared" si="36"/>
        <v>6850</v>
      </c>
      <c r="O330" s="3">
        <v>137100000</v>
      </c>
      <c r="P330" s="3">
        <v>1055000</v>
      </c>
      <c r="Q330" s="3">
        <v>1259000</v>
      </c>
      <c r="R330" s="5">
        <v>100</v>
      </c>
      <c r="T330" s="3">
        <v>216600000</v>
      </c>
      <c r="U330" s="4"/>
      <c r="V330" s="5">
        <f t="shared" si="37"/>
        <v>6850</v>
      </c>
      <c r="W330" s="8"/>
      <c r="X330" s="9" t="str">
        <f t="shared" si="38"/>
        <v>a</v>
      </c>
      <c r="Y330" s="9" t="str">
        <f t="shared" si="38"/>
        <v>a</v>
      </c>
      <c r="Z330" s="31">
        <f t="shared" si="39"/>
        <v>644163.68800000008</v>
      </c>
      <c r="AA330" s="31">
        <f t="shared" si="40"/>
        <v>644163.68800000008</v>
      </c>
    </row>
    <row r="331" spans="1:27" ht="13">
      <c r="A331" s="9">
        <v>329</v>
      </c>
      <c r="B331" s="3" t="s">
        <v>1683</v>
      </c>
      <c r="C331" s="3"/>
      <c r="D331" s="5">
        <v>120</v>
      </c>
      <c r="E331" s="3">
        <v>260</v>
      </c>
      <c r="F331" s="3">
        <v>260</v>
      </c>
      <c r="G331" s="5">
        <v>16</v>
      </c>
      <c r="H331" s="5">
        <v>16</v>
      </c>
      <c r="I331" s="3">
        <v>15300</v>
      </c>
      <c r="J331" s="3">
        <v>150610000</v>
      </c>
      <c r="K331" s="3">
        <v>1159000</v>
      </c>
      <c r="L331" s="3">
        <v>1394000</v>
      </c>
      <c r="M331" s="3">
        <v>99.1</v>
      </c>
      <c r="N331" s="5">
        <f t="shared" si="36"/>
        <v>7650</v>
      </c>
      <c r="O331" s="3">
        <v>150610000</v>
      </c>
      <c r="P331" s="3">
        <v>1159000</v>
      </c>
      <c r="Q331" s="3">
        <v>1394000</v>
      </c>
      <c r="R331" s="5">
        <v>99.1</v>
      </c>
      <c r="T331" s="3">
        <v>239420000</v>
      </c>
      <c r="U331" s="4"/>
      <c r="V331" s="5">
        <f t="shared" si="37"/>
        <v>7650</v>
      </c>
      <c r="W331" s="8"/>
      <c r="X331" s="9" t="str">
        <f t="shared" si="38"/>
        <v>a</v>
      </c>
      <c r="Y331" s="9" t="str">
        <f t="shared" si="38"/>
        <v>a</v>
      </c>
      <c r="Z331" s="31">
        <f t="shared" si="39"/>
        <v>715456</v>
      </c>
      <c r="AA331" s="31">
        <f t="shared" si="40"/>
        <v>715456</v>
      </c>
    </row>
    <row r="332" spans="1:27" ht="13">
      <c r="A332" s="9">
        <v>330</v>
      </c>
      <c r="B332" s="3" t="s">
        <v>1684</v>
      </c>
      <c r="C332" s="3"/>
      <c r="D332" s="5">
        <v>30.4</v>
      </c>
      <c r="E332" s="3">
        <v>300</v>
      </c>
      <c r="F332" s="3">
        <v>100</v>
      </c>
      <c r="G332" s="5">
        <v>5</v>
      </c>
      <c r="H332" s="5">
        <v>5</v>
      </c>
      <c r="I332" s="3">
        <v>3870</v>
      </c>
      <c r="J332" s="3">
        <v>41460000</v>
      </c>
      <c r="K332" s="3">
        <v>276000</v>
      </c>
      <c r="L332" s="3">
        <v>354000</v>
      </c>
      <c r="M332" s="3">
        <v>103</v>
      </c>
      <c r="N332" s="5">
        <f t="shared" si="36"/>
        <v>2902.5</v>
      </c>
      <c r="O332" s="3">
        <v>7310000</v>
      </c>
      <c r="P332" s="3">
        <v>146000</v>
      </c>
      <c r="Q332" s="3">
        <v>161000</v>
      </c>
      <c r="R332" s="5">
        <v>43.4</v>
      </c>
      <c r="T332" s="3">
        <v>20400000</v>
      </c>
      <c r="U332" s="4"/>
      <c r="V332" s="5">
        <f t="shared" si="37"/>
        <v>967.5</v>
      </c>
      <c r="W332" s="8"/>
      <c r="X332" s="9" t="str">
        <f t="shared" si="38"/>
        <v>a</v>
      </c>
      <c r="Y332" s="9" t="str">
        <f t="shared" si="38"/>
        <v>a</v>
      </c>
      <c r="Z332" s="31">
        <f t="shared" si="39"/>
        <v>178875</v>
      </c>
      <c r="AA332" s="31">
        <f t="shared" si="40"/>
        <v>81375</v>
      </c>
    </row>
    <row r="333" spans="1:27" ht="13">
      <c r="A333" s="9">
        <v>331</v>
      </c>
      <c r="B333" s="3" t="s">
        <v>1685</v>
      </c>
      <c r="C333" s="3"/>
      <c r="D333" s="5">
        <v>38</v>
      </c>
      <c r="E333" s="3">
        <v>300</v>
      </c>
      <c r="F333" s="3">
        <v>100</v>
      </c>
      <c r="G333" s="5">
        <v>6.3</v>
      </c>
      <c r="H333" s="5">
        <v>6.3</v>
      </c>
      <c r="I333" s="3">
        <v>4840</v>
      </c>
      <c r="J333" s="3">
        <v>51110000</v>
      </c>
      <c r="K333" s="3">
        <v>341000</v>
      </c>
      <c r="L333" s="3">
        <v>439000</v>
      </c>
      <c r="M333" s="3">
        <v>103</v>
      </c>
      <c r="N333" s="5">
        <f t="shared" si="36"/>
        <v>3630</v>
      </c>
      <c r="O333" s="3">
        <v>8900000</v>
      </c>
      <c r="P333" s="3">
        <v>178000</v>
      </c>
      <c r="Q333" s="3">
        <v>199000</v>
      </c>
      <c r="R333" s="5">
        <v>42.9</v>
      </c>
      <c r="T333" s="3">
        <v>25040000</v>
      </c>
      <c r="U333" s="4"/>
      <c r="V333" s="5">
        <f t="shared" si="37"/>
        <v>1210</v>
      </c>
      <c r="W333" s="8"/>
      <c r="X333" s="9" t="str">
        <f t="shared" si="38"/>
        <v>a</v>
      </c>
      <c r="Y333" s="9" t="str">
        <f t="shared" si="38"/>
        <v>a</v>
      </c>
      <c r="Z333" s="31">
        <f t="shared" si="39"/>
        <v>222608.54699999996</v>
      </c>
      <c r="AA333" s="31">
        <f t="shared" si="40"/>
        <v>100577.54700000001</v>
      </c>
    </row>
    <row r="334" spans="1:27" ht="13">
      <c r="A334" s="9">
        <v>332</v>
      </c>
      <c r="B334" s="3" t="s">
        <v>1686</v>
      </c>
      <c r="C334" s="3"/>
      <c r="D334" s="5">
        <v>38.299999999999997</v>
      </c>
      <c r="E334" s="3">
        <v>300</v>
      </c>
      <c r="F334" s="3">
        <v>200</v>
      </c>
      <c r="G334" s="5">
        <v>5</v>
      </c>
      <c r="H334" s="5">
        <v>5</v>
      </c>
      <c r="I334" s="3">
        <v>4870</v>
      </c>
      <c r="J334" s="3">
        <v>63220000</v>
      </c>
      <c r="K334" s="3">
        <v>421000</v>
      </c>
      <c r="L334" s="3">
        <v>501000</v>
      </c>
      <c r="M334" s="3">
        <v>114</v>
      </c>
      <c r="N334" s="5">
        <f t="shared" si="36"/>
        <v>2922</v>
      </c>
      <c r="O334" s="3">
        <v>33960000</v>
      </c>
      <c r="P334" s="3">
        <v>340000</v>
      </c>
      <c r="Q334" s="3">
        <v>380000</v>
      </c>
      <c r="R334" s="5">
        <v>83.5</v>
      </c>
      <c r="T334" s="3">
        <v>68240000</v>
      </c>
      <c r="U334" s="4"/>
      <c r="V334" s="5">
        <f t="shared" si="37"/>
        <v>1948</v>
      </c>
      <c r="W334" s="8"/>
      <c r="X334" s="9" t="str">
        <f t="shared" si="38"/>
        <v>a</v>
      </c>
      <c r="Y334" s="9" t="str">
        <f t="shared" si="38"/>
        <v>a</v>
      </c>
      <c r="Z334" s="31">
        <f t="shared" si="39"/>
        <v>252625</v>
      </c>
      <c r="AA334" s="31">
        <f t="shared" si="40"/>
        <v>191375</v>
      </c>
    </row>
    <row r="335" spans="1:27" ht="13">
      <c r="A335" s="9">
        <v>333</v>
      </c>
      <c r="B335" s="3" t="s">
        <v>1687</v>
      </c>
      <c r="C335" s="3"/>
      <c r="D335" s="5">
        <v>42.2</v>
      </c>
      <c r="E335" s="3">
        <v>300</v>
      </c>
      <c r="F335" s="3">
        <v>250</v>
      </c>
      <c r="G335" s="5">
        <v>5</v>
      </c>
      <c r="H335" s="5">
        <v>5</v>
      </c>
      <c r="I335" s="3">
        <v>5370</v>
      </c>
      <c r="J335" s="3">
        <v>74100000</v>
      </c>
      <c r="K335" s="3">
        <v>494000</v>
      </c>
      <c r="L335" s="3">
        <v>575000</v>
      </c>
      <c r="M335" s="3">
        <v>117</v>
      </c>
      <c r="N335" s="5">
        <f t="shared" si="36"/>
        <v>2929.090909090909</v>
      </c>
      <c r="O335" s="3">
        <v>56110000</v>
      </c>
      <c r="P335" s="3">
        <v>449000</v>
      </c>
      <c r="Q335" s="3">
        <v>508000</v>
      </c>
      <c r="R335" s="5">
        <v>102</v>
      </c>
      <c r="T335" s="3">
        <v>97660000</v>
      </c>
      <c r="U335" s="4"/>
      <c r="V335" s="5">
        <f t="shared" si="37"/>
        <v>2440.909090909091</v>
      </c>
      <c r="W335" s="8"/>
      <c r="X335" s="9" t="str">
        <f t="shared" si="38"/>
        <v>a</v>
      </c>
      <c r="Y335" s="9" t="str">
        <f t="shared" si="38"/>
        <v>a</v>
      </c>
      <c r="Z335" s="31">
        <f t="shared" si="39"/>
        <v>289500</v>
      </c>
      <c r="AA335" s="31">
        <f t="shared" si="40"/>
        <v>255750</v>
      </c>
    </row>
    <row r="336" spans="1:27" ht="13">
      <c r="A336" s="9">
        <v>334</v>
      </c>
      <c r="B336" s="3" t="s">
        <v>1688</v>
      </c>
      <c r="C336" s="3"/>
      <c r="D336" s="5">
        <v>42.6</v>
      </c>
      <c r="E336" s="3">
        <v>300</v>
      </c>
      <c r="F336" s="3">
        <v>100</v>
      </c>
      <c r="G336" s="5">
        <v>7.1</v>
      </c>
      <c r="H336" s="5">
        <v>7.1</v>
      </c>
      <c r="I336" s="3">
        <v>5420</v>
      </c>
      <c r="J336" s="3">
        <v>56830000</v>
      </c>
      <c r="K336" s="3">
        <v>379000</v>
      </c>
      <c r="L336" s="3">
        <v>490000</v>
      </c>
      <c r="M336" s="3">
        <v>102</v>
      </c>
      <c r="N336" s="5">
        <f t="shared" si="36"/>
        <v>4065</v>
      </c>
      <c r="O336" s="3">
        <v>9810000</v>
      </c>
      <c r="P336" s="3">
        <v>196000</v>
      </c>
      <c r="Q336" s="3">
        <v>221000</v>
      </c>
      <c r="R336" s="5">
        <v>42.5</v>
      </c>
      <c r="T336" s="3">
        <v>27750000</v>
      </c>
      <c r="U336" s="4"/>
      <c r="V336" s="5">
        <f t="shared" si="37"/>
        <v>1355</v>
      </c>
      <c r="W336" s="8"/>
      <c r="X336" s="9" t="str">
        <f t="shared" si="38"/>
        <v>a</v>
      </c>
      <c r="Y336" s="9" t="str">
        <f t="shared" si="38"/>
        <v>a</v>
      </c>
      <c r="Z336" s="31">
        <f t="shared" si="39"/>
        <v>248964.41099999996</v>
      </c>
      <c r="AA336" s="31">
        <f t="shared" si="40"/>
        <v>112005.41099999999</v>
      </c>
    </row>
    <row r="337" spans="1:27" ht="13">
      <c r="A337" s="9">
        <v>335</v>
      </c>
      <c r="B337" s="3" t="s">
        <v>1689</v>
      </c>
      <c r="C337" s="3"/>
      <c r="D337" s="5">
        <v>47.7</v>
      </c>
      <c r="E337" s="3">
        <v>300</v>
      </c>
      <c r="F337" s="3">
        <v>100</v>
      </c>
      <c r="G337" s="5">
        <v>8</v>
      </c>
      <c r="H337" s="5">
        <v>8</v>
      </c>
      <c r="I337" s="3">
        <v>6080</v>
      </c>
      <c r="J337" s="3">
        <v>63050000</v>
      </c>
      <c r="K337" s="3">
        <v>420000</v>
      </c>
      <c r="L337" s="3">
        <v>546000</v>
      </c>
      <c r="M337" s="3">
        <v>102</v>
      </c>
      <c r="N337" s="5">
        <f t="shared" si="36"/>
        <v>4560</v>
      </c>
      <c r="O337" s="3">
        <v>10780000</v>
      </c>
      <c r="P337" s="3">
        <v>216000</v>
      </c>
      <c r="Q337" s="3">
        <v>245000</v>
      </c>
      <c r="R337" s="5">
        <v>42.1</v>
      </c>
      <c r="T337" s="3">
        <v>30690000</v>
      </c>
      <c r="U337" s="4"/>
      <c r="V337" s="5">
        <f t="shared" si="37"/>
        <v>1520</v>
      </c>
      <c r="W337" s="8"/>
      <c r="X337" s="9" t="str">
        <f t="shared" si="38"/>
        <v>a</v>
      </c>
      <c r="Y337" s="9" t="str">
        <f t="shared" si="38"/>
        <v>a</v>
      </c>
      <c r="Z337" s="31">
        <f t="shared" si="39"/>
        <v>278112</v>
      </c>
      <c r="AA337" s="31">
        <f t="shared" si="40"/>
        <v>124512</v>
      </c>
    </row>
    <row r="338" spans="1:27" ht="13">
      <c r="A338" s="9">
        <v>336</v>
      </c>
      <c r="B338" s="3" t="s">
        <v>1690</v>
      </c>
      <c r="C338" s="3"/>
      <c r="D338" s="5">
        <v>47.9</v>
      </c>
      <c r="E338" s="3">
        <v>300</v>
      </c>
      <c r="F338" s="3">
        <v>200</v>
      </c>
      <c r="G338" s="5">
        <v>6.3</v>
      </c>
      <c r="H338" s="5">
        <v>6.3</v>
      </c>
      <c r="I338" s="3">
        <v>6100</v>
      </c>
      <c r="J338" s="3">
        <v>78290000</v>
      </c>
      <c r="K338" s="3">
        <v>522000</v>
      </c>
      <c r="L338" s="3">
        <v>624000</v>
      </c>
      <c r="M338" s="3">
        <v>113</v>
      </c>
      <c r="N338" s="5">
        <f t="shared" si="36"/>
        <v>3660</v>
      </c>
      <c r="O338" s="3">
        <v>41930000</v>
      </c>
      <c r="P338" s="3">
        <v>419000</v>
      </c>
      <c r="Q338" s="3">
        <v>472000</v>
      </c>
      <c r="R338" s="5">
        <v>82.9</v>
      </c>
      <c r="T338" s="3">
        <v>84760000</v>
      </c>
      <c r="U338" s="4"/>
      <c r="V338" s="5">
        <f t="shared" si="37"/>
        <v>2440</v>
      </c>
      <c r="W338" s="8"/>
      <c r="X338" s="9" t="str">
        <f t="shared" si="38"/>
        <v>a</v>
      </c>
      <c r="Y338" s="9" t="str">
        <f t="shared" si="38"/>
        <v>a</v>
      </c>
      <c r="Z338" s="31">
        <f t="shared" si="39"/>
        <v>315124.04699999996</v>
      </c>
      <c r="AA338" s="31">
        <f t="shared" si="40"/>
        <v>238358.54699999999</v>
      </c>
    </row>
    <row r="339" spans="1:27" ht="13">
      <c r="A339" s="9">
        <v>337</v>
      </c>
      <c r="B339" s="3" t="s">
        <v>1691</v>
      </c>
      <c r="C339" s="3"/>
      <c r="D339" s="5">
        <v>52.2</v>
      </c>
      <c r="E339" s="3">
        <v>300</v>
      </c>
      <c r="F339" s="3">
        <v>100</v>
      </c>
      <c r="G339" s="5">
        <v>8.8000000000000007</v>
      </c>
      <c r="H339" s="5">
        <v>8.8000000000000007</v>
      </c>
      <c r="I339" s="3">
        <v>6650</v>
      </c>
      <c r="J339" s="3">
        <v>68410000</v>
      </c>
      <c r="K339" s="3">
        <v>456000</v>
      </c>
      <c r="L339" s="3">
        <v>594000</v>
      </c>
      <c r="M339" s="3">
        <v>101</v>
      </c>
      <c r="N339" s="5">
        <f t="shared" si="36"/>
        <v>4987.5</v>
      </c>
      <c r="O339" s="3">
        <v>11600000</v>
      </c>
      <c r="P339" s="3">
        <v>232000</v>
      </c>
      <c r="Q339" s="3">
        <v>266000</v>
      </c>
      <c r="R339" s="5">
        <v>41.8</v>
      </c>
      <c r="T339" s="3">
        <v>33190000</v>
      </c>
      <c r="U339" s="4"/>
      <c r="V339" s="5">
        <f t="shared" si="37"/>
        <v>1662.5</v>
      </c>
      <c r="W339" s="8"/>
      <c r="X339" s="9" t="str">
        <f t="shared" si="38"/>
        <v>a</v>
      </c>
      <c r="Y339" s="9" t="str">
        <f t="shared" si="38"/>
        <v>a</v>
      </c>
      <c r="Z339" s="31">
        <f t="shared" si="39"/>
        <v>303577.47200000001</v>
      </c>
      <c r="AA339" s="31">
        <f t="shared" si="40"/>
        <v>135321.47200000001</v>
      </c>
    </row>
    <row r="340" spans="1:27" ht="13">
      <c r="A340" s="9">
        <v>338</v>
      </c>
      <c r="B340" s="3" t="s">
        <v>1692</v>
      </c>
      <c r="C340" s="3"/>
      <c r="D340" s="5">
        <v>52.8</v>
      </c>
      <c r="E340" s="3">
        <v>300</v>
      </c>
      <c r="F340" s="3">
        <v>250</v>
      </c>
      <c r="G340" s="5">
        <v>6.3</v>
      </c>
      <c r="H340" s="5">
        <v>6.3</v>
      </c>
      <c r="I340" s="3">
        <v>6730</v>
      </c>
      <c r="J340" s="3">
        <v>91880000</v>
      </c>
      <c r="K340" s="3">
        <v>613000</v>
      </c>
      <c r="L340" s="3">
        <v>716000</v>
      </c>
      <c r="M340" s="3">
        <v>117</v>
      </c>
      <c r="N340" s="5">
        <f t="shared" si="36"/>
        <v>3670.909090909091</v>
      </c>
      <c r="O340" s="3">
        <v>69500000</v>
      </c>
      <c r="P340" s="3">
        <v>556000</v>
      </c>
      <c r="Q340" s="3">
        <v>633000</v>
      </c>
      <c r="R340" s="5">
        <v>102</v>
      </c>
      <c r="T340" s="3">
        <v>121550000</v>
      </c>
      <c r="U340" s="4"/>
      <c r="V340" s="5">
        <f t="shared" si="37"/>
        <v>3059.090909090909</v>
      </c>
      <c r="W340" s="8"/>
      <c r="X340" s="9" t="str">
        <f t="shared" si="38"/>
        <v>a</v>
      </c>
      <c r="Y340" s="9" t="str">
        <f t="shared" si="38"/>
        <v>a</v>
      </c>
      <c r="Z340" s="31">
        <f t="shared" si="39"/>
        <v>361381.79699999996</v>
      </c>
      <c r="AA340" s="31">
        <f t="shared" si="40"/>
        <v>319061.54700000002</v>
      </c>
    </row>
    <row r="341" spans="1:27" ht="13">
      <c r="A341" s="9">
        <v>339</v>
      </c>
      <c r="B341" s="3" t="s">
        <v>1693</v>
      </c>
      <c r="C341" s="3"/>
      <c r="D341" s="5">
        <v>53.7</v>
      </c>
      <c r="E341" s="3">
        <v>300</v>
      </c>
      <c r="F341" s="3">
        <v>200</v>
      </c>
      <c r="G341" s="5">
        <v>7.1</v>
      </c>
      <c r="H341" s="5">
        <v>7.1</v>
      </c>
      <c r="I341" s="3">
        <v>6840</v>
      </c>
      <c r="J341" s="3">
        <v>87290000</v>
      </c>
      <c r="K341" s="3">
        <v>582000</v>
      </c>
      <c r="L341" s="3">
        <v>698000</v>
      </c>
      <c r="M341" s="3">
        <v>113</v>
      </c>
      <c r="N341" s="5">
        <f t="shared" si="36"/>
        <v>4104</v>
      </c>
      <c r="O341" s="3">
        <v>46670000</v>
      </c>
      <c r="P341" s="3">
        <v>467000</v>
      </c>
      <c r="Q341" s="3">
        <v>528000</v>
      </c>
      <c r="R341" s="5">
        <v>82.6</v>
      </c>
      <c r="T341" s="3">
        <v>94690000</v>
      </c>
      <c r="U341" s="4"/>
      <c r="V341" s="5">
        <f t="shared" si="37"/>
        <v>2736</v>
      </c>
      <c r="W341" s="8"/>
      <c r="X341" s="9" t="str">
        <f t="shared" si="38"/>
        <v>a</v>
      </c>
      <c r="Y341" s="9" t="str">
        <f t="shared" si="38"/>
        <v>a</v>
      </c>
      <c r="Z341" s="31">
        <f t="shared" si="39"/>
        <v>352943.91099999996</v>
      </c>
      <c r="AA341" s="31">
        <f t="shared" si="40"/>
        <v>266714.41100000002</v>
      </c>
    </row>
    <row r="342" spans="1:27" ht="13">
      <c r="A342" s="9">
        <v>340</v>
      </c>
      <c r="B342" s="3" t="s">
        <v>1694</v>
      </c>
      <c r="C342" s="3"/>
      <c r="D342" s="5">
        <v>54</v>
      </c>
      <c r="E342" s="3">
        <v>300</v>
      </c>
      <c r="F342" s="3">
        <v>150</v>
      </c>
      <c r="G342" s="5">
        <v>8</v>
      </c>
      <c r="H342" s="5">
        <v>8</v>
      </c>
      <c r="I342" s="3">
        <v>6880</v>
      </c>
      <c r="J342" s="3">
        <v>80110000</v>
      </c>
      <c r="K342" s="3">
        <v>534000</v>
      </c>
      <c r="L342" s="3">
        <v>663000</v>
      </c>
      <c r="M342" s="3">
        <v>108</v>
      </c>
      <c r="N342" s="5">
        <f t="shared" si="36"/>
        <v>4586.666666666667</v>
      </c>
      <c r="O342" s="3">
        <v>27020000</v>
      </c>
      <c r="P342" s="3">
        <v>360000</v>
      </c>
      <c r="Q342" s="3">
        <v>407000</v>
      </c>
      <c r="R342" s="5">
        <v>62.7</v>
      </c>
      <c r="T342" s="3">
        <v>64540000</v>
      </c>
      <c r="U342" s="4"/>
      <c r="V342" s="5">
        <f t="shared" si="37"/>
        <v>2293.3333333333335</v>
      </c>
      <c r="W342" s="8"/>
      <c r="X342" s="9" t="str">
        <f t="shared" si="38"/>
        <v>a</v>
      </c>
      <c r="Y342" s="9" t="str">
        <f t="shared" si="38"/>
        <v>a</v>
      </c>
      <c r="Z342" s="31">
        <f t="shared" si="39"/>
        <v>336512</v>
      </c>
      <c r="AA342" s="31">
        <f t="shared" si="40"/>
        <v>206312</v>
      </c>
    </row>
    <row r="343" spans="1:27" ht="13">
      <c r="A343" s="9">
        <v>341</v>
      </c>
      <c r="B343" s="3" t="s">
        <v>1695</v>
      </c>
      <c r="C343" s="3"/>
      <c r="D343" s="5">
        <v>57.8</v>
      </c>
      <c r="E343" s="3">
        <v>300</v>
      </c>
      <c r="F343" s="3">
        <v>300</v>
      </c>
      <c r="G343" s="5">
        <v>6.3</v>
      </c>
      <c r="H343" s="5">
        <v>6.3</v>
      </c>
      <c r="I343" s="3">
        <v>7400</v>
      </c>
      <c r="J343" s="3">
        <v>105500000</v>
      </c>
      <c r="K343" s="3">
        <v>703000</v>
      </c>
      <c r="L343" s="3">
        <v>809000</v>
      </c>
      <c r="M343" s="3">
        <v>120</v>
      </c>
      <c r="N343" s="5">
        <f t="shared" si="36"/>
        <v>3700</v>
      </c>
      <c r="O343" s="3">
        <v>105500000</v>
      </c>
      <c r="P343" s="3">
        <v>703000</v>
      </c>
      <c r="Q343" s="3">
        <v>809000</v>
      </c>
      <c r="R343" s="5">
        <v>120</v>
      </c>
      <c r="T343" s="3">
        <v>161400000</v>
      </c>
      <c r="U343" s="4"/>
      <c r="V343" s="5">
        <f t="shared" si="37"/>
        <v>3700</v>
      </c>
      <c r="W343" s="8"/>
      <c r="X343" s="9" t="str">
        <f t="shared" ref="X343:Y362" si="41">IF(fy=460,"a0","a")</f>
        <v>a</v>
      </c>
      <c r="Y343" s="9" t="str">
        <f t="shared" si="41"/>
        <v>a</v>
      </c>
      <c r="Z343" s="31">
        <f t="shared" si="39"/>
        <v>407639.54699999996</v>
      </c>
      <c r="AA343" s="31">
        <f t="shared" si="40"/>
        <v>407639.54699999996</v>
      </c>
    </row>
    <row r="344" spans="1:27" ht="13">
      <c r="A344" s="9">
        <v>342</v>
      </c>
      <c r="B344" s="3" t="s">
        <v>1696</v>
      </c>
      <c r="C344" s="3"/>
      <c r="D344" s="5">
        <v>58.8</v>
      </c>
      <c r="E344" s="3">
        <v>300</v>
      </c>
      <c r="F344" s="3">
        <v>100</v>
      </c>
      <c r="G344" s="5">
        <v>10</v>
      </c>
      <c r="H344" s="5">
        <v>10</v>
      </c>
      <c r="I344" s="3">
        <v>7490</v>
      </c>
      <c r="J344" s="3">
        <v>76130000</v>
      </c>
      <c r="K344" s="3">
        <v>508000</v>
      </c>
      <c r="L344" s="3">
        <v>666000</v>
      </c>
      <c r="M344" s="3">
        <v>101</v>
      </c>
      <c r="N344" s="5">
        <f t="shared" si="36"/>
        <v>5617.5</v>
      </c>
      <c r="O344" s="3">
        <v>12750000</v>
      </c>
      <c r="P344" s="3">
        <v>255000</v>
      </c>
      <c r="Q344" s="3">
        <v>296000</v>
      </c>
      <c r="R344" s="5">
        <v>41.3</v>
      </c>
      <c r="T344" s="3">
        <v>36760000</v>
      </c>
      <c r="U344" s="4"/>
      <c r="V344" s="5">
        <f t="shared" si="37"/>
        <v>1872.5</v>
      </c>
      <c r="W344" s="8"/>
      <c r="X344" s="9" t="str">
        <f t="shared" si="41"/>
        <v>a</v>
      </c>
      <c r="Y344" s="9" t="str">
        <f t="shared" si="41"/>
        <v>a</v>
      </c>
      <c r="Z344" s="31">
        <f t="shared" si="39"/>
        <v>341000</v>
      </c>
      <c r="AA344" s="31">
        <f t="shared" si="40"/>
        <v>151000</v>
      </c>
    </row>
    <row r="345" spans="1:27" ht="13">
      <c r="A345" s="9">
        <v>343</v>
      </c>
      <c r="B345" s="3" t="s">
        <v>1697</v>
      </c>
      <c r="C345" s="3"/>
      <c r="D345" s="5">
        <v>59.1</v>
      </c>
      <c r="E345" s="3">
        <v>300</v>
      </c>
      <c r="F345" s="3">
        <v>150</v>
      </c>
      <c r="G345" s="5">
        <v>8.8000000000000007</v>
      </c>
      <c r="H345" s="5">
        <v>8.8000000000000007</v>
      </c>
      <c r="I345" s="3">
        <v>7530</v>
      </c>
      <c r="J345" s="3">
        <v>87070000</v>
      </c>
      <c r="K345" s="3">
        <v>580000</v>
      </c>
      <c r="L345" s="3">
        <v>723000</v>
      </c>
      <c r="M345" s="3">
        <v>108</v>
      </c>
      <c r="N345" s="5">
        <f t="shared" si="36"/>
        <v>5020</v>
      </c>
      <c r="O345" s="3">
        <v>29250000</v>
      </c>
      <c r="P345" s="3">
        <v>390000</v>
      </c>
      <c r="Q345" s="3">
        <v>443000</v>
      </c>
      <c r="R345" s="5">
        <v>62.3</v>
      </c>
      <c r="T345" s="3">
        <v>70190000</v>
      </c>
      <c r="U345" s="4"/>
      <c r="V345" s="5">
        <f t="shared" si="37"/>
        <v>2510</v>
      </c>
      <c r="W345" s="8"/>
      <c r="X345" s="9" t="str">
        <f t="shared" si="41"/>
        <v>a</v>
      </c>
      <c r="Y345" s="9" t="str">
        <f t="shared" si="41"/>
        <v>a</v>
      </c>
      <c r="Z345" s="31">
        <f t="shared" si="39"/>
        <v>367641.47199999995</v>
      </c>
      <c r="AA345" s="31">
        <f t="shared" si="40"/>
        <v>224949.47199999998</v>
      </c>
    </row>
    <row r="346" spans="1:27" ht="13">
      <c r="A346" s="9">
        <v>344</v>
      </c>
      <c r="B346" s="3" t="s">
        <v>1698</v>
      </c>
      <c r="C346" s="3"/>
      <c r="D346" s="5">
        <v>59.3</v>
      </c>
      <c r="E346" s="3">
        <v>300</v>
      </c>
      <c r="F346" s="3">
        <v>250</v>
      </c>
      <c r="G346" s="5">
        <v>7.1</v>
      </c>
      <c r="H346" s="5">
        <v>7.1</v>
      </c>
      <c r="I346" s="3">
        <v>7550</v>
      </c>
      <c r="J346" s="3">
        <v>102520000</v>
      </c>
      <c r="K346" s="3">
        <v>683000</v>
      </c>
      <c r="L346" s="3">
        <v>802000</v>
      </c>
      <c r="M346" s="3">
        <v>116</v>
      </c>
      <c r="N346" s="5">
        <f t="shared" si="36"/>
        <v>4118.181818181818</v>
      </c>
      <c r="O346" s="3">
        <v>77490000</v>
      </c>
      <c r="P346" s="3">
        <v>620000</v>
      </c>
      <c r="Q346" s="3">
        <v>708000</v>
      </c>
      <c r="R346" s="5">
        <v>101</v>
      </c>
      <c r="T346" s="3">
        <v>135950000</v>
      </c>
      <c r="U346" s="4"/>
      <c r="V346" s="5">
        <f t="shared" si="37"/>
        <v>3431.818181818182</v>
      </c>
      <c r="W346" s="8"/>
      <c r="X346" s="9" t="str">
        <f t="shared" si="41"/>
        <v>a</v>
      </c>
      <c r="Y346" s="9" t="str">
        <f t="shared" si="41"/>
        <v>a</v>
      </c>
      <c r="Z346" s="31">
        <f t="shared" si="39"/>
        <v>404933.66099999996</v>
      </c>
      <c r="AA346" s="31">
        <f t="shared" si="40"/>
        <v>357381.41100000002</v>
      </c>
    </row>
    <row r="347" spans="1:27" ht="13">
      <c r="A347" s="9">
        <v>345</v>
      </c>
      <c r="B347" s="3" t="s">
        <v>1699</v>
      </c>
      <c r="C347" s="3"/>
      <c r="D347" s="5">
        <v>60.3</v>
      </c>
      <c r="E347" s="3">
        <v>300</v>
      </c>
      <c r="F347" s="3">
        <v>200</v>
      </c>
      <c r="G347" s="5">
        <v>8</v>
      </c>
      <c r="H347" s="5">
        <v>8</v>
      </c>
      <c r="I347" s="3">
        <v>7680</v>
      </c>
      <c r="J347" s="3">
        <v>97170000</v>
      </c>
      <c r="K347" s="3">
        <v>648000</v>
      </c>
      <c r="L347" s="3">
        <v>779000</v>
      </c>
      <c r="M347" s="3">
        <v>113</v>
      </c>
      <c r="N347" s="5">
        <f t="shared" si="36"/>
        <v>4608</v>
      </c>
      <c r="O347" s="3">
        <v>51840000</v>
      </c>
      <c r="P347" s="3">
        <v>518000</v>
      </c>
      <c r="Q347" s="3">
        <v>589000</v>
      </c>
      <c r="R347" s="5">
        <v>82.2</v>
      </c>
      <c r="T347" s="3">
        <v>105620000</v>
      </c>
      <c r="U347" s="4"/>
      <c r="V347" s="5">
        <f t="shared" si="37"/>
        <v>3072</v>
      </c>
      <c r="W347" s="8"/>
      <c r="X347" s="9" t="str">
        <f t="shared" si="41"/>
        <v>a</v>
      </c>
      <c r="Y347" s="9" t="str">
        <f t="shared" si="41"/>
        <v>a</v>
      </c>
      <c r="Z347" s="31">
        <f t="shared" si="39"/>
        <v>394912</v>
      </c>
      <c r="AA347" s="31">
        <f t="shared" si="40"/>
        <v>298112</v>
      </c>
    </row>
    <row r="348" spans="1:27" ht="13">
      <c r="A348" s="9">
        <v>346</v>
      </c>
      <c r="B348" s="3" t="s">
        <v>1700</v>
      </c>
      <c r="C348" s="3"/>
      <c r="D348" s="5">
        <v>64.900000000000006</v>
      </c>
      <c r="E348" s="3">
        <v>300</v>
      </c>
      <c r="F348" s="3">
        <v>300</v>
      </c>
      <c r="G348" s="5">
        <v>7.1</v>
      </c>
      <c r="H348" s="5">
        <v>7.1</v>
      </c>
      <c r="I348" s="3">
        <v>8260</v>
      </c>
      <c r="J348" s="3">
        <v>117750000</v>
      </c>
      <c r="K348" s="3">
        <v>785000</v>
      </c>
      <c r="L348" s="3">
        <v>906000</v>
      </c>
      <c r="M348" s="3">
        <v>119</v>
      </c>
      <c r="N348" s="5">
        <f t="shared" si="36"/>
        <v>4130</v>
      </c>
      <c r="O348" s="3">
        <v>117750000</v>
      </c>
      <c r="P348" s="3">
        <v>785000</v>
      </c>
      <c r="Q348" s="3">
        <v>906000</v>
      </c>
      <c r="R348" s="5">
        <v>119</v>
      </c>
      <c r="T348" s="3">
        <v>180610000</v>
      </c>
      <c r="U348" s="4"/>
      <c r="V348" s="5">
        <f t="shared" si="37"/>
        <v>4130</v>
      </c>
      <c r="W348" s="8"/>
      <c r="X348" s="9" t="str">
        <f t="shared" si="41"/>
        <v>a</v>
      </c>
      <c r="Y348" s="9" t="str">
        <f t="shared" si="41"/>
        <v>a</v>
      </c>
      <c r="Z348" s="31">
        <f t="shared" si="39"/>
        <v>456923.41099999996</v>
      </c>
      <c r="AA348" s="31">
        <f t="shared" si="40"/>
        <v>456923.41099999996</v>
      </c>
    </row>
    <row r="349" spans="1:27" ht="13">
      <c r="A349" s="9">
        <v>347</v>
      </c>
      <c r="B349" s="3" t="s">
        <v>1701</v>
      </c>
      <c r="C349" s="3"/>
      <c r="D349" s="5">
        <v>66</v>
      </c>
      <c r="E349" s="3">
        <v>300</v>
      </c>
      <c r="F349" s="3">
        <v>200</v>
      </c>
      <c r="G349" s="5">
        <v>8.8000000000000007</v>
      </c>
      <c r="H349" s="5">
        <v>8.8000000000000007</v>
      </c>
      <c r="I349" s="3">
        <v>8410</v>
      </c>
      <c r="J349" s="3">
        <v>105730000</v>
      </c>
      <c r="K349" s="3">
        <v>705000</v>
      </c>
      <c r="L349" s="3">
        <v>851000</v>
      </c>
      <c r="M349" s="3">
        <v>112</v>
      </c>
      <c r="N349" s="5">
        <f t="shared" si="36"/>
        <v>5046</v>
      </c>
      <c r="O349" s="3">
        <v>56310000</v>
      </c>
      <c r="P349" s="3">
        <v>563000</v>
      </c>
      <c r="Q349" s="3">
        <v>643000</v>
      </c>
      <c r="R349" s="5">
        <v>81.8</v>
      </c>
      <c r="T349" s="3">
        <v>115140000</v>
      </c>
      <c r="U349" s="4"/>
      <c r="V349" s="5">
        <f t="shared" si="37"/>
        <v>3364</v>
      </c>
      <c r="W349" s="8"/>
      <c r="X349" s="9" t="str">
        <f t="shared" si="41"/>
        <v>a</v>
      </c>
      <c r="Y349" s="9" t="str">
        <f t="shared" si="41"/>
        <v>a</v>
      </c>
      <c r="Z349" s="31">
        <f t="shared" si="39"/>
        <v>431705.47200000001</v>
      </c>
      <c r="AA349" s="31">
        <f t="shared" si="40"/>
        <v>325577.47199999995</v>
      </c>
    </row>
    <row r="350" spans="1:27" ht="13">
      <c r="A350" s="9">
        <v>348</v>
      </c>
      <c r="B350" s="3" t="s">
        <v>1702</v>
      </c>
      <c r="C350" s="3"/>
      <c r="D350" s="5">
        <v>66.5</v>
      </c>
      <c r="E350" s="3">
        <v>300</v>
      </c>
      <c r="F350" s="3">
        <v>250</v>
      </c>
      <c r="G350" s="5">
        <v>8</v>
      </c>
      <c r="H350" s="5">
        <v>8</v>
      </c>
      <c r="I350" s="3">
        <v>8480</v>
      </c>
      <c r="J350" s="3">
        <v>114220000</v>
      </c>
      <c r="K350" s="3">
        <v>761000</v>
      </c>
      <c r="L350" s="3">
        <v>896000</v>
      </c>
      <c r="M350" s="3">
        <v>116</v>
      </c>
      <c r="N350" s="5">
        <f t="shared" si="36"/>
        <v>4625.454545454545</v>
      </c>
      <c r="O350" s="3">
        <v>86270000</v>
      </c>
      <c r="P350" s="3">
        <v>690000</v>
      </c>
      <c r="Q350" s="3">
        <v>791000</v>
      </c>
      <c r="R350" s="5">
        <v>101</v>
      </c>
      <c r="T350" s="3">
        <v>151870000</v>
      </c>
      <c r="U350" s="4"/>
      <c r="V350" s="5">
        <f t="shared" si="37"/>
        <v>3854.5454545454545</v>
      </c>
      <c r="W350" s="8"/>
      <c r="X350" s="9" t="str">
        <f t="shared" si="41"/>
        <v>a</v>
      </c>
      <c r="Y350" s="9" t="str">
        <f t="shared" si="41"/>
        <v>a</v>
      </c>
      <c r="Z350" s="31">
        <f t="shared" si="39"/>
        <v>453312</v>
      </c>
      <c r="AA350" s="31">
        <f t="shared" si="40"/>
        <v>399912</v>
      </c>
    </row>
    <row r="351" spans="1:27" ht="13">
      <c r="A351" s="9">
        <v>349</v>
      </c>
      <c r="B351" s="3" t="s">
        <v>1703</v>
      </c>
      <c r="C351" s="3"/>
      <c r="D351" s="5">
        <v>66.7</v>
      </c>
      <c r="E351" s="3">
        <v>300</v>
      </c>
      <c r="F351" s="3">
        <v>150</v>
      </c>
      <c r="G351" s="5">
        <v>10</v>
      </c>
      <c r="H351" s="5">
        <v>10</v>
      </c>
      <c r="I351" s="3">
        <v>8490</v>
      </c>
      <c r="J351" s="3">
        <v>97160000</v>
      </c>
      <c r="K351" s="3">
        <v>648000</v>
      </c>
      <c r="L351" s="3">
        <v>811000</v>
      </c>
      <c r="M351" s="3">
        <v>107</v>
      </c>
      <c r="N351" s="5">
        <f t="shared" si="36"/>
        <v>5660</v>
      </c>
      <c r="O351" s="3">
        <v>32460000</v>
      </c>
      <c r="P351" s="3">
        <v>433000</v>
      </c>
      <c r="Q351" s="3">
        <v>496000</v>
      </c>
      <c r="R351" s="5">
        <v>61.8</v>
      </c>
      <c r="T351" s="3">
        <v>78390000</v>
      </c>
      <c r="U351" s="4"/>
      <c r="V351" s="5">
        <f t="shared" si="37"/>
        <v>2830</v>
      </c>
      <c r="W351" s="8"/>
      <c r="X351" s="9" t="str">
        <f t="shared" si="41"/>
        <v>a</v>
      </c>
      <c r="Y351" s="9" t="str">
        <f t="shared" si="41"/>
        <v>a</v>
      </c>
      <c r="Z351" s="31">
        <f t="shared" si="39"/>
        <v>413500</v>
      </c>
      <c r="AA351" s="31">
        <f t="shared" si="40"/>
        <v>252250</v>
      </c>
    </row>
    <row r="352" spans="1:27" ht="13">
      <c r="A352" s="9">
        <v>350</v>
      </c>
      <c r="B352" s="3" t="s">
        <v>1704</v>
      </c>
      <c r="C352" s="3"/>
      <c r="D352" s="5">
        <v>72.3</v>
      </c>
      <c r="E352" s="3">
        <v>300</v>
      </c>
      <c r="F352" s="3">
        <v>100</v>
      </c>
      <c r="G352" s="5">
        <v>12.5</v>
      </c>
      <c r="H352" s="5">
        <v>12.5</v>
      </c>
      <c r="I352" s="3">
        <v>9210</v>
      </c>
      <c r="J352" s="3">
        <v>91030000</v>
      </c>
      <c r="K352" s="3">
        <v>607000</v>
      </c>
      <c r="L352" s="3">
        <v>806000</v>
      </c>
      <c r="M352" s="3">
        <v>99.4</v>
      </c>
      <c r="N352" s="5">
        <f t="shared" si="36"/>
        <v>6907.5</v>
      </c>
      <c r="O352" s="3">
        <v>14860000</v>
      </c>
      <c r="P352" s="3">
        <v>297000</v>
      </c>
      <c r="Q352" s="3">
        <v>354000</v>
      </c>
      <c r="R352" s="5">
        <v>40.200000000000003</v>
      </c>
      <c r="T352" s="3">
        <v>43500000</v>
      </c>
      <c r="U352" s="4"/>
      <c r="V352" s="5">
        <f t="shared" si="37"/>
        <v>2302.5</v>
      </c>
      <c r="W352" s="8"/>
      <c r="X352" s="9" t="str">
        <f t="shared" si="41"/>
        <v>a</v>
      </c>
      <c r="Y352" s="9" t="str">
        <f t="shared" si="41"/>
        <v>a</v>
      </c>
      <c r="Z352" s="31">
        <f t="shared" si="39"/>
        <v>416015.625</v>
      </c>
      <c r="AA352" s="31">
        <f t="shared" si="40"/>
        <v>181640.625</v>
      </c>
    </row>
    <row r="353" spans="1:27" ht="13">
      <c r="A353" s="9">
        <v>351</v>
      </c>
      <c r="B353" s="3" t="s">
        <v>1705</v>
      </c>
      <c r="C353" s="3"/>
      <c r="D353" s="5">
        <v>72.8</v>
      </c>
      <c r="E353" s="3">
        <v>300</v>
      </c>
      <c r="F353" s="3">
        <v>300</v>
      </c>
      <c r="G353" s="5">
        <v>8</v>
      </c>
      <c r="H353" s="5">
        <v>8</v>
      </c>
      <c r="I353" s="3">
        <v>9280</v>
      </c>
      <c r="J353" s="3">
        <v>131280000</v>
      </c>
      <c r="K353" s="3">
        <v>875000</v>
      </c>
      <c r="L353" s="3">
        <v>1013000</v>
      </c>
      <c r="M353" s="3">
        <v>119</v>
      </c>
      <c r="N353" s="5">
        <f t="shared" si="36"/>
        <v>4640</v>
      </c>
      <c r="O353" s="3">
        <v>131280000</v>
      </c>
      <c r="P353" s="3">
        <v>875000</v>
      </c>
      <c r="Q353" s="3">
        <v>1013000</v>
      </c>
      <c r="R353" s="5">
        <v>119</v>
      </c>
      <c r="T353" s="3">
        <v>201940000</v>
      </c>
      <c r="U353" s="4"/>
      <c r="V353" s="5">
        <f t="shared" si="37"/>
        <v>4640</v>
      </c>
      <c r="W353" s="8"/>
      <c r="X353" s="9" t="str">
        <f t="shared" si="41"/>
        <v>a</v>
      </c>
      <c r="Y353" s="9" t="str">
        <f t="shared" si="41"/>
        <v>a</v>
      </c>
      <c r="Z353" s="31">
        <f t="shared" si="39"/>
        <v>511712</v>
      </c>
      <c r="AA353" s="31">
        <f t="shared" si="40"/>
        <v>511712</v>
      </c>
    </row>
    <row r="354" spans="1:27" ht="13">
      <c r="A354" s="9">
        <v>352</v>
      </c>
      <c r="B354" s="3" t="s">
        <v>1706</v>
      </c>
      <c r="C354" s="3"/>
      <c r="D354" s="5">
        <v>72.900000000000006</v>
      </c>
      <c r="E354" s="3">
        <v>300</v>
      </c>
      <c r="F354" s="3">
        <v>250</v>
      </c>
      <c r="G354" s="5">
        <v>8.8000000000000007</v>
      </c>
      <c r="H354" s="5">
        <v>8.8000000000000007</v>
      </c>
      <c r="I354" s="3">
        <v>9290</v>
      </c>
      <c r="J354" s="3">
        <v>124390000</v>
      </c>
      <c r="K354" s="3">
        <v>829000</v>
      </c>
      <c r="L354" s="3">
        <v>979000</v>
      </c>
      <c r="M354" s="3">
        <v>116</v>
      </c>
      <c r="N354" s="5">
        <f t="shared" si="36"/>
        <v>5067.272727272727</v>
      </c>
      <c r="O354" s="3">
        <v>93880000</v>
      </c>
      <c r="P354" s="3">
        <v>751000</v>
      </c>
      <c r="Q354" s="3">
        <v>864000</v>
      </c>
      <c r="R354" s="5">
        <v>101</v>
      </c>
      <c r="T354" s="3">
        <v>165780000</v>
      </c>
      <c r="U354" s="4"/>
      <c r="V354" s="5">
        <f t="shared" si="37"/>
        <v>4222.727272727273</v>
      </c>
      <c r="W354" s="8"/>
      <c r="X354" s="9" t="str">
        <f t="shared" si="41"/>
        <v>a</v>
      </c>
      <c r="Y354" s="9" t="str">
        <f t="shared" si="41"/>
        <v>a</v>
      </c>
      <c r="Z354" s="31">
        <f t="shared" si="39"/>
        <v>495769.47199999995</v>
      </c>
      <c r="AA354" s="31">
        <f t="shared" si="40"/>
        <v>437205.47200000001</v>
      </c>
    </row>
    <row r="355" spans="1:27" ht="13">
      <c r="A355" s="9">
        <v>353</v>
      </c>
      <c r="B355" s="3" t="s">
        <v>1707</v>
      </c>
      <c r="C355" s="3"/>
      <c r="D355" s="5">
        <v>74.5</v>
      </c>
      <c r="E355" s="3">
        <v>300</v>
      </c>
      <c r="F355" s="3">
        <v>200</v>
      </c>
      <c r="G355" s="5">
        <v>10</v>
      </c>
      <c r="H355" s="5">
        <v>10</v>
      </c>
      <c r="I355" s="3">
        <v>9490</v>
      </c>
      <c r="J355" s="3">
        <v>118190000</v>
      </c>
      <c r="K355" s="3">
        <v>788000</v>
      </c>
      <c r="L355" s="3">
        <v>956000</v>
      </c>
      <c r="M355" s="3">
        <v>112</v>
      </c>
      <c r="N355" s="5">
        <f t="shared" si="36"/>
        <v>5694</v>
      </c>
      <c r="O355" s="3">
        <v>62780000</v>
      </c>
      <c r="P355" s="3">
        <v>628000</v>
      </c>
      <c r="Q355" s="3">
        <v>721000</v>
      </c>
      <c r="R355" s="5">
        <v>81.3</v>
      </c>
      <c r="T355" s="3">
        <v>129080000</v>
      </c>
      <c r="U355" s="4"/>
      <c r="V355" s="5">
        <f t="shared" si="37"/>
        <v>3796</v>
      </c>
      <c r="W355" s="8"/>
      <c r="X355" s="9" t="str">
        <f t="shared" si="41"/>
        <v>a</v>
      </c>
      <c r="Y355" s="9" t="str">
        <f t="shared" si="41"/>
        <v>a</v>
      </c>
      <c r="Z355" s="31">
        <f t="shared" si="39"/>
        <v>486000</v>
      </c>
      <c r="AA355" s="31">
        <f t="shared" si="40"/>
        <v>366000</v>
      </c>
    </row>
    <row r="356" spans="1:27" ht="13">
      <c r="A356" s="9">
        <v>354</v>
      </c>
      <c r="B356" s="3" t="s">
        <v>1708</v>
      </c>
      <c r="C356" s="3"/>
      <c r="D356" s="5">
        <v>74.5</v>
      </c>
      <c r="E356" s="3">
        <v>300</v>
      </c>
      <c r="F356" s="3">
        <v>200</v>
      </c>
      <c r="G356" s="5">
        <v>10</v>
      </c>
      <c r="H356" s="5">
        <v>10</v>
      </c>
      <c r="I356" s="3">
        <v>9490</v>
      </c>
      <c r="J356" s="3">
        <v>118200000</v>
      </c>
      <c r="K356" s="3">
        <v>788000</v>
      </c>
      <c r="L356" s="3">
        <v>956000</v>
      </c>
      <c r="M356" s="3">
        <v>112</v>
      </c>
      <c r="N356" s="5">
        <f t="shared" si="36"/>
        <v>5694</v>
      </c>
      <c r="O356" s="3">
        <v>62780000</v>
      </c>
      <c r="P356" s="3">
        <v>628000</v>
      </c>
      <c r="Q356" s="3">
        <v>721000</v>
      </c>
      <c r="R356" s="5">
        <v>81.3</v>
      </c>
      <c r="T356" s="3">
        <v>129100000</v>
      </c>
      <c r="U356" s="4"/>
      <c r="V356" s="5">
        <f t="shared" si="37"/>
        <v>3796</v>
      </c>
      <c r="W356" s="8"/>
      <c r="X356" s="9" t="str">
        <f t="shared" si="41"/>
        <v>a</v>
      </c>
      <c r="Y356" s="9" t="str">
        <f t="shared" si="41"/>
        <v>a</v>
      </c>
      <c r="Z356" s="31">
        <f t="shared" si="39"/>
        <v>486000</v>
      </c>
      <c r="AA356" s="31">
        <f t="shared" si="40"/>
        <v>366000</v>
      </c>
    </row>
    <row r="357" spans="1:27" ht="13">
      <c r="A357" s="9">
        <v>355</v>
      </c>
      <c r="B357" s="3" t="s">
        <v>1709</v>
      </c>
      <c r="C357" s="3"/>
      <c r="D357" s="5">
        <v>79.8</v>
      </c>
      <c r="E357" s="3">
        <v>300</v>
      </c>
      <c r="F357" s="3">
        <v>300</v>
      </c>
      <c r="G357" s="5">
        <v>8.8000000000000007</v>
      </c>
      <c r="H357" s="5">
        <v>8.8000000000000007</v>
      </c>
      <c r="I357" s="3">
        <v>10200</v>
      </c>
      <c r="J357" s="3">
        <v>143050000</v>
      </c>
      <c r="K357" s="3">
        <v>954000</v>
      </c>
      <c r="L357" s="3">
        <v>1107000</v>
      </c>
      <c r="M357" s="3">
        <v>119</v>
      </c>
      <c r="N357" s="5">
        <f t="shared" si="36"/>
        <v>5100</v>
      </c>
      <c r="O357" s="3">
        <v>143050000</v>
      </c>
      <c r="P357" s="3">
        <v>954000</v>
      </c>
      <c r="Q357" s="3">
        <v>1107000</v>
      </c>
      <c r="R357" s="5">
        <v>119</v>
      </c>
      <c r="T357" s="3">
        <v>220600000</v>
      </c>
      <c r="U357" s="4"/>
      <c r="V357" s="5">
        <f t="shared" si="37"/>
        <v>5100</v>
      </c>
      <c r="W357" s="8"/>
      <c r="X357" s="9" t="str">
        <f t="shared" si="41"/>
        <v>a</v>
      </c>
      <c r="Y357" s="9" t="str">
        <f t="shared" si="41"/>
        <v>a</v>
      </c>
      <c r="Z357" s="31">
        <f t="shared" si="39"/>
        <v>559833.47199999995</v>
      </c>
      <c r="AA357" s="31">
        <f t="shared" si="40"/>
        <v>559833.47199999995</v>
      </c>
    </row>
    <row r="358" spans="1:27" ht="13">
      <c r="A358" s="9">
        <v>356</v>
      </c>
      <c r="B358" s="3" t="s">
        <v>1710</v>
      </c>
      <c r="C358" s="3"/>
      <c r="D358" s="5">
        <v>81.099999999999994</v>
      </c>
      <c r="E358" s="3">
        <v>300</v>
      </c>
      <c r="F358" s="3">
        <v>100</v>
      </c>
      <c r="G358" s="5">
        <v>14.2</v>
      </c>
      <c r="H358" s="5">
        <v>14.2</v>
      </c>
      <c r="I358" s="3">
        <v>10300</v>
      </c>
      <c r="J358" s="3">
        <v>100280000</v>
      </c>
      <c r="K358" s="3">
        <v>669000</v>
      </c>
      <c r="L358" s="3">
        <v>896000</v>
      </c>
      <c r="M358" s="3">
        <v>98.5</v>
      </c>
      <c r="N358" s="5">
        <f t="shared" si="36"/>
        <v>7725</v>
      </c>
      <c r="O358" s="3">
        <v>16070000</v>
      </c>
      <c r="P358" s="3">
        <v>321000</v>
      </c>
      <c r="Q358" s="3">
        <v>390000</v>
      </c>
      <c r="R358" s="5">
        <v>39.4</v>
      </c>
      <c r="T358" s="3">
        <v>47550000</v>
      </c>
      <c r="U358" s="4"/>
      <c r="V358" s="5">
        <f t="shared" si="37"/>
        <v>2575</v>
      </c>
      <c r="W358" s="8"/>
      <c r="X358" s="9" t="str">
        <f t="shared" si="41"/>
        <v>a</v>
      </c>
      <c r="Y358" s="9" t="str">
        <f t="shared" si="41"/>
        <v>a</v>
      </c>
      <c r="Z358" s="31">
        <f t="shared" si="39"/>
        <v>464789.28800000006</v>
      </c>
      <c r="AA358" s="31">
        <f t="shared" si="40"/>
        <v>200953.288</v>
      </c>
    </row>
    <row r="359" spans="1:27" ht="13">
      <c r="A359" s="9">
        <v>357</v>
      </c>
      <c r="B359" s="3" t="s">
        <v>1711</v>
      </c>
      <c r="C359" s="3"/>
      <c r="D359" s="5">
        <v>82.1</v>
      </c>
      <c r="E359" s="3">
        <v>300</v>
      </c>
      <c r="F359" s="3">
        <v>150</v>
      </c>
      <c r="G359" s="5">
        <v>12.5</v>
      </c>
      <c r="H359" s="5">
        <v>12.5</v>
      </c>
      <c r="I359" s="3">
        <v>10500</v>
      </c>
      <c r="J359" s="3">
        <v>116880000</v>
      </c>
      <c r="K359" s="3">
        <v>779000</v>
      </c>
      <c r="L359" s="3">
        <v>986000</v>
      </c>
      <c r="M359" s="3">
        <v>106</v>
      </c>
      <c r="N359" s="5">
        <f t="shared" si="36"/>
        <v>7000</v>
      </c>
      <c r="O359" s="3">
        <v>38580000</v>
      </c>
      <c r="P359" s="3">
        <v>514000</v>
      </c>
      <c r="Q359" s="3">
        <v>600000</v>
      </c>
      <c r="R359" s="5">
        <v>60.7</v>
      </c>
      <c r="T359" s="3">
        <v>94450000</v>
      </c>
      <c r="U359" s="4"/>
      <c r="V359" s="5">
        <f t="shared" si="37"/>
        <v>3500</v>
      </c>
      <c r="W359" s="8"/>
      <c r="X359" s="9" t="str">
        <f t="shared" si="41"/>
        <v>a</v>
      </c>
      <c r="Y359" s="9" t="str">
        <f t="shared" si="41"/>
        <v>a</v>
      </c>
      <c r="Z359" s="31">
        <f t="shared" si="39"/>
        <v>505859.375</v>
      </c>
      <c r="AA359" s="31">
        <f t="shared" si="40"/>
        <v>306640.625</v>
      </c>
    </row>
    <row r="360" spans="1:27" ht="13">
      <c r="A360" s="9">
        <v>358</v>
      </c>
      <c r="B360" s="3" t="s">
        <v>1712</v>
      </c>
      <c r="C360" s="3"/>
      <c r="D360" s="5">
        <v>82.4</v>
      </c>
      <c r="E360" s="3">
        <v>300</v>
      </c>
      <c r="F360" s="3">
        <v>250</v>
      </c>
      <c r="G360" s="5">
        <v>10</v>
      </c>
      <c r="H360" s="5">
        <v>10</v>
      </c>
      <c r="I360" s="3">
        <v>10500</v>
      </c>
      <c r="J360" s="3">
        <v>139230000</v>
      </c>
      <c r="K360" s="3">
        <v>928000</v>
      </c>
      <c r="L360" s="3">
        <v>1101000</v>
      </c>
      <c r="M360" s="3">
        <v>115</v>
      </c>
      <c r="N360" s="5">
        <f t="shared" si="36"/>
        <v>5727.272727272727</v>
      </c>
      <c r="O360" s="3">
        <v>104960000</v>
      </c>
      <c r="P360" s="3">
        <v>840000</v>
      </c>
      <c r="Q360" s="3">
        <v>971000</v>
      </c>
      <c r="R360" s="5">
        <v>100</v>
      </c>
      <c r="T360" s="3">
        <v>186200000</v>
      </c>
      <c r="U360" s="4"/>
      <c r="V360" s="5">
        <f t="shared" si="37"/>
        <v>4772.727272727273</v>
      </c>
      <c r="W360" s="8"/>
      <c r="X360" s="9" t="str">
        <f t="shared" si="41"/>
        <v>a</v>
      </c>
      <c r="Y360" s="9" t="str">
        <f t="shared" si="41"/>
        <v>a</v>
      </c>
      <c r="Z360" s="31">
        <f t="shared" si="39"/>
        <v>558500</v>
      </c>
      <c r="AA360" s="31">
        <f t="shared" si="40"/>
        <v>492250</v>
      </c>
    </row>
    <row r="361" spans="1:27" ht="13">
      <c r="A361" s="9">
        <v>359</v>
      </c>
      <c r="B361" s="3" t="s">
        <v>1713</v>
      </c>
      <c r="C361" s="3"/>
      <c r="D361" s="5">
        <v>90.2</v>
      </c>
      <c r="E361" s="3">
        <v>300</v>
      </c>
      <c r="F361" s="3">
        <v>300</v>
      </c>
      <c r="G361" s="5">
        <v>10</v>
      </c>
      <c r="H361" s="5">
        <v>10</v>
      </c>
      <c r="I361" s="3">
        <v>11500</v>
      </c>
      <c r="J361" s="3">
        <v>160260000</v>
      </c>
      <c r="K361" s="3">
        <v>1068000</v>
      </c>
      <c r="L361" s="3">
        <v>1246000</v>
      </c>
      <c r="M361" s="3">
        <v>118</v>
      </c>
      <c r="N361" s="5">
        <f t="shared" si="36"/>
        <v>5750</v>
      </c>
      <c r="O361" s="3">
        <v>160260000</v>
      </c>
      <c r="P361" s="3">
        <v>1068000</v>
      </c>
      <c r="Q361" s="3">
        <v>1246000</v>
      </c>
      <c r="R361" s="5">
        <v>118</v>
      </c>
      <c r="T361" s="3">
        <v>248070000</v>
      </c>
      <c r="U361" s="4"/>
      <c r="V361" s="5">
        <f t="shared" si="37"/>
        <v>5750</v>
      </c>
      <c r="W361" s="8"/>
      <c r="X361" s="9" t="str">
        <f t="shared" si="41"/>
        <v>a</v>
      </c>
      <c r="Y361" s="9" t="str">
        <f t="shared" si="41"/>
        <v>a</v>
      </c>
      <c r="Z361" s="31">
        <f t="shared" si="39"/>
        <v>631000</v>
      </c>
      <c r="AA361" s="31">
        <f t="shared" si="40"/>
        <v>631000</v>
      </c>
    </row>
    <row r="362" spans="1:27" ht="13">
      <c r="A362" s="9">
        <v>360</v>
      </c>
      <c r="B362" s="3" t="s">
        <v>1714</v>
      </c>
      <c r="C362" s="3"/>
      <c r="D362" s="5">
        <v>90.3</v>
      </c>
      <c r="E362" s="3">
        <v>300</v>
      </c>
      <c r="F362" s="3">
        <v>100</v>
      </c>
      <c r="G362" s="5">
        <v>16</v>
      </c>
      <c r="H362" s="5">
        <v>16</v>
      </c>
      <c r="I362" s="3">
        <v>11500</v>
      </c>
      <c r="J362" s="3">
        <v>109310000</v>
      </c>
      <c r="K362" s="3">
        <v>729000</v>
      </c>
      <c r="L362" s="3">
        <v>986000</v>
      </c>
      <c r="M362" s="3">
        <v>97.5</v>
      </c>
      <c r="N362" s="5">
        <f t="shared" si="36"/>
        <v>8625</v>
      </c>
      <c r="O362" s="3">
        <v>17190000</v>
      </c>
      <c r="P362" s="3">
        <v>344000</v>
      </c>
      <c r="Q362" s="3">
        <v>425000</v>
      </c>
      <c r="R362" s="5">
        <v>38.700000000000003</v>
      </c>
      <c r="T362" s="3">
        <v>51380000</v>
      </c>
      <c r="U362" s="4"/>
      <c r="V362" s="5">
        <f t="shared" si="37"/>
        <v>2875</v>
      </c>
      <c r="W362" s="8"/>
      <c r="X362" s="9" t="str">
        <f t="shared" si="41"/>
        <v>a</v>
      </c>
      <c r="Y362" s="9" t="str">
        <f t="shared" si="41"/>
        <v>a</v>
      </c>
      <c r="Z362" s="31">
        <f t="shared" si="39"/>
        <v>514496</v>
      </c>
      <c r="AA362" s="31">
        <f t="shared" si="40"/>
        <v>220096</v>
      </c>
    </row>
    <row r="363" spans="1:27" ht="13">
      <c r="A363" s="9">
        <v>361</v>
      </c>
      <c r="B363" s="3" t="s">
        <v>1715</v>
      </c>
      <c r="C363" s="3"/>
      <c r="D363" s="5">
        <v>91.9</v>
      </c>
      <c r="E363" s="3">
        <v>300</v>
      </c>
      <c r="F363" s="3">
        <v>200</v>
      </c>
      <c r="G363" s="5">
        <v>12.5</v>
      </c>
      <c r="H363" s="5">
        <v>12.5</v>
      </c>
      <c r="I363" s="3">
        <v>11700</v>
      </c>
      <c r="J363" s="3">
        <v>142700000</v>
      </c>
      <c r="K363" s="3">
        <v>952000</v>
      </c>
      <c r="L363" s="3">
        <v>1165000</v>
      </c>
      <c r="M363" s="3">
        <v>110</v>
      </c>
      <c r="N363" s="5">
        <f t="shared" si="36"/>
        <v>7020</v>
      </c>
      <c r="O363" s="3">
        <v>75370000</v>
      </c>
      <c r="P363" s="3">
        <v>754000</v>
      </c>
      <c r="Q363" s="3">
        <v>877000</v>
      </c>
      <c r="R363" s="5">
        <v>80.2</v>
      </c>
      <c r="T363" s="3">
        <v>156800000</v>
      </c>
      <c r="U363" s="4"/>
      <c r="V363" s="5">
        <f t="shared" si="37"/>
        <v>4680</v>
      </c>
      <c r="W363" s="8"/>
      <c r="X363" s="9" t="str">
        <f t="shared" ref="X363:Y382" si="42">IF(fy=460,"a0","a")</f>
        <v>a</v>
      </c>
      <c r="Y363" s="9" t="str">
        <f t="shared" si="42"/>
        <v>a</v>
      </c>
      <c r="Z363" s="31">
        <f t="shared" si="39"/>
        <v>595703.125</v>
      </c>
      <c r="AA363" s="31">
        <f t="shared" si="40"/>
        <v>447265.625</v>
      </c>
    </row>
    <row r="364" spans="1:27" ht="13">
      <c r="A364" s="9">
        <v>362</v>
      </c>
      <c r="B364" s="3" t="s">
        <v>1716</v>
      </c>
      <c r="C364" s="3"/>
      <c r="D364" s="5">
        <v>92.3</v>
      </c>
      <c r="E364" s="3">
        <v>300</v>
      </c>
      <c r="F364" s="3">
        <v>150</v>
      </c>
      <c r="G364" s="5">
        <v>14.2</v>
      </c>
      <c r="H364" s="5">
        <v>14.2</v>
      </c>
      <c r="I364" s="3">
        <v>11800</v>
      </c>
      <c r="J364" s="3">
        <v>129300000</v>
      </c>
      <c r="K364" s="3">
        <v>862000</v>
      </c>
      <c r="L364" s="3">
        <v>1099000</v>
      </c>
      <c r="M364" s="3">
        <v>105</v>
      </c>
      <c r="N364" s="5">
        <f t="shared" si="36"/>
        <v>7866.666666666667</v>
      </c>
      <c r="O364" s="3">
        <v>42330000</v>
      </c>
      <c r="P364" s="3">
        <v>564000</v>
      </c>
      <c r="Q364" s="3">
        <v>666000</v>
      </c>
      <c r="R364" s="5">
        <v>60</v>
      </c>
      <c r="T364" s="3">
        <v>104590000</v>
      </c>
      <c r="U364" s="4"/>
      <c r="V364" s="5">
        <f t="shared" si="37"/>
        <v>3933.3333333333335</v>
      </c>
      <c r="W364" s="8"/>
      <c r="X364" s="9" t="str">
        <f t="shared" si="42"/>
        <v>a</v>
      </c>
      <c r="Y364" s="9" t="str">
        <f t="shared" si="42"/>
        <v>a</v>
      </c>
      <c r="Z364" s="31">
        <f t="shared" si="39"/>
        <v>566248.28800000006</v>
      </c>
      <c r="AA364" s="31">
        <f t="shared" si="40"/>
        <v>341746.288</v>
      </c>
    </row>
    <row r="365" spans="1:27" ht="13">
      <c r="A365" s="9">
        <v>363</v>
      </c>
      <c r="B365" s="3" t="s">
        <v>1717</v>
      </c>
      <c r="C365" s="3"/>
      <c r="D365" s="5">
        <v>102</v>
      </c>
      <c r="E365" s="3">
        <v>300</v>
      </c>
      <c r="F365" s="3">
        <v>250</v>
      </c>
      <c r="G365" s="5">
        <v>12.5</v>
      </c>
      <c r="H365" s="5">
        <v>12.5</v>
      </c>
      <c r="I365" s="3">
        <v>13000</v>
      </c>
      <c r="J365" s="3">
        <v>168570000</v>
      </c>
      <c r="K365" s="3">
        <v>1124000</v>
      </c>
      <c r="L365" s="3">
        <v>1345000</v>
      </c>
      <c r="M365" s="3">
        <v>114</v>
      </c>
      <c r="N365" s="5">
        <f t="shared" si="36"/>
        <v>7090.909090909091</v>
      </c>
      <c r="O365" s="3">
        <v>126800000</v>
      </c>
      <c r="P365" s="3">
        <v>1014000</v>
      </c>
      <c r="Q365" s="3">
        <v>1185000</v>
      </c>
      <c r="R365" s="5">
        <v>98.9</v>
      </c>
      <c r="T365" s="3">
        <v>227110000</v>
      </c>
      <c r="U365" s="4"/>
      <c r="V365" s="5">
        <f t="shared" si="37"/>
        <v>5909.090909090909</v>
      </c>
      <c r="W365" s="8"/>
      <c r="X365" s="9" t="str">
        <f t="shared" si="42"/>
        <v>a</v>
      </c>
      <c r="Y365" s="9" t="str">
        <f t="shared" si="42"/>
        <v>a</v>
      </c>
      <c r="Z365" s="31">
        <f t="shared" si="39"/>
        <v>685546.875</v>
      </c>
      <c r="AA365" s="31">
        <f t="shared" si="40"/>
        <v>603515.625</v>
      </c>
    </row>
    <row r="366" spans="1:27" ht="13">
      <c r="A366" s="9">
        <v>364</v>
      </c>
      <c r="B366" s="3" t="s">
        <v>1718</v>
      </c>
      <c r="C366" s="3"/>
      <c r="D366" s="5">
        <v>103</v>
      </c>
      <c r="E366" s="3">
        <v>300</v>
      </c>
      <c r="F366" s="3">
        <v>150</v>
      </c>
      <c r="G366" s="5">
        <v>16</v>
      </c>
      <c r="H366" s="5">
        <v>16</v>
      </c>
      <c r="I366" s="3">
        <v>13100</v>
      </c>
      <c r="J366" s="3">
        <v>141610000</v>
      </c>
      <c r="K366" s="3">
        <v>944000</v>
      </c>
      <c r="L366" s="3">
        <v>1213000</v>
      </c>
      <c r="M366" s="3">
        <v>104</v>
      </c>
      <c r="N366" s="5">
        <f t="shared" si="36"/>
        <v>8733.3333333333339</v>
      </c>
      <c r="O366" s="3">
        <v>45950000</v>
      </c>
      <c r="P366" s="3">
        <v>613000</v>
      </c>
      <c r="Q366" s="3">
        <v>732000</v>
      </c>
      <c r="R366" s="5">
        <v>59.2</v>
      </c>
      <c r="T366" s="3">
        <v>114640000</v>
      </c>
      <c r="U366" s="4"/>
      <c r="V366" s="5">
        <f t="shared" si="37"/>
        <v>4366.666666666667</v>
      </c>
      <c r="W366" s="8"/>
      <c r="X366" s="9" t="str">
        <f t="shared" si="42"/>
        <v>a</v>
      </c>
      <c r="Y366" s="9" t="str">
        <f t="shared" si="42"/>
        <v>a</v>
      </c>
      <c r="Z366" s="31">
        <f t="shared" si="39"/>
        <v>628096</v>
      </c>
      <c r="AA366" s="31">
        <f t="shared" si="40"/>
        <v>377296</v>
      </c>
    </row>
    <row r="367" spans="1:27" ht="13">
      <c r="A367" s="9">
        <v>365</v>
      </c>
      <c r="B367" s="3" t="s">
        <v>1719</v>
      </c>
      <c r="C367" s="3"/>
      <c r="D367" s="5">
        <v>103</v>
      </c>
      <c r="E367" s="3">
        <v>300</v>
      </c>
      <c r="F367" s="3">
        <v>200</v>
      </c>
      <c r="G367" s="5">
        <v>14.2</v>
      </c>
      <c r="H367" s="5">
        <v>14.2</v>
      </c>
      <c r="I367" s="3">
        <v>13200</v>
      </c>
      <c r="J367" s="3">
        <v>158300000</v>
      </c>
      <c r="K367" s="3">
        <v>1055000</v>
      </c>
      <c r="L367" s="3">
        <v>1302000</v>
      </c>
      <c r="M367" s="3">
        <v>110</v>
      </c>
      <c r="N367" s="5">
        <f t="shared" si="36"/>
        <v>7920</v>
      </c>
      <c r="O367" s="3">
        <v>83280000</v>
      </c>
      <c r="P367" s="3">
        <v>833000</v>
      </c>
      <c r="Q367" s="3">
        <v>978000</v>
      </c>
      <c r="R367" s="5">
        <v>79.5</v>
      </c>
      <c r="T367" s="3">
        <v>174600000</v>
      </c>
      <c r="U367" s="4"/>
      <c r="V367" s="5">
        <f t="shared" si="37"/>
        <v>5280</v>
      </c>
      <c r="W367" s="8"/>
      <c r="X367" s="9" t="str">
        <f t="shared" si="42"/>
        <v>a</v>
      </c>
      <c r="Y367" s="9" t="str">
        <f t="shared" si="42"/>
        <v>a</v>
      </c>
      <c r="Z367" s="31">
        <f t="shared" si="39"/>
        <v>667707.28800000006</v>
      </c>
      <c r="AA367" s="31">
        <f t="shared" si="40"/>
        <v>500289.288</v>
      </c>
    </row>
    <row r="368" spans="1:27" ht="13">
      <c r="A368" s="9">
        <v>366</v>
      </c>
      <c r="B368" s="3" t="s">
        <v>1720</v>
      </c>
      <c r="C368" s="3"/>
      <c r="D368" s="5">
        <v>112</v>
      </c>
      <c r="E368" s="3">
        <v>300</v>
      </c>
      <c r="F368" s="3">
        <v>300</v>
      </c>
      <c r="G368" s="5">
        <v>12.5</v>
      </c>
      <c r="H368" s="5">
        <v>12.5</v>
      </c>
      <c r="I368" s="3">
        <v>14200</v>
      </c>
      <c r="J368" s="3">
        <v>194400000</v>
      </c>
      <c r="K368" s="3">
        <v>1296000</v>
      </c>
      <c r="L368" s="3">
        <v>1525000</v>
      </c>
      <c r="M368" s="3">
        <v>117</v>
      </c>
      <c r="N368" s="5">
        <f t="shared" si="36"/>
        <v>7100</v>
      </c>
      <c r="O368" s="3">
        <v>194400000</v>
      </c>
      <c r="P368" s="3">
        <v>1296000</v>
      </c>
      <c r="Q368" s="3">
        <v>1525000</v>
      </c>
      <c r="R368" s="5">
        <v>117</v>
      </c>
      <c r="T368" s="3">
        <v>303300000</v>
      </c>
      <c r="U368" s="4"/>
      <c r="V368" s="5">
        <f t="shared" si="37"/>
        <v>7100</v>
      </c>
      <c r="W368" s="8"/>
      <c r="X368" s="9" t="str">
        <f t="shared" si="42"/>
        <v>a</v>
      </c>
      <c r="Y368" s="9" t="str">
        <f t="shared" si="42"/>
        <v>a</v>
      </c>
      <c r="Z368" s="31">
        <f t="shared" si="39"/>
        <v>775390.625</v>
      </c>
      <c r="AA368" s="31">
        <f t="shared" si="40"/>
        <v>775390.625</v>
      </c>
    </row>
    <row r="369" spans="1:27" ht="13">
      <c r="A369" s="9">
        <v>367</v>
      </c>
      <c r="B369" s="3" t="s">
        <v>1721</v>
      </c>
      <c r="C369" s="3"/>
      <c r="D369" s="5">
        <v>115</v>
      </c>
      <c r="E369" s="3">
        <v>300</v>
      </c>
      <c r="F369" s="3">
        <v>200</v>
      </c>
      <c r="G369" s="5">
        <v>16</v>
      </c>
      <c r="H369" s="5">
        <v>16</v>
      </c>
      <c r="I369" s="3">
        <v>14700</v>
      </c>
      <c r="J369" s="3">
        <v>173900000</v>
      </c>
      <c r="K369" s="3">
        <v>1159000</v>
      </c>
      <c r="L369" s="3">
        <v>1441000</v>
      </c>
      <c r="M369" s="3">
        <v>109</v>
      </c>
      <c r="N369" s="5">
        <f t="shared" si="36"/>
        <v>8820</v>
      </c>
      <c r="O369" s="3">
        <v>91090000</v>
      </c>
      <c r="P369" s="3">
        <v>911000</v>
      </c>
      <c r="Q369" s="3">
        <v>1080000</v>
      </c>
      <c r="R369" s="5">
        <v>78.7</v>
      </c>
      <c r="T369" s="3">
        <v>192520000</v>
      </c>
      <c r="U369" s="4"/>
      <c r="V369" s="5">
        <f t="shared" si="37"/>
        <v>5880</v>
      </c>
      <c r="W369" s="8"/>
      <c r="X369" s="9" t="str">
        <f t="shared" si="42"/>
        <v>a</v>
      </c>
      <c r="Y369" s="9" t="str">
        <f t="shared" si="42"/>
        <v>a</v>
      </c>
      <c r="Z369" s="31">
        <f t="shared" si="39"/>
        <v>741696</v>
      </c>
      <c r="AA369" s="31">
        <f t="shared" si="40"/>
        <v>554496</v>
      </c>
    </row>
    <row r="370" spans="1:27" ht="13">
      <c r="A370" s="9">
        <v>368</v>
      </c>
      <c r="B370" s="3" t="s">
        <v>1722</v>
      </c>
      <c r="C370" s="3"/>
      <c r="D370" s="5">
        <v>115</v>
      </c>
      <c r="E370" s="3">
        <v>300</v>
      </c>
      <c r="F370" s="3">
        <v>250</v>
      </c>
      <c r="G370" s="5">
        <v>14.2</v>
      </c>
      <c r="H370" s="5">
        <v>14.2</v>
      </c>
      <c r="I370" s="3">
        <v>14600</v>
      </c>
      <c r="J370" s="3">
        <v>187340000</v>
      </c>
      <c r="K370" s="3">
        <v>1249000</v>
      </c>
      <c r="L370" s="3">
        <v>1505000</v>
      </c>
      <c r="M370" s="3">
        <v>113</v>
      </c>
      <c r="N370" s="5">
        <f t="shared" si="36"/>
        <v>7963.636363636364</v>
      </c>
      <c r="O370" s="3">
        <v>140700000</v>
      </c>
      <c r="P370" s="3">
        <v>1126000</v>
      </c>
      <c r="Q370" s="3">
        <v>1325000</v>
      </c>
      <c r="R370" s="5">
        <v>98.2</v>
      </c>
      <c r="T370" s="3">
        <v>253650000</v>
      </c>
      <c r="U370" s="4"/>
      <c r="V370" s="5">
        <f t="shared" si="37"/>
        <v>6636.363636363636</v>
      </c>
      <c r="W370" s="8"/>
      <c r="X370" s="9" t="str">
        <f t="shared" si="42"/>
        <v>a</v>
      </c>
      <c r="Y370" s="9" t="str">
        <f t="shared" si="42"/>
        <v>a</v>
      </c>
      <c r="Z370" s="31">
        <f t="shared" si="39"/>
        <v>769166.28800000006</v>
      </c>
      <c r="AA370" s="31">
        <f t="shared" si="40"/>
        <v>676582.28799999994</v>
      </c>
    </row>
    <row r="371" spans="1:27" ht="13">
      <c r="A371" s="9">
        <v>369</v>
      </c>
      <c r="B371" s="3" t="s">
        <v>1723</v>
      </c>
      <c r="C371" s="3"/>
      <c r="D371" s="5">
        <v>126</v>
      </c>
      <c r="E371" s="3">
        <v>300</v>
      </c>
      <c r="F371" s="3">
        <v>300</v>
      </c>
      <c r="G371" s="5">
        <v>14.2</v>
      </c>
      <c r="H371" s="5">
        <v>14.2</v>
      </c>
      <c r="I371" s="3">
        <v>16000</v>
      </c>
      <c r="J371" s="3">
        <v>216400000</v>
      </c>
      <c r="K371" s="3">
        <v>1442000</v>
      </c>
      <c r="L371" s="3">
        <v>1708000</v>
      </c>
      <c r="M371" s="3">
        <v>116</v>
      </c>
      <c r="N371" s="5">
        <f t="shared" si="36"/>
        <v>8000</v>
      </c>
      <c r="O371" s="3">
        <v>216400000</v>
      </c>
      <c r="P371" s="3">
        <v>1442000</v>
      </c>
      <c r="Q371" s="3">
        <v>1708000</v>
      </c>
      <c r="R371" s="5">
        <v>116</v>
      </c>
      <c r="T371" s="3">
        <v>339400000</v>
      </c>
      <c r="U371" s="4"/>
      <c r="V371" s="5">
        <f t="shared" si="37"/>
        <v>8000</v>
      </c>
      <c r="W371" s="8"/>
      <c r="X371" s="9" t="str">
        <f t="shared" si="42"/>
        <v>a</v>
      </c>
      <c r="Y371" s="9" t="str">
        <f t="shared" si="42"/>
        <v>a</v>
      </c>
      <c r="Z371" s="31">
        <f t="shared" si="39"/>
        <v>870625.28800000006</v>
      </c>
      <c r="AA371" s="31">
        <f t="shared" si="40"/>
        <v>870625.28800000006</v>
      </c>
    </row>
    <row r="372" spans="1:27" ht="13">
      <c r="A372" s="9">
        <v>370</v>
      </c>
      <c r="B372" s="3" t="s">
        <v>1724</v>
      </c>
      <c r="C372" s="3"/>
      <c r="D372" s="5">
        <v>128</v>
      </c>
      <c r="E372" s="3">
        <v>300</v>
      </c>
      <c r="F372" s="3">
        <v>250</v>
      </c>
      <c r="G372" s="5">
        <v>16</v>
      </c>
      <c r="H372" s="5">
        <v>16</v>
      </c>
      <c r="I372" s="3">
        <v>16300</v>
      </c>
      <c r="J372" s="3">
        <v>206200000</v>
      </c>
      <c r="K372" s="3">
        <v>1375000</v>
      </c>
      <c r="L372" s="3">
        <v>1668000</v>
      </c>
      <c r="M372" s="3">
        <v>112</v>
      </c>
      <c r="N372" s="5">
        <f t="shared" si="36"/>
        <v>8890.9090909090901</v>
      </c>
      <c r="O372" s="3">
        <v>154600000</v>
      </c>
      <c r="P372" s="3">
        <v>1237000</v>
      </c>
      <c r="Q372" s="3">
        <v>1467000</v>
      </c>
      <c r="R372" s="5">
        <v>97.4</v>
      </c>
      <c r="T372" s="3">
        <v>280640000</v>
      </c>
      <c r="U372" s="4"/>
      <c r="V372" s="5">
        <f t="shared" si="37"/>
        <v>7409.090909090909</v>
      </c>
      <c r="W372" s="8"/>
      <c r="X372" s="9" t="str">
        <f t="shared" si="42"/>
        <v>a</v>
      </c>
      <c r="Y372" s="9" t="str">
        <f t="shared" si="42"/>
        <v>a</v>
      </c>
      <c r="Z372" s="31">
        <f t="shared" si="39"/>
        <v>855296</v>
      </c>
      <c r="AA372" s="31">
        <f t="shared" si="40"/>
        <v>751696</v>
      </c>
    </row>
    <row r="373" spans="1:27" ht="13">
      <c r="A373" s="9">
        <v>371</v>
      </c>
      <c r="B373" s="3" t="s">
        <v>1725</v>
      </c>
      <c r="C373" s="3"/>
      <c r="D373" s="5">
        <v>141</v>
      </c>
      <c r="E373" s="3">
        <v>300</v>
      </c>
      <c r="F373" s="3">
        <v>300</v>
      </c>
      <c r="G373" s="5">
        <v>16</v>
      </c>
      <c r="H373" s="5">
        <v>16</v>
      </c>
      <c r="I373" s="3">
        <v>17900</v>
      </c>
      <c r="J373" s="3">
        <v>238500000</v>
      </c>
      <c r="K373" s="3">
        <v>1590000</v>
      </c>
      <c r="L373" s="3">
        <v>1895000</v>
      </c>
      <c r="M373" s="3">
        <v>115</v>
      </c>
      <c r="N373" s="5">
        <f t="shared" si="36"/>
        <v>8950</v>
      </c>
      <c r="O373" s="3">
        <v>238500000</v>
      </c>
      <c r="P373" s="3">
        <v>1590000</v>
      </c>
      <c r="Q373" s="3">
        <v>1895000</v>
      </c>
      <c r="R373" s="5">
        <v>115</v>
      </c>
      <c r="T373" s="3">
        <v>376220000</v>
      </c>
      <c r="U373" s="4"/>
      <c r="V373" s="5">
        <f t="shared" si="37"/>
        <v>8950</v>
      </c>
      <c r="W373" s="8"/>
      <c r="X373" s="9" t="str">
        <f t="shared" si="42"/>
        <v>a</v>
      </c>
      <c r="Y373" s="9" t="str">
        <f t="shared" si="42"/>
        <v>a</v>
      </c>
      <c r="Z373" s="31">
        <f t="shared" si="39"/>
        <v>968896</v>
      </c>
      <c r="AA373" s="31">
        <f t="shared" si="40"/>
        <v>968896</v>
      </c>
    </row>
    <row r="374" spans="1:27" ht="13">
      <c r="A374" s="9">
        <v>372</v>
      </c>
      <c r="B374" s="3" t="s">
        <v>1726</v>
      </c>
      <c r="C374" s="3"/>
      <c r="D374" s="5">
        <v>65.099999999999994</v>
      </c>
      <c r="E374" s="3">
        <v>340</v>
      </c>
      <c r="F374" s="3">
        <v>100</v>
      </c>
      <c r="G374" s="5">
        <v>10</v>
      </c>
      <c r="H374" s="5">
        <v>10</v>
      </c>
      <c r="I374" s="3">
        <v>8290</v>
      </c>
      <c r="J374" s="3">
        <v>105850000</v>
      </c>
      <c r="K374" s="3">
        <v>623000</v>
      </c>
      <c r="L374" s="3">
        <v>823000</v>
      </c>
      <c r="M374" s="3">
        <v>113</v>
      </c>
      <c r="N374" s="5">
        <f t="shared" si="36"/>
        <v>6405.909090909091</v>
      </c>
      <c r="O374" s="3">
        <v>14380000</v>
      </c>
      <c r="P374" s="3">
        <v>288000</v>
      </c>
      <c r="Q374" s="3">
        <v>332000</v>
      </c>
      <c r="R374" s="5">
        <v>41.6</v>
      </c>
      <c r="T374" s="3">
        <v>42990000</v>
      </c>
      <c r="U374" s="4"/>
      <c r="V374" s="5">
        <f t="shared" si="37"/>
        <v>1884.090909090909</v>
      </c>
      <c r="W374" s="8"/>
      <c r="X374" s="9" t="str">
        <f t="shared" si="42"/>
        <v>a</v>
      </c>
      <c r="Y374" s="9" t="str">
        <f t="shared" si="42"/>
        <v>a</v>
      </c>
      <c r="Z374" s="31">
        <f t="shared" si="39"/>
        <v>421000</v>
      </c>
      <c r="AA374" s="31">
        <f t="shared" si="40"/>
        <v>169000</v>
      </c>
    </row>
    <row r="375" spans="1:27" ht="13">
      <c r="A375" s="9">
        <v>373</v>
      </c>
      <c r="B375" s="3" t="s">
        <v>1727</v>
      </c>
      <c r="C375" s="3"/>
      <c r="D375" s="5">
        <v>38.299999999999997</v>
      </c>
      <c r="E375" s="3">
        <v>350</v>
      </c>
      <c r="F375" s="3">
        <v>150</v>
      </c>
      <c r="G375" s="5">
        <v>5</v>
      </c>
      <c r="H375" s="5">
        <v>5</v>
      </c>
      <c r="I375" s="3">
        <v>4870</v>
      </c>
      <c r="J375" s="3">
        <v>76550000</v>
      </c>
      <c r="K375" s="3">
        <v>437000</v>
      </c>
      <c r="L375" s="3">
        <v>543000</v>
      </c>
      <c r="M375" s="3">
        <v>125</v>
      </c>
      <c r="N375" s="5">
        <f t="shared" si="36"/>
        <v>3409</v>
      </c>
      <c r="O375" s="3">
        <v>20530000</v>
      </c>
      <c r="P375" s="3">
        <v>274000</v>
      </c>
      <c r="Q375" s="3">
        <v>301000</v>
      </c>
      <c r="R375" s="5">
        <v>64.900000000000006</v>
      </c>
      <c r="T375" s="3">
        <v>51610000</v>
      </c>
      <c r="U375" s="4"/>
      <c r="V375" s="5">
        <f t="shared" si="37"/>
        <v>1461</v>
      </c>
      <c r="W375" s="8"/>
      <c r="X375" s="9" t="str">
        <f t="shared" si="42"/>
        <v>a</v>
      </c>
      <c r="Y375" s="9" t="str">
        <f t="shared" si="42"/>
        <v>a</v>
      </c>
      <c r="Z375" s="31">
        <f t="shared" si="39"/>
        <v>273875</v>
      </c>
      <c r="AA375" s="31">
        <f t="shared" si="40"/>
        <v>151375</v>
      </c>
    </row>
    <row r="376" spans="1:27" ht="13">
      <c r="A376" s="9">
        <v>374</v>
      </c>
      <c r="B376" s="3" t="s">
        <v>1728</v>
      </c>
      <c r="C376" s="3"/>
      <c r="D376" s="5">
        <v>47.9</v>
      </c>
      <c r="E376" s="3">
        <v>350</v>
      </c>
      <c r="F376" s="3">
        <v>150</v>
      </c>
      <c r="G376" s="5">
        <v>6.3</v>
      </c>
      <c r="H376" s="5">
        <v>6.3</v>
      </c>
      <c r="I376" s="3">
        <v>6100</v>
      </c>
      <c r="J376" s="3">
        <v>94810000</v>
      </c>
      <c r="K376" s="3">
        <v>542000</v>
      </c>
      <c r="L376" s="3">
        <v>676000</v>
      </c>
      <c r="M376" s="3">
        <v>125</v>
      </c>
      <c r="N376" s="5">
        <f t="shared" si="36"/>
        <v>4270</v>
      </c>
      <c r="O376" s="3">
        <v>25250000</v>
      </c>
      <c r="P376" s="3">
        <v>337000</v>
      </c>
      <c r="Q376" s="3">
        <v>373000</v>
      </c>
      <c r="R376" s="5">
        <v>64.3</v>
      </c>
      <c r="T376" s="3">
        <v>63890000</v>
      </c>
      <c r="U376" s="4"/>
      <c r="V376" s="5">
        <f t="shared" si="37"/>
        <v>1830</v>
      </c>
      <c r="W376" s="8"/>
      <c r="X376" s="9" t="str">
        <f t="shared" si="42"/>
        <v>a</v>
      </c>
      <c r="Y376" s="9" t="str">
        <f t="shared" si="42"/>
        <v>a</v>
      </c>
      <c r="Z376" s="31">
        <f t="shared" si="39"/>
        <v>341694.29699999996</v>
      </c>
      <c r="AA376" s="31">
        <f t="shared" si="40"/>
        <v>188163.29699999999</v>
      </c>
    </row>
    <row r="377" spans="1:27" ht="13">
      <c r="A377" s="9">
        <v>375</v>
      </c>
      <c r="B377" s="3" t="s">
        <v>1729</v>
      </c>
      <c r="C377" s="3"/>
      <c r="D377" s="5">
        <v>53.7</v>
      </c>
      <c r="E377" s="3">
        <v>350</v>
      </c>
      <c r="F377" s="3">
        <v>150</v>
      </c>
      <c r="G377" s="5">
        <v>7.1</v>
      </c>
      <c r="H377" s="5">
        <v>7.1</v>
      </c>
      <c r="I377" s="3">
        <v>6840</v>
      </c>
      <c r="J377" s="3">
        <v>105720000</v>
      </c>
      <c r="K377" s="3">
        <v>604000</v>
      </c>
      <c r="L377" s="3">
        <v>756000</v>
      </c>
      <c r="M377" s="3">
        <v>124</v>
      </c>
      <c r="N377" s="5">
        <f t="shared" si="36"/>
        <v>4788</v>
      </c>
      <c r="O377" s="3">
        <v>28030000</v>
      </c>
      <c r="P377" s="3">
        <v>374000</v>
      </c>
      <c r="Q377" s="3">
        <v>416000</v>
      </c>
      <c r="R377" s="5">
        <v>64</v>
      </c>
      <c r="T377" s="3">
        <v>71220000</v>
      </c>
      <c r="U377" s="4"/>
      <c r="V377" s="5">
        <f t="shared" si="37"/>
        <v>2052</v>
      </c>
      <c r="W377" s="8"/>
      <c r="X377" s="9" t="str">
        <f t="shared" si="42"/>
        <v>a</v>
      </c>
      <c r="Y377" s="9" t="str">
        <f t="shared" si="42"/>
        <v>a</v>
      </c>
      <c r="Z377" s="31">
        <f t="shared" si="39"/>
        <v>382746.16100000002</v>
      </c>
      <c r="AA377" s="31">
        <f t="shared" si="40"/>
        <v>210287.16099999999</v>
      </c>
    </row>
    <row r="378" spans="1:27" ht="13">
      <c r="A378" s="9">
        <v>376</v>
      </c>
      <c r="B378" s="3" t="s">
        <v>1730</v>
      </c>
      <c r="C378" s="3"/>
      <c r="D378" s="5">
        <v>57.8</v>
      </c>
      <c r="E378" s="3">
        <v>350</v>
      </c>
      <c r="F378" s="3">
        <v>250</v>
      </c>
      <c r="G378" s="5">
        <v>6.3</v>
      </c>
      <c r="H378" s="5">
        <v>6.3</v>
      </c>
      <c r="I378" s="3">
        <v>7360</v>
      </c>
      <c r="J378" s="3">
        <v>132000000</v>
      </c>
      <c r="K378" s="3">
        <v>754000</v>
      </c>
      <c r="L378" s="3">
        <v>892000</v>
      </c>
      <c r="M378" s="3">
        <v>134</v>
      </c>
      <c r="N378" s="5">
        <f t="shared" si="36"/>
        <v>4293.333333333333</v>
      </c>
      <c r="O378" s="3">
        <v>78850000</v>
      </c>
      <c r="P378" s="3">
        <v>631000</v>
      </c>
      <c r="Q378" s="3">
        <v>709000</v>
      </c>
      <c r="R378" s="5">
        <v>104</v>
      </c>
      <c r="T378" s="3">
        <v>152200000</v>
      </c>
      <c r="U378" s="4"/>
      <c r="V378" s="5">
        <f t="shared" si="37"/>
        <v>3066.6666666666665</v>
      </c>
      <c r="W378" s="8"/>
      <c r="X378" s="9" t="str">
        <f t="shared" si="42"/>
        <v>a</v>
      </c>
      <c r="Y378" s="9" t="str">
        <f t="shared" si="42"/>
        <v>a</v>
      </c>
      <c r="Z378" s="31">
        <f t="shared" si="39"/>
        <v>449959.79699999996</v>
      </c>
      <c r="AA378" s="31">
        <f t="shared" si="40"/>
        <v>357444.29700000002</v>
      </c>
    </row>
    <row r="379" spans="1:27" ht="13">
      <c r="A379" s="9">
        <v>377</v>
      </c>
      <c r="B379" s="3" t="s">
        <v>1731</v>
      </c>
      <c r="C379" s="3"/>
      <c r="D379" s="5">
        <v>60.3</v>
      </c>
      <c r="E379" s="3">
        <v>350</v>
      </c>
      <c r="F379" s="3">
        <v>150</v>
      </c>
      <c r="G379" s="5">
        <v>8</v>
      </c>
      <c r="H379" s="5">
        <v>8</v>
      </c>
      <c r="I379" s="3">
        <v>7680</v>
      </c>
      <c r="J379" s="3">
        <v>117700000</v>
      </c>
      <c r="K379" s="3">
        <v>673000</v>
      </c>
      <c r="L379" s="3">
        <v>844000</v>
      </c>
      <c r="M379" s="3">
        <v>124</v>
      </c>
      <c r="N379" s="5">
        <f t="shared" si="36"/>
        <v>5376</v>
      </c>
      <c r="O379" s="3">
        <v>31050000</v>
      </c>
      <c r="P379" s="3">
        <v>414000</v>
      </c>
      <c r="Q379" s="3">
        <v>464000</v>
      </c>
      <c r="R379" s="5">
        <v>63.6</v>
      </c>
      <c r="T379" s="3">
        <v>79260000</v>
      </c>
      <c r="U379" s="4"/>
      <c r="V379" s="5">
        <f t="shared" si="37"/>
        <v>2304</v>
      </c>
      <c r="W379" s="8"/>
      <c r="X379" s="9" t="str">
        <f t="shared" si="42"/>
        <v>a</v>
      </c>
      <c r="Y379" s="9" t="str">
        <f t="shared" si="42"/>
        <v>a</v>
      </c>
      <c r="Z379" s="31">
        <f t="shared" si="39"/>
        <v>428312</v>
      </c>
      <c r="AA379" s="31">
        <f t="shared" si="40"/>
        <v>234712</v>
      </c>
    </row>
    <row r="380" spans="1:27" ht="13">
      <c r="A380" s="9">
        <v>378</v>
      </c>
      <c r="B380" s="3" t="s">
        <v>1732</v>
      </c>
      <c r="C380" s="3"/>
      <c r="D380" s="5">
        <v>64.900000000000006</v>
      </c>
      <c r="E380" s="3">
        <v>350</v>
      </c>
      <c r="F380" s="3">
        <v>250</v>
      </c>
      <c r="G380" s="5">
        <v>7.1</v>
      </c>
      <c r="H380" s="5">
        <v>7.1</v>
      </c>
      <c r="I380" s="3">
        <v>8260</v>
      </c>
      <c r="J380" s="3">
        <v>147470000</v>
      </c>
      <c r="K380" s="3">
        <v>843000</v>
      </c>
      <c r="L380" s="3">
        <v>999000</v>
      </c>
      <c r="M380" s="3">
        <v>134</v>
      </c>
      <c r="N380" s="5">
        <f t="shared" si="36"/>
        <v>4818.333333333333</v>
      </c>
      <c r="O380" s="3">
        <v>87960000</v>
      </c>
      <c r="P380" s="3">
        <v>704000</v>
      </c>
      <c r="Q380" s="3">
        <v>794000</v>
      </c>
      <c r="R380" s="5">
        <v>103</v>
      </c>
      <c r="T380" s="3">
        <v>170240000</v>
      </c>
      <c r="U380" s="4"/>
      <c r="V380" s="5">
        <f t="shared" si="37"/>
        <v>3441.6666666666665</v>
      </c>
      <c r="W380" s="8"/>
      <c r="X380" s="9" t="str">
        <f t="shared" si="42"/>
        <v>a</v>
      </c>
      <c r="Y380" s="9" t="str">
        <f t="shared" si="42"/>
        <v>a</v>
      </c>
      <c r="Z380" s="31">
        <f t="shared" si="39"/>
        <v>504475.66100000002</v>
      </c>
      <c r="AA380" s="31">
        <f t="shared" si="40"/>
        <v>400496.16100000002</v>
      </c>
    </row>
    <row r="381" spans="1:27" ht="13">
      <c r="A381" s="9">
        <v>379</v>
      </c>
      <c r="B381" s="3" t="s">
        <v>1733</v>
      </c>
      <c r="C381" s="3"/>
      <c r="D381" s="5">
        <v>66</v>
      </c>
      <c r="E381" s="3">
        <v>350</v>
      </c>
      <c r="F381" s="3">
        <v>150</v>
      </c>
      <c r="G381" s="5">
        <v>8.8000000000000007</v>
      </c>
      <c r="H381" s="5">
        <v>8.8000000000000007</v>
      </c>
      <c r="I381" s="3">
        <v>8410</v>
      </c>
      <c r="J381" s="3">
        <v>128080000</v>
      </c>
      <c r="K381" s="3">
        <v>732000</v>
      </c>
      <c r="L381" s="3">
        <v>922000</v>
      </c>
      <c r="M381" s="3">
        <v>123</v>
      </c>
      <c r="N381" s="5">
        <f t="shared" si="36"/>
        <v>5887</v>
      </c>
      <c r="O381" s="3">
        <v>33640000</v>
      </c>
      <c r="P381" s="3">
        <v>449000</v>
      </c>
      <c r="Q381" s="3">
        <v>506000</v>
      </c>
      <c r="R381" s="5">
        <v>63.3</v>
      </c>
      <c r="T381" s="3">
        <v>86220000</v>
      </c>
      <c r="U381" s="4"/>
      <c r="V381" s="5">
        <f t="shared" si="37"/>
        <v>2523</v>
      </c>
      <c r="W381" s="8"/>
      <c r="X381" s="9" t="str">
        <f t="shared" si="42"/>
        <v>a</v>
      </c>
      <c r="Y381" s="9" t="str">
        <f t="shared" si="42"/>
        <v>a</v>
      </c>
      <c r="Z381" s="31">
        <f t="shared" si="39"/>
        <v>468269.47199999995</v>
      </c>
      <c r="AA381" s="31">
        <f t="shared" si="40"/>
        <v>256013.47200000004</v>
      </c>
    </row>
    <row r="382" spans="1:27" ht="13">
      <c r="A382" s="9">
        <v>380</v>
      </c>
      <c r="B382" s="3" t="s">
        <v>1734</v>
      </c>
      <c r="C382" s="3"/>
      <c r="D382" s="5">
        <v>72.8</v>
      </c>
      <c r="E382" s="3">
        <v>350</v>
      </c>
      <c r="F382" s="3">
        <v>250</v>
      </c>
      <c r="G382" s="5">
        <v>8</v>
      </c>
      <c r="H382" s="5">
        <v>8</v>
      </c>
      <c r="I382" s="3">
        <v>9280</v>
      </c>
      <c r="J382" s="3">
        <v>164490000</v>
      </c>
      <c r="K382" s="3">
        <v>940000</v>
      </c>
      <c r="L382" s="3">
        <v>1118000</v>
      </c>
      <c r="M382" s="3">
        <v>133</v>
      </c>
      <c r="N382" s="5">
        <f t="shared" si="36"/>
        <v>5413.333333333333</v>
      </c>
      <c r="O382" s="3">
        <v>97980000</v>
      </c>
      <c r="P382" s="3">
        <v>784000</v>
      </c>
      <c r="Q382" s="3">
        <v>888000</v>
      </c>
      <c r="R382" s="5">
        <v>103</v>
      </c>
      <c r="T382" s="3">
        <v>190270000</v>
      </c>
      <c r="U382" s="4"/>
      <c r="V382" s="5">
        <f t="shared" si="37"/>
        <v>3866.6666666666665</v>
      </c>
      <c r="W382" s="8"/>
      <c r="X382" s="9" t="str">
        <f t="shared" si="42"/>
        <v>a</v>
      </c>
      <c r="Y382" s="9" t="str">
        <f t="shared" si="42"/>
        <v>a</v>
      </c>
      <c r="Z382" s="31">
        <f t="shared" si="39"/>
        <v>565112</v>
      </c>
      <c r="AA382" s="31">
        <f t="shared" si="40"/>
        <v>448312</v>
      </c>
    </row>
    <row r="383" spans="1:27" ht="13">
      <c r="A383" s="9">
        <v>381</v>
      </c>
      <c r="B383" s="3" t="s">
        <v>1735</v>
      </c>
      <c r="C383" s="3"/>
      <c r="D383" s="5">
        <v>74.5</v>
      </c>
      <c r="E383" s="3">
        <v>350</v>
      </c>
      <c r="F383" s="3">
        <v>150</v>
      </c>
      <c r="G383" s="5">
        <v>10</v>
      </c>
      <c r="H383" s="5">
        <v>10</v>
      </c>
      <c r="I383" s="3">
        <v>9490</v>
      </c>
      <c r="J383" s="3">
        <v>143200000</v>
      </c>
      <c r="K383" s="3">
        <v>818000</v>
      </c>
      <c r="L383" s="3">
        <v>1035000</v>
      </c>
      <c r="M383" s="3">
        <v>123</v>
      </c>
      <c r="N383" s="5">
        <f t="shared" si="36"/>
        <v>6643</v>
      </c>
      <c r="O383" s="3">
        <v>37370000</v>
      </c>
      <c r="P383" s="3">
        <v>498000</v>
      </c>
      <c r="Q383" s="3">
        <v>566000</v>
      </c>
      <c r="R383" s="5">
        <v>62.7</v>
      </c>
      <c r="T383" s="3">
        <v>96330000</v>
      </c>
      <c r="U383" s="4"/>
      <c r="V383" s="5">
        <f t="shared" si="37"/>
        <v>2847</v>
      </c>
      <c r="W383" s="8"/>
      <c r="X383" s="9" t="str">
        <f t="shared" ref="X383:Y402" si="43">IF(fy=460,"a0","a")</f>
        <v>a</v>
      </c>
      <c r="Y383" s="9" t="str">
        <f t="shared" si="43"/>
        <v>a</v>
      </c>
      <c r="Z383" s="31">
        <f t="shared" si="39"/>
        <v>527250</v>
      </c>
      <c r="AA383" s="31">
        <f t="shared" si="40"/>
        <v>287250</v>
      </c>
    </row>
    <row r="384" spans="1:27" ht="13">
      <c r="A384" s="9">
        <v>382</v>
      </c>
      <c r="B384" s="3" t="s">
        <v>1736</v>
      </c>
      <c r="C384" s="3"/>
      <c r="D384" s="5">
        <v>79.8</v>
      </c>
      <c r="E384" s="3">
        <v>350</v>
      </c>
      <c r="F384" s="3">
        <v>250</v>
      </c>
      <c r="G384" s="5">
        <v>8.8000000000000007</v>
      </c>
      <c r="H384" s="5">
        <v>8.8000000000000007</v>
      </c>
      <c r="I384" s="3">
        <v>10200</v>
      </c>
      <c r="J384" s="3">
        <v>179320000</v>
      </c>
      <c r="K384" s="3">
        <v>1025000</v>
      </c>
      <c r="L384" s="3">
        <v>1222000</v>
      </c>
      <c r="M384" s="3">
        <v>133</v>
      </c>
      <c r="N384" s="5">
        <f t="shared" si="36"/>
        <v>5950</v>
      </c>
      <c r="O384" s="3">
        <v>106680000</v>
      </c>
      <c r="P384" s="3">
        <v>853000</v>
      </c>
      <c r="Q384" s="3">
        <v>970000</v>
      </c>
      <c r="R384" s="5">
        <v>102</v>
      </c>
      <c r="T384" s="3">
        <v>207780000</v>
      </c>
      <c r="U384" s="4"/>
      <c r="V384" s="5">
        <f t="shared" si="37"/>
        <v>4250</v>
      </c>
      <c r="W384" s="8"/>
      <c r="X384" s="9" t="str">
        <f t="shared" si="43"/>
        <v>a</v>
      </c>
      <c r="Y384" s="9" t="str">
        <f t="shared" si="43"/>
        <v>a</v>
      </c>
      <c r="Z384" s="31">
        <f t="shared" si="39"/>
        <v>618397.47199999995</v>
      </c>
      <c r="AA384" s="31">
        <f t="shared" si="40"/>
        <v>490269.47200000007</v>
      </c>
    </row>
    <row r="385" spans="1:27" ht="13">
      <c r="A385" s="9">
        <v>383</v>
      </c>
      <c r="B385" s="3" t="s">
        <v>1737</v>
      </c>
      <c r="C385" s="3"/>
      <c r="D385" s="5">
        <v>85.4</v>
      </c>
      <c r="E385" s="3">
        <v>350</v>
      </c>
      <c r="F385" s="3">
        <v>350</v>
      </c>
      <c r="G385" s="5">
        <v>8</v>
      </c>
      <c r="H385" s="5">
        <v>8</v>
      </c>
      <c r="I385" s="3">
        <v>10900</v>
      </c>
      <c r="J385" s="3">
        <v>211290000</v>
      </c>
      <c r="K385" s="3">
        <v>1207000</v>
      </c>
      <c r="L385" s="3">
        <v>1392000</v>
      </c>
      <c r="M385" s="3">
        <v>139</v>
      </c>
      <c r="N385" s="5">
        <f t="shared" si="36"/>
        <v>5450</v>
      </c>
      <c r="O385" s="3">
        <v>211290000</v>
      </c>
      <c r="P385" s="3">
        <v>1207000</v>
      </c>
      <c r="Q385" s="3">
        <v>1392000</v>
      </c>
      <c r="R385" s="5">
        <v>139</v>
      </c>
      <c r="T385" s="3">
        <v>323840000</v>
      </c>
      <c r="U385" s="4"/>
      <c r="V385" s="5">
        <f t="shared" si="37"/>
        <v>5450</v>
      </c>
      <c r="W385" s="8"/>
      <c r="X385" s="9" t="str">
        <f t="shared" si="43"/>
        <v>a</v>
      </c>
      <c r="Y385" s="9" t="str">
        <f t="shared" si="43"/>
        <v>a</v>
      </c>
      <c r="Z385" s="31">
        <f t="shared" si="39"/>
        <v>701912</v>
      </c>
      <c r="AA385" s="31">
        <f t="shared" si="40"/>
        <v>701912</v>
      </c>
    </row>
    <row r="386" spans="1:27" ht="13">
      <c r="A386" s="9">
        <v>384</v>
      </c>
      <c r="B386" s="3" t="s">
        <v>1738</v>
      </c>
      <c r="C386" s="3"/>
      <c r="D386" s="5">
        <v>90.2</v>
      </c>
      <c r="E386" s="3">
        <v>350</v>
      </c>
      <c r="F386" s="3">
        <v>250</v>
      </c>
      <c r="G386" s="5">
        <v>10</v>
      </c>
      <c r="H386" s="5">
        <v>10</v>
      </c>
      <c r="I386" s="3">
        <v>11500</v>
      </c>
      <c r="J386" s="3">
        <v>201020000</v>
      </c>
      <c r="K386" s="3">
        <v>1149000</v>
      </c>
      <c r="L386" s="3">
        <v>1375000</v>
      </c>
      <c r="M386" s="3">
        <v>132</v>
      </c>
      <c r="N386" s="5">
        <f t="shared" si="36"/>
        <v>6708.333333333333</v>
      </c>
      <c r="O386" s="3">
        <v>119370000</v>
      </c>
      <c r="P386" s="3">
        <v>955000</v>
      </c>
      <c r="Q386" s="3">
        <v>1091000</v>
      </c>
      <c r="R386" s="5">
        <v>102</v>
      </c>
      <c r="T386" s="3">
        <v>233540000</v>
      </c>
      <c r="U386" s="4"/>
      <c r="V386" s="5">
        <f t="shared" si="37"/>
        <v>4791.666666666667</v>
      </c>
      <c r="W386" s="8"/>
      <c r="X386" s="9" t="str">
        <f t="shared" si="43"/>
        <v>a</v>
      </c>
      <c r="Y386" s="9" t="str">
        <f t="shared" si="43"/>
        <v>a</v>
      </c>
      <c r="Z386" s="31">
        <f t="shared" si="39"/>
        <v>697250</v>
      </c>
      <c r="AA386" s="31">
        <f t="shared" si="40"/>
        <v>552250</v>
      </c>
    </row>
    <row r="387" spans="1:27" ht="13">
      <c r="A387" s="9">
        <v>385</v>
      </c>
      <c r="B387" s="3" t="s">
        <v>1739</v>
      </c>
      <c r="C387" s="3"/>
      <c r="D387" s="5">
        <v>91.9</v>
      </c>
      <c r="E387" s="3">
        <v>350</v>
      </c>
      <c r="F387" s="3">
        <v>150</v>
      </c>
      <c r="G387" s="5">
        <v>12.5</v>
      </c>
      <c r="H387" s="5">
        <v>12.5</v>
      </c>
      <c r="I387" s="3">
        <v>11700</v>
      </c>
      <c r="J387" s="3">
        <v>172970000</v>
      </c>
      <c r="K387" s="3">
        <v>988000</v>
      </c>
      <c r="L387" s="3">
        <v>1263000</v>
      </c>
      <c r="M387" s="3">
        <v>122</v>
      </c>
      <c r="N387" s="5">
        <f t="shared" ref="N387:N450" si="44">I387*E387/(F387+E387)</f>
        <v>8190</v>
      </c>
      <c r="O387" s="3">
        <v>44500000</v>
      </c>
      <c r="P387" s="3">
        <v>593000</v>
      </c>
      <c r="Q387" s="3">
        <v>686000</v>
      </c>
      <c r="R387" s="5">
        <v>61.7</v>
      </c>
      <c r="T387" s="3">
        <v>116190000</v>
      </c>
      <c r="U387" s="4"/>
      <c r="V387" s="5">
        <f t="shared" ref="V387:V450" si="45">I387*F387/(E387+F387)</f>
        <v>3510</v>
      </c>
      <c r="W387" s="8"/>
      <c r="X387" s="9" t="str">
        <f t="shared" si="43"/>
        <v>a</v>
      </c>
      <c r="Y387" s="9" t="str">
        <f t="shared" si="43"/>
        <v>a</v>
      </c>
      <c r="Z387" s="31">
        <f t="shared" ref="Z387:Z450" si="46">(H387*(0.5*E387-G387)^2)+(F387*G387)*(0.5*E387-0.5*G387)</f>
        <v>646484.375</v>
      </c>
      <c r="AA387" s="31">
        <f t="shared" ref="AA387:AA450" si="47">(H387*(0.5*F387-G387)^2)+(E387*G387)*(0.5*F387-0.5*G387)</f>
        <v>349609.375</v>
      </c>
    </row>
    <row r="388" spans="1:27" ht="13">
      <c r="A388" s="9">
        <v>386</v>
      </c>
      <c r="B388" s="3" t="s">
        <v>1740</v>
      </c>
      <c r="C388" s="3"/>
      <c r="D388" s="5">
        <v>93.6</v>
      </c>
      <c r="E388" s="3">
        <v>350</v>
      </c>
      <c r="F388" s="3">
        <v>350</v>
      </c>
      <c r="G388" s="5">
        <v>8.8000000000000007</v>
      </c>
      <c r="H388" s="5">
        <v>8.8000000000000007</v>
      </c>
      <c r="I388" s="3">
        <v>11900</v>
      </c>
      <c r="J388" s="3">
        <v>230550000</v>
      </c>
      <c r="K388" s="3">
        <v>1317000</v>
      </c>
      <c r="L388" s="3">
        <v>1522000</v>
      </c>
      <c r="M388" s="3">
        <v>139</v>
      </c>
      <c r="N388" s="5">
        <f t="shared" si="44"/>
        <v>5950</v>
      </c>
      <c r="O388" s="3">
        <v>230550000</v>
      </c>
      <c r="P388" s="3">
        <v>1317000</v>
      </c>
      <c r="Q388" s="3">
        <v>1522000</v>
      </c>
      <c r="R388" s="5">
        <v>139</v>
      </c>
      <c r="T388" s="3">
        <v>354130000</v>
      </c>
      <c r="U388" s="4"/>
      <c r="V388" s="5">
        <f t="shared" si="45"/>
        <v>5950</v>
      </c>
      <c r="W388" s="8"/>
      <c r="X388" s="9" t="str">
        <f t="shared" si="43"/>
        <v>a</v>
      </c>
      <c r="Y388" s="9" t="str">
        <f t="shared" si="43"/>
        <v>a</v>
      </c>
      <c r="Z388" s="31">
        <f t="shared" si="46"/>
        <v>768525.47200000007</v>
      </c>
      <c r="AA388" s="31">
        <f t="shared" si="47"/>
        <v>768525.47200000007</v>
      </c>
    </row>
    <row r="389" spans="1:27" ht="13">
      <c r="A389" s="9">
        <v>387</v>
      </c>
      <c r="B389" s="3" t="s">
        <v>1741</v>
      </c>
      <c r="C389" s="3"/>
      <c r="D389" s="5">
        <v>103</v>
      </c>
      <c r="E389" s="3">
        <v>350</v>
      </c>
      <c r="F389" s="3">
        <v>150</v>
      </c>
      <c r="G389" s="5">
        <v>14.2</v>
      </c>
      <c r="H389" s="5">
        <v>14.2</v>
      </c>
      <c r="I389" s="3">
        <v>13200</v>
      </c>
      <c r="J389" s="3">
        <v>191890000</v>
      </c>
      <c r="K389" s="3">
        <v>1097000</v>
      </c>
      <c r="L389" s="3">
        <v>1411000</v>
      </c>
      <c r="M389" s="3">
        <v>121</v>
      </c>
      <c r="N389" s="5">
        <f t="shared" si="44"/>
        <v>9240</v>
      </c>
      <c r="O389" s="3">
        <v>48900000</v>
      </c>
      <c r="P389" s="3">
        <v>652000</v>
      </c>
      <c r="Q389" s="3">
        <v>763000</v>
      </c>
      <c r="R389" s="5">
        <v>60.9</v>
      </c>
      <c r="T389" s="3">
        <v>128750000</v>
      </c>
      <c r="U389" s="4"/>
      <c r="V389" s="5">
        <f t="shared" si="45"/>
        <v>3960</v>
      </c>
      <c r="W389" s="8"/>
      <c r="X389" s="9" t="str">
        <f t="shared" si="43"/>
        <v>a</v>
      </c>
      <c r="Y389" s="9" t="str">
        <f t="shared" si="43"/>
        <v>a</v>
      </c>
      <c r="Z389" s="31">
        <f t="shared" si="46"/>
        <v>724791.28799999994</v>
      </c>
      <c r="AA389" s="31">
        <f t="shared" si="47"/>
        <v>389955.288</v>
      </c>
    </row>
    <row r="390" spans="1:27" ht="13">
      <c r="A390" s="9">
        <v>388</v>
      </c>
      <c r="B390" s="3" t="s">
        <v>1742</v>
      </c>
      <c r="C390" s="3"/>
      <c r="D390" s="5">
        <v>106</v>
      </c>
      <c r="E390" s="3">
        <v>350</v>
      </c>
      <c r="F390" s="3">
        <v>350</v>
      </c>
      <c r="G390" s="5">
        <v>10</v>
      </c>
      <c r="H390" s="5">
        <v>10</v>
      </c>
      <c r="I390" s="3">
        <v>13500</v>
      </c>
      <c r="J390" s="3">
        <v>258840000</v>
      </c>
      <c r="K390" s="3">
        <v>1479000</v>
      </c>
      <c r="L390" s="3">
        <v>1715000</v>
      </c>
      <c r="M390" s="3">
        <v>139</v>
      </c>
      <c r="N390" s="5">
        <f t="shared" si="44"/>
        <v>6750</v>
      </c>
      <c r="O390" s="3">
        <v>258840000</v>
      </c>
      <c r="P390" s="3">
        <v>1479000</v>
      </c>
      <c r="Q390" s="3">
        <v>1715000</v>
      </c>
      <c r="R390" s="5">
        <v>139</v>
      </c>
      <c r="T390" s="3">
        <v>398860000</v>
      </c>
      <c r="U390" s="4"/>
      <c r="V390" s="5">
        <f t="shared" si="45"/>
        <v>6750</v>
      </c>
      <c r="W390" s="8"/>
      <c r="X390" s="9" t="str">
        <f t="shared" si="43"/>
        <v>a</v>
      </c>
      <c r="Y390" s="9" t="str">
        <f t="shared" si="43"/>
        <v>a</v>
      </c>
      <c r="Z390" s="31">
        <f t="shared" si="46"/>
        <v>867250</v>
      </c>
      <c r="AA390" s="31">
        <f t="shared" si="47"/>
        <v>867250</v>
      </c>
    </row>
    <row r="391" spans="1:27" ht="13">
      <c r="A391" s="9">
        <v>389</v>
      </c>
      <c r="B391" s="3" t="s">
        <v>1743</v>
      </c>
      <c r="C391" s="3"/>
      <c r="D391" s="5">
        <v>112</v>
      </c>
      <c r="E391" s="3">
        <v>350</v>
      </c>
      <c r="F391" s="3">
        <v>250</v>
      </c>
      <c r="G391" s="5">
        <v>12.5</v>
      </c>
      <c r="H391" s="5">
        <v>12.5</v>
      </c>
      <c r="I391" s="3">
        <v>14200</v>
      </c>
      <c r="J391" s="3">
        <v>244200000</v>
      </c>
      <c r="K391" s="3">
        <v>1395000</v>
      </c>
      <c r="L391" s="3">
        <v>1685000</v>
      </c>
      <c r="M391" s="3">
        <v>131</v>
      </c>
      <c r="N391" s="5">
        <f t="shared" si="44"/>
        <v>8283.3333333333339</v>
      </c>
      <c r="O391" s="3">
        <v>144400000</v>
      </c>
      <c r="P391" s="3">
        <v>1156000</v>
      </c>
      <c r="Q391" s="3">
        <v>1334000</v>
      </c>
      <c r="R391" s="5">
        <v>101</v>
      </c>
      <c r="T391" s="3">
        <v>285300000</v>
      </c>
      <c r="U391" s="4"/>
      <c r="V391" s="5">
        <f t="shared" si="45"/>
        <v>5916.666666666667</v>
      </c>
      <c r="W391" s="8"/>
      <c r="X391" s="9" t="str">
        <f t="shared" si="43"/>
        <v>a</v>
      </c>
      <c r="Y391" s="9" t="str">
        <f t="shared" si="43"/>
        <v>a</v>
      </c>
      <c r="Z391" s="31">
        <f t="shared" si="46"/>
        <v>857421.875</v>
      </c>
      <c r="AA391" s="31">
        <f t="shared" si="47"/>
        <v>677734.375</v>
      </c>
    </row>
    <row r="392" spans="1:27" ht="13">
      <c r="A392" s="9">
        <v>390</v>
      </c>
      <c r="B392" s="3" t="s">
        <v>1744</v>
      </c>
      <c r="C392" s="3"/>
      <c r="D392" s="5">
        <v>115</v>
      </c>
      <c r="E392" s="3">
        <v>350</v>
      </c>
      <c r="F392" s="3">
        <v>150</v>
      </c>
      <c r="G392" s="5">
        <v>16</v>
      </c>
      <c r="H392" s="5">
        <v>16</v>
      </c>
      <c r="I392" s="3">
        <v>14700</v>
      </c>
      <c r="J392" s="3">
        <v>210790000</v>
      </c>
      <c r="K392" s="3">
        <v>1205000</v>
      </c>
      <c r="L392" s="3">
        <v>1561000</v>
      </c>
      <c r="M392" s="3">
        <v>120</v>
      </c>
      <c r="N392" s="5">
        <f t="shared" si="44"/>
        <v>10290</v>
      </c>
      <c r="O392" s="3">
        <v>53170000</v>
      </c>
      <c r="P392" s="3">
        <v>709000</v>
      </c>
      <c r="Q392" s="3">
        <v>840000</v>
      </c>
      <c r="R392" s="5">
        <v>60.1</v>
      </c>
      <c r="T392" s="3">
        <v>141240000</v>
      </c>
      <c r="U392" s="4"/>
      <c r="V392" s="5">
        <f t="shared" si="45"/>
        <v>4410</v>
      </c>
      <c r="W392" s="8"/>
      <c r="X392" s="9" t="str">
        <f t="shared" si="43"/>
        <v>a</v>
      </c>
      <c r="Y392" s="9" t="str">
        <f t="shared" si="43"/>
        <v>a</v>
      </c>
      <c r="Z392" s="31">
        <f t="shared" si="46"/>
        <v>805296</v>
      </c>
      <c r="AA392" s="31">
        <f t="shared" si="47"/>
        <v>430896</v>
      </c>
    </row>
    <row r="393" spans="1:27" ht="13">
      <c r="A393" s="9">
        <v>391</v>
      </c>
      <c r="B393" s="3" t="s">
        <v>1745</v>
      </c>
      <c r="C393" s="3"/>
      <c r="D393" s="5">
        <v>126</v>
      </c>
      <c r="E393" s="3">
        <v>350</v>
      </c>
      <c r="F393" s="3">
        <v>250</v>
      </c>
      <c r="G393" s="5">
        <v>14.2</v>
      </c>
      <c r="H393" s="5">
        <v>14.2</v>
      </c>
      <c r="I393" s="3">
        <v>16000</v>
      </c>
      <c r="J393" s="3">
        <v>272000000</v>
      </c>
      <c r="K393" s="3">
        <v>1554000</v>
      </c>
      <c r="L393" s="3">
        <v>1887000</v>
      </c>
      <c r="M393" s="3">
        <v>130</v>
      </c>
      <c r="N393" s="5">
        <f t="shared" si="44"/>
        <v>9333.3333333333339</v>
      </c>
      <c r="O393" s="3">
        <v>160500000</v>
      </c>
      <c r="P393" s="3">
        <v>1284000</v>
      </c>
      <c r="Q393" s="3">
        <v>1492000</v>
      </c>
      <c r="R393" s="5">
        <v>100</v>
      </c>
      <c r="T393" s="3">
        <v>318900000</v>
      </c>
      <c r="U393" s="4"/>
      <c r="V393" s="5">
        <f t="shared" si="45"/>
        <v>6666.666666666667</v>
      </c>
      <c r="W393" s="8"/>
      <c r="X393" s="9" t="str">
        <f t="shared" si="43"/>
        <v>a</v>
      </c>
      <c r="Y393" s="9" t="str">
        <f t="shared" si="43"/>
        <v>a</v>
      </c>
      <c r="Z393" s="31">
        <f t="shared" si="46"/>
        <v>963209.28799999994</v>
      </c>
      <c r="AA393" s="31">
        <f t="shared" si="47"/>
        <v>760291.28799999994</v>
      </c>
    </row>
    <row r="394" spans="1:27" ht="13">
      <c r="A394" s="9">
        <v>392</v>
      </c>
      <c r="B394" s="3" t="s">
        <v>1746</v>
      </c>
      <c r="C394" s="3"/>
      <c r="D394" s="5">
        <v>131</v>
      </c>
      <c r="E394" s="3">
        <v>350</v>
      </c>
      <c r="F394" s="3">
        <v>350</v>
      </c>
      <c r="G394" s="5">
        <v>12.5</v>
      </c>
      <c r="H394" s="5">
        <v>12.5</v>
      </c>
      <c r="I394" s="3">
        <v>16700</v>
      </c>
      <c r="J394" s="3">
        <v>315400000</v>
      </c>
      <c r="K394" s="3">
        <v>1802000</v>
      </c>
      <c r="L394" s="3">
        <v>2107000</v>
      </c>
      <c r="M394" s="3">
        <v>137</v>
      </c>
      <c r="N394" s="5">
        <f t="shared" si="44"/>
        <v>8350</v>
      </c>
      <c r="O394" s="3">
        <v>315400000</v>
      </c>
      <c r="P394" s="3">
        <v>1802000</v>
      </c>
      <c r="Q394" s="3">
        <v>2107000</v>
      </c>
      <c r="R394" s="5">
        <v>137</v>
      </c>
      <c r="T394" s="3">
        <v>489300000</v>
      </c>
      <c r="U394" s="4"/>
      <c r="V394" s="5">
        <f t="shared" si="45"/>
        <v>8350</v>
      </c>
      <c r="W394" s="8"/>
      <c r="X394" s="9" t="str">
        <f t="shared" si="43"/>
        <v>a</v>
      </c>
      <c r="Y394" s="9" t="str">
        <f t="shared" si="43"/>
        <v>a</v>
      </c>
      <c r="Z394" s="31">
        <f t="shared" si="46"/>
        <v>1068359.375</v>
      </c>
      <c r="AA394" s="31">
        <f t="shared" si="47"/>
        <v>1068359.375</v>
      </c>
    </row>
    <row r="395" spans="1:27" ht="13">
      <c r="A395" s="9">
        <v>393</v>
      </c>
      <c r="B395" s="3" t="s">
        <v>1747</v>
      </c>
      <c r="C395" s="3"/>
      <c r="D395" s="5">
        <v>141</v>
      </c>
      <c r="E395" s="3">
        <v>350</v>
      </c>
      <c r="F395" s="3">
        <v>250</v>
      </c>
      <c r="G395" s="5">
        <v>16</v>
      </c>
      <c r="H395" s="5">
        <v>16</v>
      </c>
      <c r="I395" s="3">
        <v>17900</v>
      </c>
      <c r="J395" s="3">
        <v>300110000</v>
      </c>
      <c r="K395" s="3">
        <v>1715000</v>
      </c>
      <c r="L395" s="3">
        <v>2095000</v>
      </c>
      <c r="M395" s="3">
        <v>129</v>
      </c>
      <c r="N395" s="5">
        <f t="shared" si="44"/>
        <v>10441.666666666666</v>
      </c>
      <c r="O395" s="3">
        <v>176540000</v>
      </c>
      <c r="P395" s="3">
        <v>1412000</v>
      </c>
      <c r="Q395" s="3">
        <v>1655000</v>
      </c>
      <c r="R395" s="5">
        <v>99.3</v>
      </c>
      <c r="T395" s="3">
        <v>353250000</v>
      </c>
      <c r="U395" s="4"/>
      <c r="V395" s="5">
        <f t="shared" si="45"/>
        <v>7458.333333333333</v>
      </c>
      <c r="W395" s="8"/>
      <c r="X395" s="9" t="str">
        <f t="shared" si="43"/>
        <v>a</v>
      </c>
      <c r="Y395" s="9" t="str">
        <f t="shared" si="43"/>
        <v>a</v>
      </c>
      <c r="Z395" s="31">
        <f t="shared" si="46"/>
        <v>1072496</v>
      </c>
      <c r="AA395" s="31">
        <f t="shared" si="47"/>
        <v>845296</v>
      </c>
    </row>
    <row r="396" spans="1:27" ht="13">
      <c r="A396" s="9">
        <v>394</v>
      </c>
      <c r="B396" s="3" t="s">
        <v>1748</v>
      </c>
      <c r="C396" s="3"/>
      <c r="D396" s="5">
        <v>148</v>
      </c>
      <c r="E396" s="3">
        <v>350</v>
      </c>
      <c r="F396" s="3">
        <v>350</v>
      </c>
      <c r="G396" s="5">
        <v>14.2</v>
      </c>
      <c r="H396" s="5">
        <v>14.2</v>
      </c>
      <c r="I396" s="3">
        <v>18900</v>
      </c>
      <c r="J396" s="3">
        <v>352100000</v>
      </c>
      <c r="K396" s="3">
        <v>2012000</v>
      </c>
      <c r="L396" s="3">
        <v>2364000</v>
      </c>
      <c r="M396" s="3">
        <v>137</v>
      </c>
      <c r="N396" s="5">
        <f t="shared" si="44"/>
        <v>9450</v>
      </c>
      <c r="O396" s="3">
        <v>352100000</v>
      </c>
      <c r="P396" s="3">
        <v>2012000</v>
      </c>
      <c r="Q396" s="3">
        <v>2364000</v>
      </c>
      <c r="R396" s="5">
        <v>137</v>
      </c>
      <c r="T396" s="3">
        <v>548800000</v>
      </c>
      <c r="U396" s="4"/>
      <c r="V396" s="5">
        <f t="shared" si="45"/>
        <v>9450</v>
      </c>
      <c r="W396" s="8"/>
      <c r="X396" s="9" t="str">
        <f t="shared" si="43"/>
        <v>a</v>
      </c>
      <c r="Y396" s="9" t="str">
        <f t="shared" si="43"/>
        <v>a</v>
      </c>
      <c r="Z396" s="31">
        <f t="shared" si="46"/>
        <v>1201627.2879999999</v>
      </c>
      <c r="AA396" s="31">
        <f t="shared" si="47"/>
        <v>1201627.2879999999</v>
      </c>
    </row>
    <row r="397" spans="1:27" ht="13">
      <c r="A397" s="9">
        <v>395</v>
      </c>
      <c r="B397" s="3" t="s">
        <v>1749</v>
      </c>
      <c r="C397" s="3"/>
      <c r="D397" s="5">
        <v>166</v>
      </c>
      <c r="E397" s="3">
        <v>350</v>
      </c>
      <c r="F397" s="3">
        <v>350</v>
      </c>
      <c r="G397" s="5">
        <v>16</v>
      </c>
      <c r="H397" s="5">
        <v>16</v>
      </c>
      <c r="I397" s="3">
        <v>21100</v>
      </c>
      <c r="J397" s="3">
        <v>389420000</v>
      </c>
      <c r="K397" s="3">
        <v>2225000</v>
      </c>
      <c r="L397" s="3">
        <v>2630000</v>
      </c>
      <c r="M397" s="3">
        <v>136</v>
      </c>
      <c r="N397" s="5">
        <f t="shared" si="44"/>
        <v>10550</v>
      </c>
      <c r="O397" s="3">
        <v>389420000</v>
      </c>
      <c r="P397" s="3">
        <v>2225000</v>
      </c>
      <c r="Q397" s="3">
        <v>2630000</v>
      </c>
      <c r="R397" s="5">
        <v>136</v>
      </c>
      <c r="T397" s="3">
        <v>609900000</v>
      </c>
      <c r="U397" s="4"/>
      <c r="V397" s="5">
        <f t="shared" si="45"/>
        <v>10550</v>
      </c>
      <c r="W397" s="8"/>
      <c r="X397" s="9" t="str">
        <f t="shared" si="43"/>
        <v>a</v>
      </c>
      <c r="Y397" s="9" t="str">
        <f t="shared" si="43"/>
        <v>a</v>
      </c>
      <c r="Z397" s="31">
        <f t="shared" si="46"/>
        <v>1339696</v>
      </c>
      <c r="AA397" s="31">
        <f t="shared" si="47"/>
        <v>1339696</v>
      </c>
    </row>
    <row r="398" spans="1:27" ht="13">
      <c r="A398" s="9">
        <v>396</v>
      </c>
      <c r="B398" s="3" t="s">
        <v>1750</v>
      </c>
      <c r="C398" s="3"/>
      <c r="D398" s="5">
        <v>190</v>
      </c>
      <c r="E398" s="3">
        <v>350</v>
      </c>
      <c r="F398" s="3">
        <v>350</v>
      </c>
      <c r="G398" s="5">
        <v>19</v>
      </c>
      <c r="H398" s="5">
        <v>19</v>
      </c>
      <c r="I398" s="3">
        <v>24200</v>
      </c>
      <c r="J398" s="3">
        <v>433580000</v>
      </c>
      <c r="K398" s="3">
        <v>2478000</v>
      </c>
      <c r="L398" s="3">
        <v>2967000</v>
      </c>
      <c r="M398" s="3">
        <v>134</v>
      </c>
      <c r="N398" s="5">
        <f t="shared" si="44"/>
        <v>12100</v>
      </c>
      <c r="O398" s="3">
        <v>433580000</v>
      </c>
      <c r="P398" s="3">
        <v>2478000</v>
      </c>
      <c r="Q398" s="3">
        <v>2967000</v>
      </c>
      <c r="R398" s="5">
        <v>134</v>
      </c>
      <c r="T398" s="3">
        <v>709310000</v>
      </c>
      <c r="U398" s="4"/>
      <c r="V398" s="5">
        <f t="shared" si="45"/>
        <v>12100</v>
      </c>
      <c r="W398" s="8"/>
      <c r="X398" s="9" t="str">
        <f t="shared" si="43"/>
        <v>a</v>
      </c>
      <c r="Y398" s="9" t="str">
        <f t="shared" si="43"/>
        <v>a</v>
      </c>
      <c r="Z398" s="31">
        <f t="shared" si="46"/>
        <v>1562959</v>
      </c>
      <c r="AA398" s="31">
        <f t="shared" si="47"/>
        <v>1562959</v>
      </c>
    </row>
    <row r="399" spans="1:27" ht="13">
      <c r="A399" s="9">
        <v>397</v>
      </c>
      <c r="B399" s="3" t="s">
        <v>1751</v>
      </c>
      <c r="C399" s="3"/>
      <c r="D399" s="5">
        <v>217</v>
      </c>
      <c r="E399" s="3">
        <v>350</v>
      </c>
      <c r="F399" s="3">
        <v>350</v>
      </c>
      <c r="G399" s="5">
        <v>22</v>
      </c>
      <c r="H399" s="5">
        <v>22</v>
      </c>
      <c r="I399" s="3">
        <v>27600</v>
      </c>
      <c r="J399" s="3">
        <v>438550000</v>
      </c>
      <c r="K399" s="3">
        <v>2763000</v>
      </c>
      <c r="L399" s="3">
        <v>3343000</v>
      </c>
      <c r="M399" s="3">
        <v>132</v>
      </c>
      <c r="N399" s="5">
        <f t="shared" si="44"/>
        <v>13800</v>
      </c>
      <c r="O399" s="3">
        <v>438550000</v>
      </c>
      <c r="P399" s="3">
        <v>2763000</v>
      </c>
      <c r="Q399" s="3">
        <v>3343000</v>
      </c>
      <c r="R399" s="5">
        <v>132</v>
      </c>
      <c r="T399" s="3">
        <v>801780000</v>
      </c>
      <c r="U399" s="4"/>
      <c r="V399" s="5">
        <f t="shared" si="45"/>
        <v>13800</v>
      </c>
      <c r="W399" s="8"/>
      <c r="X399" s="9" t="str">
        <f t="shared" si="43"/>
        <v>a</v>
      </c>
      <c r="Y399" s="9" t="str">
        <f t="shared" si="43"/>
        <v>a</v>
      </c>
      <c r="Z399" s="31">
        <f t="shared" si="46"/>
        <v>1777798</v>
      </c>
      <c r="AA399" s="31">
        <f t="shared" si="47"/>
        <v>1777798</v>
      </c>
    </row>
    <row r="400" spans="1:27" ht="13">
      <c r="A400" s="9">
        <v>398</v>
      </c>
      <c r="B400" s="3" t="s">
        <v>1752</v>
      </c>
      <c r="C400" s="3"/>
      <c r="D400" s="5">
        <v>242</v>
      </c>
      <c r="E400" s="3">
        <v>350</v>
      </c>
      <c r="F400" s="3">
        <v>350</v>
      </c>
      <c r="G400" s="5">
        <v>25</v>
      </c>
      <c r="H400" s="5">
        <v>25</v>
      </c>
      <c r="I400" s="3">
        <v>30900</v>
      </c>
      <c r="J400" s="3">
        <v>528930000</v>
      </c>
      <c r="K400" s="3">
        <v>3022000</v>
      </c>
      <c r="L400" s="3">
        <v>3695000</v>
      </c>
      <c r="M400" s="3">
        <v>131</v>
      </c>
      <c r="N400" s="5">
        <f t="shared" si="44"/>
        <v>15450</v>
      </c>
      <c r="O400" s="3">
        <v>528930000</v>
      </c>
      <c r="P400" s="3">
        <v>3022000</v>
      </c>
      <c r="Q400" s="3">
        <v>3695000</v>
      </c>
      <c r="R400" s="5">
        <v>131</v>
      </c>
      <c r="T400" s="3">
        <v>888830000</v>
      </c>
      <c r="U400" s="4"/>
      <c r="V400" s="5">
        <f t="shared" si="45"/>
        <v>15450</v>
      </c>
      <c r="W400" s="8"/>
      <c r="X400" s="9" t="str">
        <f t="shared" si="43"/>
        <v>a</v>
      </c>
      <c r="Y400" s="9" t="str">
        <f t="shared" si="43"/>
        <v>a</v>
      </c>
      <c r="Z400" s="31">
        <f t="shared" si="46"/>
        <v>1984375</v>
      </c>
      <c r="AA400" s="31">
        <f t="shared" si="47"/>
        <v>1984375</v>
      </c>
    </row>
    <row r="401" spans="1:27" ht="13">
      <c r="A401" s="9">
        <v>399</v>
      </c>
      <c r="B401" s="3" t="s">
        <v>1753</v>
      </c>
      <c r="C401" s="3"/>
      <c r="D401" s="5">
        <v>49.9</v>
      </c>
      <c r="E401" s="3">
        <v>400</v>
      </c>
      <c r="F401" s="3">
        <v>120</v>
      </c>
      <c r="G401" s="5">
        <v>6.3</v>
      </c>
      <c r="H401" s="5">
        <v>6.3</v>
      </c>
      <c r="I401" s="3">
        <v>6350</v>
      </c>
      <c r="J401" s="3">
        <v>117900000</v>
      </c>
      <c r="K401" s="3">
        <v>590000</v>
      </c>
      <c r="L401" s="3">
        <v>762000</v>
      </c>
      <c r="M401" s="3">
        <v>136</v>
      </c>
      <c r="N401" s="5">
        <f t="shared" si="44"/>
        <v>4884.6153846153848</v>
      </c>
      <c r="O401" s="3">
        <v>17440000</v>
      </c>
      <c r="P401" s="3">
        <v>291000</v>
      </c>
      <c r="Q401" s="3">
        <v>320000</v>
      </c>
      <c r="R401" s="5">
        <v>52.4</v>
      </c>
      <c r="T401" s="3">
        <v>50390000</v>
      </c>
      <c r="U401" s="4"/>
      <c r="V401" s="5">
        <f t="shared" si="45"/>
        <v>1465.3846153846155</v>
      </c>
      <c r="W401" s="8"/>
      <c r="X401" s="9" t="str">
        <f t="shared" si="43"/>
        <v>a</v>
      </c>
      <c r="Y401" s="9" t="str">
        <f t="shared" si="43"/>
        <v>a</v>
      </c>
      <c r="Z401" s="31">
        <f t="shared" si="46"/>
        <v>385192.647</v>
      </c>
      <c r="AA401" s="31">
        <f t="shared" si="47"/>
        <v>161429.247</v>
      </c>
    </row>
    <row r="402" spans="1:27" ht="13">
      <c r="A402" s="9">
        <v>400</v>
      </c>
      <c r="B402" s="3" t="s">
        <v>1754</v>
      </c>
      <c r="C402" s="3"/>
      <c r="D402" s="5">
        <v>52.8</v>
      </c>
      <c r="E402" s="3">
        <v>400</v>
      </c>
      <c r="F402" s="3">
        <v>150</v>
      </c>
      <c r="G402" s="5">
        <v>6.3</v>
      </c>
      <c r="H402" s="5">
        <v>6.3</v>
      </c>
      <c r="I402" s="3">
        <v>6730</v>
      </c>
      <c r="J402" s="3">
        <v>132550000</v>
      </c>
      <c r="K402" s="3">
        <v>663000</v>
      </c>
      <c r="L402" s="3">
        <v>836000</v>
      </c>
      <c r="M402" s="3">
        <v>140</v>
      </c>
      <c r="N402" s="5">
        <f t="shared" si="44"/>
        <v>4894.545454545455</v>
      </c>
      <c r="O402" s="3">
        <v>28510000</v>
      </c>
      <c r="P402" s="3">
        <v>380000</v>
      </c>
      <c r="Q402" s="3">
        <v>418000</v>
      </c>
      <c r="R402" s="5">
        <v>65.099999999999994</v>
      </c>
      <c r="T402" s="3">
        <v>75950000</v>
      </c>
      <c r="U402" s="4"/>
      <c r="V402" s="5">
        <f t="shared" si="45"/>
        <v>1835.4545454545455</v>
      </c>
      <c r="W402" s="8"/>
      <c r="X402" s="9" t="str">
        <f t="shared" si="43"/>
        <v>a</v>
      </c>
      <c r="Y402" s="9" t="str">
        <f t="shared" si="43"/>
        <v>a</v>
      </c>
      <c r="Z402" s="31">
        <f t="shared" si="46"/>
        <v>422397.29699999996</v>
      </c>
      <c r="AA402" s="31">
        <f t="shared" si="47"/>
        <v>210796.04699999999</v>
      </c>
    </row>
    <row r="403" spans="1:27" ht="13">
      <c r="A403" s="9">
        <v>401</v>
      </c>
      <c r="B403" s="3" t="s">
        <v>1755</v>
      </c>
      <c r="C403" s="3"/>
      <c r="D403" s="5">
        <v>56</v>
      </c>
      <c r="E403" s="3">
        <v>400</v>
      </c>
      <c r="F403" s="3">
        <v>120</v>
      </c>
      <c r="G403" s="5">
        <v>7.1</v>
      </c>
      <c r="H403" s="5">
        <v>7.1</v>
      </c>
      <c r="I403" s="3">
        <v>7130</v>
      </c>
      <c r="J403" s="3">
        <v>131500000</v>
      </c>
      <c r="K403" s="3">
        <v>658000</v>
      </c>
      <c r="L403" s="3">
        <v>852000</v>
      </c>
      <c r="M403" s="3">
        <v>136</v>
      </c>
      <c r="N403" s="5">
        <f t="shared" si="44"/>
        <v>5484.6153846153848</v>
      </c>
      <c r="O403" s="3">
        <v>19320000</v>
      </c>
      <c r="P403" s="3">
        <v>322000</v>
      </c>
      <c r="Q403" s="3">
        <v>357000</v>
      </c>
      <c r="R403" s="5">
        <v>52.1</v>
      </c>
      <c r="T403" s="3">
        <v>56030000</v>
      </c>
      <c r="U403" s="4"/>
      <c r="V403" s="5">
        <f t="shared" si="45"/>
        <v>1645.3846153846155</v>
      </c>
      <c r="W403" s="8"/>
      <c r="X403" s="9" t="str">
        <f t="shared" ref="X403:Y422" si="48">IF(fy=460,"a0","a")</f>
        <v>a</v>
      </c>
      <c r="Y403" s="9" t="str">
        <f t="shared" si="48"/>
        <v>a</v>
      </c>
      <c r="Z403" s="31">
        <f t="shared" si="46"/>
        <v>431569.31099999999</v>
      </c>
      <c r="AA403" s="31">
        <f t="shared" si="47"/>
        <v>180186.71100000001</v>
      </c>
    </row>
    <row r="404" spans="1:27" ht="13">
      <c r="A404" s="9">
        <v>402</v>
      </c>
      <c r="B404" s="3" t="s">
        <v>1756</v>
      </c>
      <c r="C404" s="3"/>
      <c r="D404" s="5">
        <v>57.8</v>
      </c>
      <c r="E404" s="3">
        <v>400</v>
      </c>
      <c r="F404" s="3">
        <v>200</v>
      </c>
      <c r="G404" s="5">
        <v>6.3</v>
      </c>
      <c r="H404" s="5">
        <v>6.3</v>
      </c>
      <c r="I404" s="3">
        <v>7360</v>
      </c>
      <c r="J404" s="3">
        <v>156960000</v>
      </c>
      <c r="K404" s="3">
        <v>785000</v>
      </c>
      <c r="L404" s="3">
        <v>960000</v>
      </c>
      <c r="M404" s="3">
        <v>146</v>
      </c>
      <c r="N404" s="5">
        <f t="shared" si="44"/>
        <v>4906.666666666667</v>
      </c>
      <c r="O404" s="3">
        <v>53760000</v>
      </c>
      <c r="P404" s="3">
        <v>538000</v>
      </c>
      <c r="Q404" s="3">
        <v>594000</v>
      </c>
      <c r="R404" s="5">
        <v>85.5</v>
      </c>
      <c r="T404" s="3">
        <v>126120000</v>
      </c>
      <c r="U404" s="4"/>
      <c r="V404" s="5">
        <f t="shared" si="45"/>
        <v>2453.3333333333335</v>
      </c>
      <c r="W404" s="8"/>
      <c r="X404" s="9" t="str">
        <f t="shared" si="48"/>
        <v>a</v>
      </c>
      <c r="Y404" s="9" t="str">
        <f t="shared" si="48"/>
        <v>a</v>
      </c>
      <c r="Z404" s="31">
        <f t="shared" si="46"/>
        <v>484405.04699999996</v>
      </c>
      <c r="AA404" s="31">
        <f t="shared" si="47"/>
        <v>299374.04700000002</v>
      </c>
    </row>
    <row r="405" spans="1:27" ht="13">
      <c r="A405" s="9">
        <v>403</v>
      </c>
      <c r="B405" s="3" t="s">
        <v>1757</v>
      </c>
      <c r="C405" s="3"/>
      <c r="D405" s="5">
        <v>59.3</v>
      </c>
      <c r="E405" s="3">
        <v>400</v>
      </c>
      <c r="F405" s="3">
        <v>150</v>
      </c>
      <c r="G405" s="5">
        <v>7.1</v>
      </c>
      <c r="H405" s="5">
        <v>7.1</v>
      </c>
      <c r="I405" s="3">
        <v>7550</v>
      </c>
      <c r="J405" s="3">
        <v>147940000</v>
      </c>
      <c r="K405" s="3">
        <v>740000</v>
      </c>
      <c r="L405" s="3">
        <v>936000</v>
      </c>
      <c r="M405" s="3">
        <v>140</v>
      </c>
      <c r="N405" s="5">
        <f t="shared" si="44"/>
        <v>5490.909090909091</v>
      </c>
      <c r="O405" s="3">
        <v>31660000</v>
      </c>
      <c r="P405" s="3">
        <v>422000</v>
      </c>
      <c r="Q405" s="3">
        <v>467000</v>
      </c>
      <c r="R405" s="5">
        <v>64.7</v>
      </c>
      <c r="T405" s="3">
        <v>84670000</v>
      </c>
      <c r="U405" s="4"/>
      <c r="V405" s="5">
        <f t="shared" si="45"/>
        <v>2059.090909090909</v>
      </c>
      <c r="W405" s="8"/>
      <c r="X405" s="9" t="str">
        <f t="shared" si="48"/>
        <v>a</v>
      </c>
      <c r="Y405" s="9" t="str">
        <f t="shared" si="48"/>
        <v>a</v>
      </c>
      <c r="Z405" s="31">
        <f t="shared" si="46"/>
        <v>473413.16100000002</v>
      </c>
      <c r="AA405" s="31">
        <f t="shared" si="47"/>
        <v>235651.91099999999</v>
      </c>
    </row>
    <row r="406" spans="1:27" ht="13">
      <c r="A406" s="9">
        <v>404</v>
      </c>
      <c r="B406" s="3" t="s">
        <v>1758</v>
      </c>
      <c r="C406" s="3"/>
      <c r="D406" s="5">
        <v>62.8</v>
      </c>
      <c r="E406" s="3">
        <v>400</v>
      </c>
      <c r="F406" s="3">
        <v>120</v>
      </c>
      <c r="G406" s="5">
        <v>8</v>
      </c>
      <c r="H406" s="5">
        <v>8</v>
      </c>
      <c r="I406" s="3">
        <v>8000</v>
      </c>
      <c r="J406" s="3">
        <v>146440000</v>
      </c>
      <c r="K406" s="3">
        <v>732000</v>
      </c>
      <c r="L406" s="3">
        <v>952000</v>
      </c>
      <c r="M406" s="3">
        <v>135</v>
      </c>
      <c r="N406" s="5">
        <f t="shared" si="44"/>
        <v>6153.8461538461543</v>
      </c>
      <c r="O406" s="3">
        <v>21340000</v>
      </c>
      <c r="P406" s="3">
        <v>356000</v>
      </c>
      <c r="Q406" s="3">
        <v>397000</v>
      </c>
      <c r="R406" s="5">
        <v>51.7</v>
      </c>
      <c r="T406" s="3">
        <v>62180000</v>
      </c>
      <c r="U406" s="4"/>
      <c r="V406" s="5">
        <f t="shared" si="45"/>
        <v>1846.1538461538462</v>
      </c>
      <c r="W406" s="8"/>
      <c r="X406" s="9" t="str">
        <f t="shared" si="48"/>
        <v>a</v>
      </c>
      <c r="Y406" s="9" t="str">
        <f t="shared" si="48"/>
        <v>a</v>
      </c>
      <c r="Z406" s="31">
        <f t="shared" si="46"/>
        <v>483072</v>
      </c>
      <c r="AA406" s="31">
        <f t="shared" si="47"/>
        <v>200832</v>
      </c>
    </row>
    <row r="407" spans="1:27" ht="13">
      <c r="A407" s="9">
        <v>405</v>
      </c>
      <c r="B407" s="3" t="s">
        <v>1759</v>
      </c>
      <c r="C407" s="3"/>
      <c r="D407" s="5">
        <v>64.900000000000006</v>
      </c>
      <c r="E407" s="3">
        <v>400</v>
      </c>
      <c r="F407" s="3">
        <v>200</v>
      </c>
      <c r="G407" s="5">
        <v>7.1</v>
      </c>
      <c r="H407" s="5">
        <v>7.1</v>
      </c>
      <c r="I407" s="3">
        <v>8260</v>
      </c>
      <c r="J407" s="3">
        <v>175350000</v>
      </c>
      <c r="K407" s="3">
        <v>877000</v>
      </c>
      <c r="L407" s="3">
        <v>1075000</v>
      </c>
      <c r="M407" s="3">
        <v>146</v>
      </c>
      <c r="N407" s="5">
        <f t="shared" si="44"/>
        <v>5506.666666666667</v>
      </c>
      <c r="O407" s="3">
        <v>59890000</v>
      </c>
      <c r="P407" s="3">
        <v>599000</v>
      </c>
      <c r="Q407" s="3">
        <v>665000</v>
      </c>
      <c r="R407" s="5">
        <v>85.1</v>
      </c>
      <c r="T407" s="3">
        <v>140960000</v>
      </c>
      <c r="U407" s="4"/>
      <c r="V407" s="5">
        <f t="shared" si="45"/>
        <v>2753.3333333333335</v>
      </c>
      <c r="W407" s="8"/>
      <c r="X407" s="9" t="str">
        <f t="shared" si="48"/>
        <v>a</v>
      </c>
      <c r="Y407" s="9" t="str">
        <f t="shared" si="48"/>
        <v>a</v>
      </c>
      <c r="Z407" s="31">
        <f t="shared" si="46"/>
        <v>543152.91100000008</v>
      </c>
      <c r="AA407" s="31">
        <f t="shared" si="47"/>
        <v>335193.91100000002</v>
      </c>
    </row>
    <row r="408" spans="1:27" ht="13">
      <c r="A408" s="9">
        <v>406</v>
      </c>
      <c r="B408" s="3" t="s">
        <v>1760</v>
      </c>
      <c r="C408" s="3"/>
      <c r="D408" s="5">
        <v>66.5</v>
      </c>
      <c r="E408" s="3">
        <v>400</v>
      </c>
      <c r="F408" s="3">
        <v>150</v>
      </c>
      <c r="G408" s="5">
        <v>8</v>
      </c>
      <c r="H408" s="5">
        <v>8</v>
      </c>
      <c r="I408" s="3">
        <v>8480</v>
      </c>
      <c r="J408" s="3">
        <v>164880000</v>
      </c>
      <c r="K408" s="3">
        <v>824000</v>
      </c>
      <c r="L408" s="3">
        <v>1046000</v>
      </c>
      <c r="M408" s="3">
        <v>139</v>
      </c>
      <c r="N408" s="5">
        <f t="shared" si="44"/>
        <v>6167.272727272727</v>
      </c>
      <c r="O408" s="3">
        <v>35090000</v>
      </c>
      <c r="P408" s="3">
        <v>468000</v>
      </c>
      <c r="Q408" s="3">
        <v>521000</v>
      </c>
      <c r="R408" s="5">
        <v>64.3</v>
      </c>
      <c r="T408" s="3">
        <v>94240000</v>
      </c>
      <c r="U408" s="4"/>
      <c r="V408" s="5">
        <f t="shared" si="45"/>
        <v>2312.7272727272725</v>
      </c>
      <c r="W408" s="8"/>
      <c r="X408" s="9" t="str">
        <f t="shared" si="48"/>
        <v>a</v>
      </c>
      <c r="Y408" s="9" t="str">
        <f t="shared" si="48"/>
        <v>a</v>
      </c>
      <c r="Z408" s="31">
        <f t="shared" si="46"/>
        <v>530112</v>
      </c>
      <c r="AA408" s="31">
        <f t="shared" si="47"/>
        <v>263112</v>
      </c>
    </row>
    <row r="409" spans="1:27" ht="13">
      <c r="A409" s="9">
        <v>407</v>
      </c>
      <c r="B409" s="3" t="s">
        <v>1761</v>
      </c>
      <c r="C409" s="3"/>
      <c r="D409" s="5">
        <v>68.8</v>
      </c>
      <c r="E409" s="3">
        <v>400</v>
      </c>
      <c r="F409" s="3">
        <v>120</v>
      </c>
      <c r="G409" s="5">
        <v>8.8000000000000007</v>
      </c>
      <c r="H409" s="5">
        <v>8.8000000000000007</v>
      </c>
      <c r="I409" s="3">
        <v>8760</v>
      </c>
      <c r="J409" s="3">
        <v>159400000</v>
      </c>
      <c r="K409" s="3">
        <v>797000</v>
      </c>
      <c r="L409" s="3">
        <v>1040000</v>
      </c>
      <c r="M409" s="3">
        <v>135</v>
      </c>
      <c r="N409" s="5">
        <f t="shared" si="44"/>
        <v>6738.4615384615381</v>
      </c>
      <c r="O409" s="3">
        <v>23060000</v>
      </c>
      <c r="P409" s="3">
        <v>384000</v>
      </c>
      <c r="Q409" s="3">
        <v>432000</v>
      </c>
      <c r="R409" s="5">
        <v>51.3</v>
      </c>
      <c r="T409" s="3">
        <v>67460000</v>
      </c>
      <c r="U409" s="4"/>
      <c r="V409" s="5">
        <f t="shared" si="45"/>
        <v>2021.5384615384614</v>
      </c>
      <c r="W409" s="8"/>
      <c r="X409" s="9" t="str">
        <f t="shared" si="48"/>
        <v>a</v>
      </c>
      <c r="Y409" s="9" t="str">
        <f t="shared" si="48"/>
        <v>a</v>
      </c>
      <c r="Z409" s="31">
        <f t="shared" si="46"/>
        <v>528259.07200000004</v>
      </c>
      <c r="AA409" s="31">
        <f t="shared" si="47"/>
        <v>218780.67200000002</v>
      </c>
    </row>
    <row r="410" spans="1:27" ht="13">
      <c r="A410" s="9">
        <v>408</v>
      </c>
      <c r="B410" s="3" t="s">
        <v>1762</v>
      </c>
      <c r="C410" s="3"/>
      <c r="D410" s="5">
        <v>72.8</v>
      </c>
      <c r="E410" s="3">
        <v>400</v>
      </c>
      <c r="F410" s="3">
        <v>200</v>
      </c>
      <c r="G410" s="5">
        <v>8</v>
      </c>
      <c r="H410" s="5">
        <v>8</v>
      </c>
      <c r="I410" s="3">
        <v>9280</v>
      </c>
      <c r="J410" s="3">
        <v>195620000</v>
      </c>
      <c r="K410" s="3">
        <v>978000</v>
      </c>
      <c r="L410" s="3">
        <v>1203000</v>
      </c>
      <c r="M410" s="3">
        <v>145</v>
      </c>
      <c r="N410" s="5">
        <f t="shared" si="44"/>
        <v>6186.666666666667</v>
      </c>
      <c r="O410" s="3">
        <v>66600000</v>
      </c>
      <c r="P410" s="3">
        <v>666000</v>
      </c>
      <c r="Q410" s="3">
        <v>743000</v>
      </c>
      <c r="R410" s="5">
        <v>84.7</v>
      </c>
      <c r="T410" s="3">
        <v>157350000</v>
      </c>
      <c r="U410" s="4"/>
      <c r="V410" s="5">
        <f t="shared" si="45"/>
        <v>3093.3333333333335</v>
      </c>
      <c r="W410" s="8"/>
      <c r="X410" s="9" t="str">
        <f t="shared" si="48"/>
        <v>a</v>
      </c>
      <c r="Y410" s="9" t="str">
        <f t="shared" si="48"/>
        <v>a</v>
      </c>
      <c r="Z410" s="31">
        <f t="shared" si="46"/>
        <v>608512</v>
      </c>
      <c r="AA410" s="31">
        <f t="shared" si="47"/>
        <v>374912</v>
      </c>
    </row>
    <row r="411" spans="1:27" ht="13">
      <c r="A411" s="9">
        <v>409</v>
      </c>
      <c r="B411" s="3" t="s">
        <v>1763</v>
      </c>
      <c r="C411" s="3"/>
      <c r="D411" s="5">
        <v>72.900000000000006</v>
      </c>
      <c r="E411" s="3">
        <v>400</v>
      </c>
      <c r="F411" s="3">
        <v>150</v>
      </c>
      <c r="G411" s="5">
        <v>8.8000000000000007</v>
      </c>
      <c r="H411" s="5">
        <v>8.8000000000000007</v>
      </c>
      <c r="I411" s="3">
        <v>9290</v>
      </c>
      <c r="J411" s="3">
        <v>179610000</v>
      </c>
      <c r="K411" s="3">
        <v>898000</v>
      </c>
      <c r="L411" s="3">
        <v>1143000</v>
      </c>
      <c r="M411" s="3">
        <v>139</v>
      </c>
      <c r="N411" s="5">
        <f t="shared" si="44"/>
        <v>6756.363636363636</v>
      </c>
      <c r="O411" s="3">
        <v>38040000</v>
      </c>
      <c r="P411" s="3">
        <v>507000</v>
      </c>
      <c r="Q411" s="3">
        <v>568000</v>
      </c>
      <c r="R411" s="5">
        <v>64</v>
      </c>
      <c r="T411" s="3">
        <v>102540000</v>
      </c>
      <c r="U411" s="4"/>
      <c r="V411" s="5">
        <f t="shared" si="45"/>
        <v>2533.6363636363635</v>
      </c>
      <c r="W411" s="8"/>
      <c r="X411" s="9" t="str">
        <f t="shared" si="48"/>
        <v>a</v>
      </c>
      <c r="Y411" s="9" t="str">
        <f t="shared" si="48"/>
        <v>a</v>
      </c>
      <c r="Z411" s="31">
        <f t="shared" si="46"/>
        <v>579897.47200000007</v>
      </c>
      <c r="AA411" s="31">
        <f t="shared" si="47"/>
        <v>287077.47200000001</v>
      </c>
    </row>
    <row r="412" spans="1:27" ht="13">
      <c r="A412" s="9">
        <v>410</v>
      </c>
      <c r="B412" s="3" t="s">
        <v>1764</v>
      </c>
      <c r="C412" s="3"/>
      <c r="D412" s="5">
        <v>77.7</v>
      </c>
      <c r="E412" s="3">
        <v>400</v>
      </c>
      <c r="F412" s="3">
        <v>120</v>
      </c>
      <c r="G412" s="5">
        <v>10</v>
      </c>
      <c r="H412" s="5">
        <v>10</v>
      </c>
      <c r="I412" s="3">
        <v>9890</v>
      </c>
      <c r="J412" s="3">
        <v>178290000</v>
      </c>
      <c r="K412" s="3">
        <v>891000</v>
      </c>
      <c r="L412" s="3">
        <v>1168000</v>
      </c>
      <c r="M412" s="3">
        <v>134</v>
      </c>
      <c r="N412" s="5">
        <f t="shared" si="44"/>
        <v>7607.6923076923076</v>
      </c>
      <c r="O412" s="3">
        <v>25510000</v>
      </c>
      <c r="P412" s="3">
        <v>425000</v>
      </c>
      <c r="Q412" s="3">
        <v>483000</v>
      </c>
      <c r="R412" s="5">
        <v>50.8</v>
      </c>
      <c r="T412" s="3">
        <v>75090000</v>
      </c>
      <c r="U412" s="4"/>
      <c r="V412" s="5">
        <f t="shared" si="45"/>
        <v>2282.3076923076924</v>
      </c>
      <c r="W412" s="8"/>
      <c r="X412" s="9" t="str">
        <f t="shared" si="48"/>
        <v>a</v>
      </c>
      <c r="Y412" s="9" t="str">
        <f t="shared" si="48"/>
        <v>a</v>
      </c>
      <c r="Z412" s="31">
        <f t="shared" si="46"/>
        <v>595000</v>
      </c>
      <c r="AA412" s="31">
        <f t="shared" si="47"/>
        <v>245000</v>
      </c>
    </row>
    <row r="413" spans="1:27" ht="13">
      <c r="A413" s="9">
        <v>411</v>
      </c>
      <c r="B413" s="3" t="s">
        <v>1765</v>
      </c>
      <c r="C413" s="3"/>
      <c r="D413" s="5">
        <v>79.8</v>
      </c>
      <c r="E413" s="3">
        <v>400</v>
      </c>
      <c r="F413" s="3">
        <v>200</v>
      </c>
      <c r="G413" s="5">
        <v>8.8000000000000007</v>
      </c>
      <c r="H413" s="5">
        <v>8.8000000000000007</v>
      </c>
      <c r="I413" s="3">
        <v>10200</v>
      </c>
      <c r="J413" s="3">
        <v>213280000</v>
      </c>
      <c r="K413" s="3">
        <v>1066000</v>
      </c>
      <c r="L413" s="3">
        <v>1315000</v>
      </c>
      <c r="M413" s="3">
        <v>145</v>
      </c>
      <c r="N413" s="5">
        <f t="shared" si="44"/>
        <v>6800</v>
      </c>
      <c r="O413" s="3">
        <v>72410000</v>
      </c>
      <c r="P413" s="3">
        <v>724000</v>
      </c>
      <c r="Q413" s="3">
        <v>811000</v>
      </c>
      <c r="R413" s="5">
        <v>84.4</v>
      </c>
      <c r="T413" s="3">
        <v>171640000</v>
      </c>
      <c r="U413" s="4"/>
      <c r="V413" s="5">
        <f t="shared" si="45"/>
        <v>3400</v>
      </c>
      <c r="W413" s="8"/>
      <c r="X413" s="9" t="str">
        <f t="shared" si="48"/>
        <v>a</v>
      </c>
      <c r="Y413" s="9" t="str">
        <f t="shared" si="48"/>
        <v>a</v>
      </c>
      <c r="Z413" s="31">
        <f t="shared" si="46"/>
        <v>665961.47200000007</v>
      </c>
      <c r="AA413" s="31">
        <f t="shared" si="47"/>
        <v>409705.47200000001</v>
      </c>
    </row>
    <row r="414" spans="1:27" ht="13">
      <c r="A414" s="9">
        <v>412</v>
      </c>
      <c r="B414" s="3" t="s">
        <v>1766</v>
      </c>
      <c r="C414" s="3"/>
      <c r="D414" s="5">
        <v>82.4</v>
      </c>
      <c r="E414" s="3">
        <v>400</v>
      </c>
      <c r="F414" s="3">
        <v>150</v>
      </c>
      <c r="G414" s="5">
        <v>10</v>
      </c>
      <c r="H414" s="5">
        <v>10</v>
      </c>
      <c r="I414" s="3">
        <v>10500</v>
      </c>
      <c r="J414" s="3">
        <v>201110000</v>
      </c>
      <c r="K414" s="3">
        <v>1006000</v>
      </c>
      <c r="L414" s="3">
        <v>1285000</v>
      </c>
      <c r="M414" s="3">
        <v>138</v>
      </c>
      <c r="N414" s="5">
        <f t="shared" si="44"/>
        <v>7636.363636363636</v>
      </c>
      <c r="O414" s="3">
        <v>42270000</v>
      </c>
      <c r="P414" s="3">
        <v>564000</v>
      </c>
      <c r="Q414" s="3">
        <v>636000</v>
      </c>
      <c r="R414" s="5">
        <v>63.5</v>
      </c>
      <c r="T414" s="3">
        <v>114600000</v>
      </c>
      <c r="U414" s="4"/>
      <c r="V414" s="5">
        <f t="shared" si="45"/>
        <v>2863.6363636363635</v>
      </c>
      <c r="W414" s="8"/>
      <c r="X414" s="9" t="str">
        <f t="shared" si="48"/>
        <v>a</v>
      </c>
      <c r="Y414" s="9" t="str">
        <f t="shared" si="48"/>
        <v>a</v>
      </c>
      <c r="Z414" s="31">
        <f t="shared" si="46"/>
        <v>653500</v>
      </c>
      <c r="AA414" s="31">
        <f t="shared" si="47"/>
        <v>322250</v>
      </c>
    </row>
    <row r="415" spans="1:27" ht="13">
      <c r="A415" s="9">
        <v>413</v>
      </c>
      <c r="B415" s="3" t="s">
        <v>1767</v>
      </c>
      <c r="C415" s="3"/>
      <c r="D415" s="5">
        <v>85.4</v>
      </c>
      <c r="E415" s="3">
        <v>400</v>
      </c>
      <c r="F415" s="3">
        <v>300</v>
      </c>
      <c r="G415" s="5">
        <v>8</v>
      </c>
      <c r="H415" s="5">
        <v>8</v>
      </c>
      <c r="I415" s="3">
        <v>10900</v>
      </c>
      <c r="J415" s="3">
        <v>257090000</v>
      </c>
      <c r="K415" s="3">
        <v>1285000</v>
      </c>
      <c r="L415" s="3">
        <v>1517000</v>
      </c>
      <c r="M415" s="3">
        <v>154</v>
      </c>
      <c r="N415" s="5">
        <f t="shared" si="44"/>
        <v>6228.5714285714284</v>
      </c>
      <c r="O415" s="3">
        <v>165400000</v>
      </c>
      <c r="P415" s="3">
        <v>1103000</v>
      </c>
      <c r="Q415" s="3">
        <v>1247000</v>
      </c>
      <c r="R415" s="5">
        <v>123</v>
      </c>
      <c r="T415" s="3">
        <v>310140000</v>
      </c>
      <c r="U415" s="4"/>
      <c r="V415" s="5">
        <f t="shared" si="45"/>
        <v>4671.4285714285716</v>
      </c>
      <c r="W415" s="8"/>
      <c r="X415" s="9" t="str">
        <f t="shared" si="48"/>
        <v>a</v>
      </c>
      <c r="Y415" s="9" t="str">
        <f t="shared" si="48"/>
        <v>a</v>
      </c>
      <c r="Z415" s="31">
        <f t="shared" si="46"/>
        <v>765312</v>
      </c>
      <c r="AA415" s="31">
        <f t="shared" si="47"/>
        <v>628512</v>
      </c>
    </row>
    <row r="416" spans="1:27" ht="13">
      <c r="A416" s="9">
        <v>414</v>
      </c>
      <c r="B416" s="3" t="s">
        <v>1768</v>
      </c>
      <c r="C416" s="3"/>
      <c r="D416" s="5">
        <v>90.2</v>
      </c>
      <c r="E416" s="3">
        <v>400</v>
      </c>
      <c r="F416" s="3">
        <v>200</v>
      </c>
      <c r="G416" s="5">
        <v>10</v>
      </c>
      <c r="H416" s="5">
        <v>10</v>
      </c>
      <c r="I416" s="3">
        <v>11500</v>
      </c>
      <c r="J416" s="3">
        <v>239140000</v>
      </c>
      <c r="K416" s="3">
        <v>1196000</v>
      </c>
      <c r="L416" s="3">
        <v>1480000</v>
      </c>
      <c r="M416" s="3">
        <v>144</v>
      </c>
      <c r="N416" s="5">
        <f t="shared" si="44"/>
        <v>7666.666666666667</v>
      </c>
      <c r="O416" s="3">
        <v>80840000</v>
      </c>
      <c r="P416" s="3">
        <v>808000</v>
      </c>
      <c r="Q416" s="3">
        <v>911000</v>
      </c>
      <c r="R416" s="5">
        <v>83.9</v>
      </c>
      <c r="T416" s="3">
        <v>192590000</v>
      </c>
      <c r="U416" s="4"/>
      <c r="V416" s="5">
        <f t="shared" si="45"/>
        <v>3833.3333333333335</v>
      </c>
      <c r="W416" s="8"/>
      <c r="X416" s="9" t="str">
        <f t="shared" si="48"/>
        <v>a</v>
      </c>
      <c r="Y416" s="9" t="str">
        <f t="shared" si="48"/>
        <v>a</v>
      </c>
      <c r="Z416" s="31">
        <f t="shared" si="46"/>
        <v>751000</v>
      </c>
      <c r="AA416" s="31">
        <f t="shared" si="47"/>
        <v>461000</v>
      </c>
    </row>
    <row r="417" spans="1:27" ht="13">
      <c r="A417" s="9">
        <v>415</v>
      </c>
      <c r="B417" s="3" t="s">
        <v>1769</v>
      </c>
      <c r="C417" s="3"/>
      <c r="D417" s="5">
        <v>93.6</v>
      </c>
      <c r="E417" s="3">
        <v>400</v>
      </c>
      <c r="F417" s="3">
        <v>300</v>
      </c>
      <c r="G417" s="5">
        <v>8.8000000000000007</v>
      </c>
      <c r="H417" s="5">
        <v>8.8000000000000007</v>
      </c>
      <c r="I417" s="3">
        <v>11900</v>
      </c>
      <c r="J417" s="3">
        <v>280630000</v>
      </c>
      <c r="K417" s="3">
        <v>1403000</v>
      </c>
      <c r="L417" s="3">
        <v>1659000</v>
      </c>
      <c r="M417" s="3">
        <v>153</v>
      </c>
      <c r="N417" s="5">
        <f t="shared" si="44"/>
        <v>6800</v>
      </c>
      <c r="O417" s="3">
        <v>180370000</v>
      </c>
      <c r="P417" s="3">
        <v>1202000</v>
      </c>
      <c r="Q417" s="3">
        <v>1363000</v>
      </c>
      <c r="R417" s="5">
        <v>123</v>
      </c>
      <c r="T417" s="3">
        <v>339080000</v>
      </c>
      <c r="U417" s="4"/>
      <c r="V417" s="5">
        <f t="shared" si="45"/>
        <v>5100</v>
      </c>
      <c r="W417" s="8"/>
      <c r="X417" s="9" t="str">
        <f t="shared" si="48"/>
        <v>a</v>
      </c>
      <c r="Y417" s="9" t="str">
        <f t="shared" si="48"/>
        <v>a</v>
      </c>
      <c r="Z417" s="31">
        <f t="shared" si="46"/>
        <v>838089.47200000007</v>
      </c>
      <c r="AA417" s="31">
        <f t="shared" si="47"/>
        <v>687961.47200000007</v>
      </c>
    </row>
    <row r="418" spans="1:27" ht="13">
      <c r="A418" s="9">
        <v>416</v>
      </c>
      <c r="B418" s="3" t="s">
        <v>1770</v>
      </c>
      <c r="C418" s="3"/>
      <c r="D418" s="5">
        <v>95.8</v>
      </c>
      <c r="E418" s="3">
        <v>400</v>
      </c>
      <c r="F418" s="3">
        <v>120</v>
      </c>
      <c r="G418" s="5">
        <v>12.5</v>
      </c>
      <c r="H418" s="5">
        <v>12.5</v>
      </c>
      <c r="I418" s="3">
        <v>12200</v>
      </c>
      <c r="J418" s="3">
        <v>215520000</v>
      </c>
      <c r="K418" s="3">
        <v>1078000</v>
      </c>
      <c r="L418" s="3">
        <v>1426000</v>
      </c>
      <c r="M418" s="3">
        <v>133</v>
      </c>
      <c r="N418" s="5">
        <f t="shared" si="44"/>
        <v>9384.6153846153848</v>
      </c>
      <c r="O418" s="3">
        <v>30130000</v>
      </c>
      <c r="P418" s="3">
        <v>502000</v>
      </c>
      <c r="Q418" s="3">
        <v>583000</v>
      </c>
      <c r="R418" s="5">
        <v>49.7</v>
      </c>
      <c r="T418" s="3">
        <v>89800000</v>
      </c>
      <c r="U418" s="4"/>
      <c r="V418" s="5">
        <f t="shared" si="45"/>
        <v>2815.3846153846152</v>
      </c>
      <c r="W418" s="8"/>
      <c r="X418" s="9" t="str">
        <f t="shared" si="48"/>
        <v>a</v>
      </c>
      <c r="Y418" s="9" t="str">
        <f t="shared" si="48"/>
        <v>a</v>
      </c>
      <c r="Z418" s="31">
        <f t="shared" si="46"/>
        <v>730078.125</v>
      </c>
      <c r="AA418" s="31">
        <f t="shared" si="47"/>
        <v>296953.125</v>
      </c>
    </row>
    <row r="419" spans="1:27" ht="13">
      <c r="A419" s="9">
        <v>417</v>
      </c>
      <c r="B419" s="3" t="s">
        <v>1771</v>
      </c>
      <c r="C419" s="3"/>
      <c r="D419" s="5">
        <v>97.9</v>
      </c>
      <c r="E419" s="3">
        <v>400</v>
      </c>
      <c r="F419" s="3">
        <v>400</v>
      </c>
      <c r="G419" s="5">
        <v>8</v>
      </c>
      <c r="H419" s="5">
        <v>8</v>
      </c>
      <c r="I419" s="3">
        <v>12500</v>
      </c>
      <c r="J419" s="3">
        <v>318570000</v>
      </c>
      <c r="K419" s="3">
        <v>1593000</v>
      </c>
      <c r="L419" s="3">
        <v>1830000</v>
      </c>
      <c r="M419" s="3">
        <v>160</v>
      </c>
      <c r="N419" s="5">
        <f t="shared" si="44"/>
        <v>6250</v>
      </c>
      <c r="O419" s="3">
        <v>318570000</v>
      </c>
      <c r="P419" s="3">
        <v>1593000</v>
      </c>
      <c r="Q419" s="3">
        <v>1830000</v>
      </c>
      <c r="R419" s="5">
        <v>160</v>
      </c>
      <c r="T419" s="3">
        <v>486950000</v>
      </c>
      <c r="U419" s="4"/>
      <c r="V419" s="5">
        <f t="shared" si="45"/>
        <v>6250</v>
      </c>
      <c r="W419" s="8"/>
      <c r="X419" s="9" t="str">
        <f t="shared" si="48"/>
        <v>a</v>
      </c>
      <c r="Y419" s="9" t="str">
        <f t="shared" si="48"/>
        <v>a</v>
      </c>
      <c r="Z419" s="31">
        <f t="shared" si="46"/>
        <v>922112</v>
      </c>
      <c r="AA419" s="31">
        <f t="shared" si="47"/>
        <v>922112</v>
      </c>
    </row>
    <row r="420" spans="1:27" ht="13">
      <c r="A420" s="9">
        <v>418</v>
      </c>
      <c r="B420" s="3" t="s">
        <v>1772</v>
      </c>
      <c r="C420" s="3"/>
      <c r="D420" s="5">
        <v>102</v>
      </c>
      <c r="E420" s="3">
        <v>400</v>
      </c>
      <c r="F420" s="3">
        <v>150</v>
      </c>
      <c r="G420" s="5">
        <v>12.5</v>
      </c>
      <c r="H420" s="5">
        <v>12.5</v>
      </c>
      <c r="I420" s="3">
        <v>13000</v>
      </c>
      <c r="J420" s="3">
        <v>243690000</v>
      </c>
      <c r="K420" s="3">
        <v>1218000</v>
      </c>
      <c r="L420" s="3">
        <v>1571000</v>
      </c>
      <c r="M420" s="3">
        <v>137</v>
      </c>
      <c r="N420" s="5">
        <f t="shared" si="44"/>
        <v>9454.545454545454</v>
      </c>
      <c r="O420" s="3">
        <v>50430000</v>
      </c>
      <c r="P420" s="3">
        <v>672000</v>
      </c>
      <c r="Q420" s="3">
        <v>772000</v>
      </c>
      <c r="R420" s="5">
        <v>62.4</v>
      </c>
      <c r="T420" s="3">
        <v>138310000</v>
      </c>
      <c r="U420" s="4"/>
      <c r="V420" s="5">
        <f t="shared" si="45"/>
        <v>3545.4545454545455</v>
      </c>
      <c r="W420" s="8"/>
      <c r="X420" s="9" t="str">
        <f t="shared" si="48"/>
        <v>a</v>
      </c>
      <c r="Y420" s="9" t="str">
        <f t="shared" si="48"/>
        <v>a</v>
      </c>
      <c r="Z420" s="31">
        <f t="shared" si="46"/>
        <v>802734.375</v>
      </c>
      <c r="AA420" s="31">
        <f t="shared" si="47"/>
        <v>392578.125</v>
      </c>
    </row>
    <row r="421" spans="1:27" ht="13">
      <c r="A421" s="9">
        <v>419</v>
      </c>
      <c r="B421" s="3" t="s">
        <v>1773</v>
      </c>
      <c r="C421" s="3"/>
      <c r="D421" s="5">
        <v>106</v>
      </c>
      <c r="E421" s="3">
        <v>400</v>
      </c>
      <c r="F421" s="3">
        <v>300</v>
      </c>
      <c r="G421" s="5">
        <v>10</v>
      </c>
      <c r="H421" s="5">
        <v>10</v>
      </c>
      <c r="I421" s="3">
        <v>13500</v>
      </c>
      <c r="J421" s="3">
        <v>315210000</v>
      </c>
      <c r="K421" s="3">
        <v>1576000</v>
      </c>
      <c r="L421" s="3">
        <v>1870000</v>
      </c>
      <c r="M421" s="3">
        <v>153</v>
      </c>
      <c r="N421" s="5">
        <f t="shared" si="44"/>
        <v>7714.2857142857147</v>
      </c>
      <c r="O421" s="3">
        <v>202330000</v>
      </c>
      <c r="P421" s="3">
        <v>1349000</v>
      </c>
      <c r="Q421" s="3">
        <v>1536000</v>
      </c>
      <c r="R421" s="5">
        <v>122</v>
      </c>
      <c r="T421" s="3">
        <v>381800000</v>
      </c>
      <c r="U421" s="4"/>
      <c r="V421" s="5">
        <f t="shared" si="45"/>
        <v>5785.7142857142853</v>
      </c>
      <c r="W421" s="8"/>
      <c r="X421" s="9" t="str">
        <f t="shared" si="48"/>
        <v>a</v>
      </c>
      <c r="Y421" s="9" t="str">
        <f t="shared" si="48"/>
        <v>a</v>
      </c>
      <c r="Z421" s="31">
        <f t="shared" si="46"/>
        <v>946000</v>
      </c>
      <c r="AA421" s="31">
        <f t="shared" si="47"/>
        <v>776000</v>
      </c>
    </row>
    <row r="422" spans="1:27" ht="13">
      <c r="A422" s="9">
        <v>420</v>
      </c>
      <c r="B422" s="3" t="s">
        <v>1774</v>
      </c>
      <c r="C422" s="3"/>
      <c r="D422" s="5">
        <v>107</v>
      </c>
      <c r="E422" s="3">
        <v>400</v>
      </c>
      <c r="F422" s="3">
        <v>400</v>
      </c>
      <c r="G422" s="5">
        <v>8.8000000000000007</v>
      </c>
      <c r="H422" s="5">
        <v>8.8000000000000007</v>
      </c>
      <c r="I422" s="3">
        <v>13700</v>
      </c>
      <c r="J422" s="3">
        <v>347980000</v>
      </c>
      <c r="K422" s="3">
        <v>1740000</v>
      </c>
      <c r="L422" s="3">
        <v>2004000</v>
      </c>
      <c r="M422" s="3">
        <v>159</v>
      </c>
      <c r="N422" s="5">
        <f t="shared" si="44"/>
        <v>6850</v>
      </c>
      <c r="O422" s="3">
        <v>347980000</v>
      </c>
      <c r="P422" s="3">
        <v>1740000</v>
      </c>
      <c r="Q422" s="3">
        <v>2004000</v>
      </c>
      <c r="R422" s="5">
        <v>159</v>
      </c>
      <c r="T422" s="3">
        <v>532900000</v>
      </c>
      <c r="U422" s="4"/>
      <c r="V422" s="5">
        <f t="shared" si="45"/>
        <v>6850</v>
      </c>
      <c r="W422" s="8"/>
      <c r="X422" s="9" t="str">
        <f t="shared" si="48"/>
        <v>a</v>
      </c>
      <c r="Y422" s="9" t="str">
        <f t="shared" si="48"/>
        <v>a</v>
      </c>
      <c r="Z422" s="31">
        <f t="shared" si="46"/>
        <v>1010217.4720000001</v>
      </c>
      <c r="AA422" s="31">
        <f t="shared" si="47"/>
        <v>1010217.4720000001</v>
      </c>
    </row>
    <row r="423" spans="1:27" ht="13">
      <c r="A423" s="9">
        <v>421</v>
      </c>
      <c r="B423" s="3" t="s">
        <v>1775</v>
      </c>
      <c r="C423" s="3"/>
      <c r="D423" s="5">
        <v>108</v>
      </c>
      <c r="E423" s="3">
        <v>400</v>
      </c>
      <c r="F423" s="3">
        <v>120</v>
      </c>
      <c r="G423" s="5">
        <v>14.2</v>
      </c>
      <c r="H423" s="5">
        <v>14.2</v>
      </c>
      <c r="I423" s="3">
        <v>13700</v>
      </c>
      <c r="J423" s="3">
        <v>239230000</v>
      </c>
      <c r="K423" s="3">
        <v>1196000</v>
      </c>
      <c r="L423" s="3">
        <v>1593000</v>
      </c>
      <c r="M423" s="3">
        <v>132</v>
      </c>
      <c r="N423" s="5">
        <f t="shared" si="44"/>
        <v>10538.461538461539</v>
      </c>
      <c r="O423" s="3">
        <v>32920000</v>
      </c>
      <c r="P423" s="3">
        <v>549000</v>
      </c>
      <c r="Q423" s="3">
        <v>646000</v>
      </c>
      <c r="R423" s="5">
        <v>48.9</v>
      </c>
      <c r="T423" s="3">
        <v>98930000</v>
      </c>
      <c r="U423" s="4"/>
      <c r="V423" s="5">
        <f t="shared" si="45"/>
        <v>3161.5384615384614</v>
      </c>
      <c r="W423" s="8"/>
      <c r="X423" s="9" t="str">
        <f t="shared" ref="X423:Y442" si="49">IF(fy=460,"a0","a")</f>
        <v>a</v>
      </c>
      <c r="Y423" s="9" t="str">
        <f t="shared" si="49"/>
        <v>a</v>
      </c>
      <c r="Z423" s="31">
        <f t="shared" si="46"/>
        <v>818908.88800000004</v>
      </c>
      <c r="AA423" s="31">
        <f t="shared" si="47"/>
        <v>330258.48800000001</v>
      </c>
    </row>
    <row r="424" spans="1:27" ht="13">
      <c r="A424" s="9">
        <v>422</v>
      </c>
      <c r="B424" s="3" t="s">
        <v>1776</v>
      </c>
      <c r="C424" s="3"/>
      <c r="D424" s="5">
        <v>112</v>
      </c>
      <c r="E424" s="3">
        <v>400</v>
      </c>
      <c r="F424" s="3">
        <v>200</v>
      </c>
      <c r="G424" s="5">
        <v>12.5</v>
      </c>
      <c r="H424" s="5">
        <v>12.5</v>
      </c>
      <c r="I424" s="3">
        <v>14200</v>
      </c>
      <c r="J424" s="3">
        <v>290600000</v>
      </c>
      <c r="K424" s="3">
        <v>1453000</v>
      </c>
      <c r="L424" s="3">
        <v>1813000</v>
      </c>
      <c r="M424" s="3">
        <v>143</v>
      </c>
      <c r="N424" s="5">
        <f t="shared" si="44"/>
        <v>9466.6666666666661</v>
      </c>
      <c r="O424" s="3">
        <v>97380000</v>
      </c>
      <c r="P424" s="3">
        <v>974000</v>
      </c>
      <c r="Q424" s="3">
        <v>1111000</v>
      </c>
      <c r="R424" s="5">
        <v>82.8</v>
      </c>
      <c r="T424" s="3">
        <v>234400000</v>
      </c>
      <c r="U424" s="4"/>
      <c r="V424" s="5">
        <f t="shared" si="45"/>
        <v>4733.333333333333</v>
      </c>
      <c r="W424" s="8"/>
      <c r="X424" s="9" t="str">
        <f t="shared" si="49"/>
        <v>a</v>
      </c>
      <c r="Y424" s="9" t="str">
        <f t="shared" si="49"/>
        <v>a</v>
      </c>
      <c r="Z424" s="31">
        <f t="shared" si="46"/>
        <v>923828.125</v>
      </c>
      <c r="AA424" s="31">
        <f t="shared" si="47"/>
        <v>564453.125</v>
      </c>
    </row>
    <row r="425" spans="1:27" ht="13">
      <c r="A425" s="9">
        <v>423</v>
      </c>
      <c r="B425" s="3" t="s">
        <v>1777</v>
      </c>
      <c r="C425" s="3"/>
      <c r="D425" s="5">
        <v>115</v>
      </c>
      <c r="E425" s="3">
        <v>400</v>
      </c>
      <c r="F425" s="3">
        <v>150</v>
      </c>
      <c r="G425" s="5">
        <v>14.2</v>
      </c>
      <c r="H425" s="5">
        <v>14.2</v>
      </c>
      <c r="I425" s="3">
        <v>14600</v>
      </c>
      <c r="J425" s="3">
        <v>270950000</v>
      </c>
      <c r="K425" s="3">
        <v>1355000</v>
      </c>
      <c r="L425" s="3">
        <v>1758000</v>
      </c>
      <c r="M425" s="3">
        <v>136</v>
      </c>
      <c r="N425" s="5">
        <f t="shared" si="44"/>
        <v>10618.181818181818</v>
      </c>
      <c r="O425" s="3">
        <v>55470000</v>
      </c>
      <c r="P425" s="3">
        <v>740000</v>
      </c>
      <c r="Q425" s="3">
        <v>859000</v>
      </c>
      <c r="R425" s="5">
        <v>61.6</v>
      </c>
      <c r="T425" s="3">
        <v>153330000</v>
      </c>
      <c r="U425" s="4"/>
      <c r="V425" s="5">
        <f t="shared" si="45"/>
        <v>3981.818181818182</v>
      </c>
      <c r="W425" s="8"/>
      <c r="X425" s="9" t="str">
        <f t="shared" si="49"/>
        <v>a</v>
      </c>
      <c r="Y425" s="9" t="str">
        <f t="shared" si="49"/>
        <v>a</v>
      </c>
      <c r="Z425" s="31">
        <f t="shared" si="46"/>
        <v>901084.28800000006</v>
      </c>
      <c r="AA425" s="31">
        <f t="shared" si="47"/>
        <v>438164.28800000006</v>
      </c>
    </row>
    <row r="426" spans="1:27" ht="13">
      <c r="A426" s="9">
        <v>424</v>
      </c>
      <c r="B426" s="3" t="s">
        <v>1778</v>
      </c>
      <c r="C426" s="3"/>
      <c r="D426" s="5">
        <v>120</v>
      </c>
      <c r="E426" s="3">
        <v>400</v>
      </c>
      <c r="F426" s="3">
        <v>120</v>
      </c>
      <c r="G426" s="5">
        <v>16</v>
      </c>
      <c r="H426" s="5">
        <v>16</v>
      </c>
      <c r="I426" s="3">
        <v>15300</v>
      </c>
      <c r="J426" s="3">
        <v>262950000</v>
      </c>
      <c r="K426" s="3">
        <v>1315000</v>
      </c>
      <c r="L426" s="3">
        <v>1764000</v>
      </c>
      <c r="M426" s="3">
        <v>131</v>
      </c>
      <c r="N426" s="5">
        <f t="shared" si="44"/>
        <v>11769.23076923077</v>
      </c>
      <c r="O426" s="3">
        <v>35580000</v>
      </c>
      <c r="P426" s="3">
        <v>593000</v>
      </c>
      <c r="Q426" s="3">
        <v>709000</v>
      </c>
      <c r="R426" s="5">
        <v>48.2</v>
      </c>
      <c r="T426" s="3">
        <v>107830000</v>
      </c>
      <c r="U426" s="4"/>
      <c r="V426" s="5">
        <f t="shared" si="45"/>
        <v>3530.7692307692309</v>
      </c>
      <c r="W426" s="8"/>
      <c r="X426" s="9" t="str">
        <f t="shared" si="49"/>
        <v>a</v>
      </c>
      <c r="Y426" s="9" t="str">
        <f t="shared" si="49"/>
        <v>a</v>
      </c>
      <c r="Z426" s="31">
        <f t="shared" si="46"/>
        <v>910336</v>
      </c>
      <c r="AA426" s="31">
        <f t="shared" si="47"/>
        <v>363776</v>
      </c>
    </row>
    <row r="427" spans="1:27" ht="13">
      <c r="A427" s="9">
        <v>425</v>
      </c>
      <c r="B427" s="3" t="s">
        <v>1779</v>
      </c>
      <c r="C427" s="3"/>
      <c r="D427" s="5">
        <v>122</v>
      </c>
      <c r="E427" s="3">
        <v>400</v>
      </c>
      <c r="F427" s="3">
        <v>400</v>
      </c>
      <c r="G427" s="5">
        <v>10</v>
      </c>
      <c r="H427" s="5">
        <v>10</v>
      </c>
      <c r="I427" s="3">
        <v>15500</v>
      </c>
      <c r="J427" s="3">
        <v>391280000</v>
      </c>
      <c r="K427" s="3">
        <v>1956000</v>
      </c>
      <c r="L427" s="3">
        <v>2260000</v>
      </c>
      <c r="M427" s="3">
        <v>159</v>
      </c>
      <c r="N427" s="5">
        <f t="shared" si="44"/>
        <v>7750</v>
      </c>
      <c r="O427" s="3">
        <v>391280000</v>
      </c>
      <c r="P427" s="3">
        <v>1956000</v>
      </c>
      <c r="Q427" s="3">
        <v>2260000</v>
      </c>
      <c r="R427" s="5">
        <v>159</v>
      </c>
      <c r="T427" s="3">
        <v>600920000</v>
      </c>
      <c r="U427" s="4"/>
      <c r="V427" s="5">
        <f t="shared" si="45"/>
        <v>7750</v>
      </c>
      <c r="W427" s="8"/>
      <c r="X427" s="9" t="str">
        <f t="shared" si="49"/>
        <v>a</v>
      </c>
      <c r="Y427" s="9" t="str">
        <f t="shared" si="49"/>
        <v>a</v>
      </c>
      <c r="Z427" s="31">
        <f t="shared" si="46"/>
        <v>1141000</v>
      </c>
      <c r="AA427" s="31">
        <f t="shared" si="47"/>
        <v>1141000</v>
      </c>
    </row>
    <row r="428" spans="1:27" ht="13">
      <c r="A428" s="9">
        <v>426</v>
      </c>
      <c r="B428" s="3" t="s">
        <v>1780</v>
      </c>
      <c r="C428" s="3"/>
      <c r="D428" s="5">
        <v>126</v>
      </c>
      <c r="E428" s="3">
        <v>400</v>
      </c>
      <c r="F428" s="3">
        <v>200</v>
      </c>
      <c r="G428" s="5">
        <v>14.2</v>
      </c>
      <c r="H428" s="5">
        <v>14.2</v>
      </c>
      <c r="I428" s="3">
        <v>16000</v>
      </c>
      <c r="J428" s="3">
        <v>323800000</v>
      </c>
      <c r="K428" s="3">
        <v>1619000</v>
      </c>
      <c r="L428" s="3">
        <v>2032000</v>
      </c>
      <c r="M428" s="3">
        <v>142</v>
      </c>
      <c r="N428" s="5">
        <f t="shared" si="44"/>
        <v>10666.666666666666</v>
      </c>
      <c r="O428" s="3">
        <v>107800000</v>
      </c>
      <c r="P428" s="3">
        <v>1078000</v>
      </c>
      <c r="Q428" s="3">
        <v>1242000</v>
      </c>
      <c r="R428" s="5">
        <v>82.1</v>
      </c>
      <c r="T428" s="3">
        <v>261400000</v>
      </c>
      <c r="U428" s="4"/>
      <c r="V428" s="5">
        <f t="shared" si="45"/>
        <v>5333.333333333333</v>
      </c>
      <c r="W428" s="8"/>
      <c r="X428" s="9" t="str">
        <f t="shared" si="49"/>
        <v>a</v>
      </c>
      <c r="Y428" s="9" t="str">
        <f t="shared" si="49"/>
        <v>a</v>
      </c>
      <c r="Z428" s="31">
        <f t="shared" si="46"/>
        <v>1038043.2880000001</v>
      </c>
      <c r="AA428" s="31">
        <f t="shared" si="47"/>
        <v>632207.28799999994</v>
      </c>
    </row>
    <row r="429" spans="1:27" ht="13">
      <c r="A429" s="9">
        <v>427</v>
      </c>
      <c r="B429" s="3" t="s">
        <v>1781</v>
      </c>
      <c r="C429" s="3"/>
      <c r="D429" s="5">
        <v>128</v>
      </c>
      <c r="E429" s="3">
        <v>400</v>
      </c>
      <c r="F429" s="3">
        <v>150</v>
      </c>
      <c r="G429" s="5">
        <v>16</v>
      </c>
      <c r="H429" s="5">
        <v>16</v>
      </c>
      <c r="I429" s="3">
        <v>16300</v>
      </c>
      <c r="J429" s="3">
        <v>298360000</v>
      </c>
      <c r="K429" s="3">
        <v>1492000</v>
      </c>
      <c r="L429" s="3">
        <v>1948000</v>
      </c>
      <c r="M429" s="3">
        <v>135</v>
      </c>
      <c r="N429" s="5">
        <f t="shared" si="44"/>
        <v>11854.545454545454</v>
      </c>
      <c r="O429" s="3">
        <v>60380000</v>
      </c>
      <c r="P429" s="3">
        <v>805000</v>
      </c>
      <c r="Q429" s="3">
        <v>947000</v>
      </c>
      <c r="R429" s="5">
        <v>60.9</v>
      </c>
      <c r="T429" s="3">
        <v>168290000</v>
      </c>
      <c r="U429" s="4"/>
      <c r="V429" s="5">
        <f t="shared" si="45"/>
        <v>4445.454545454545</v>
      </c>
      <c r="W429" s="8"/>
      <c r="X429" s="9" t="str">
        <f t="shared" si="49"/>
        <v>a</v>
      </c>
      <c r="Y429" s="9" t="str">
        <f t="shared" si="49"/>
        <v>a</v>
      </c>
      <c r="Z429" s="31">
        <f t="shared" si="46"/>
        <v>1002496</v>
      </c>
      <c r="AA429" s="31">
        <f t="shared" si="47"/>
        <v>484496</v>
      </c>
    </row>
    <row r="430" spans="1:27" ht="13">
      <c r="A430" s="9">
        <v>428</v>
      </c>
      <c r="B430" s="3" t="s">
        <v>1782</v>
      </c>
      <c r="C430" s="3"/>
      <c r="D430" s="5">
        <v>131</v>
      </c>
      <c r="E430" s="3">
        <v>400</v>
      </c>
      <c r="F430" s="3">
        <v>300</v>
      </c>
      <c r="G430" s="5">
        <v>12.5</v>
      </c>
      <c r="H430" s="5">
        <v>12.5</v>
      </c>
      <c r="I430" s="3">
        <v>16700</v>
      </c>
      <c r="J430" s="3">
        <v>384510000</v>
      </c>
      <c r="K430" s="3">
        <v>1923000</v>
      </c>
      <c r="L430" s="3">
        <v>2298000</v>
      </c>
      <c r="M430" s="3">
        <v>152</v>
      </c>
      <c r="N430" s="5">
        <f t="shared" si="44"/>
        <v>9542.8571428571431</v>
      </c>
      <c r="O430" s="3">
        <v>246110000</v>
      </c>
      <c r="P430" s="3">
        <v>1641000</v>
      </c>
      <c r="Q430" s="3">
        <v>1884000</v>
      </c>
      <c r="R430" s="5">
        <v>121</v>
      </c>
      <c r="T430" s="3">
        <v>468100000</v>
      </c>
      <c r="U430" s="4"/>
      <c r="V430" s="5">
        <f t="shared" si="45"/>
        <v>7157.1428571428569</v>
      </c>
      <c r="W430" s="8"/>
      <c r="X430" s="9" t="str">
        <f t="shared" si="49"/>
        <v>a</v>
      </c>
      <c r="Y430" s="9" t="str">
        <f t="shared" si="49"/>
        <v>a</v>
      </c>
      <c r="Z430" s="31">
        <f t="shared" si="46"/>
        <v>1166015.625</v>
      </c>
      <c r="AA430" s="31">
        <f t="shared" si="47"/>
        <v>955078.125</v>
      </c>
    </row>
    <row r="431" spans="1:27" ht="13">
      <c r="A431" s="9">
        <v>429</v>
      </c>
      <c r="B431" s="3" t="s">
        <v>1783</v>
      </c>
      <c r="C431" s="3"/>
      <c r="D431" s="5">
        <v>141</v>
      </c>
      <c r="E431" s="3">
        <v>400</v>
      </c>
      <c r="F431" s="3">
        <v>200</v>
      </c>
      <c r="G431" s="5">
        <v>16</v>
      </c>
      <c r="H431" s="5">
        <v>16</v>
      </c>
      <c r="I431" s="3">
        <v>17900</v>
      </c>
      <c r="J431" s="3">
        <v>357380000</v>
      </c>
      <c r="K431" s="3">
        <v>1787000</v>
      </c>
      <c r="L431" s="3">
        <v>2256000</v>
      </c>
      <c r="M431" s="3">
        <v>141</v>
      </c>
      <c r="N431" s="5">
        <f t="shared" si="44"/>
        <v>11933.333333333334</v>
      </c>
      <c r="O431" s="3">
        <v>118240000</v>
      </c>
      <c r="P431" s="3">
        <v>1182000</v>
      </c>
      <c r="Q431" s="3">
        <v>1374000</v>
      </c>
      <c r="R431" s="5">
        <v>81.3</v>
      </c>
      <c r="T431" s="3">
        <v>288710000</v>
      </c>
      <c r="U431" s="4"/>
      <c r="V431" s="5">
        <f t="shared" si="45"/>
        <v>5966.666666666667</v>
      </c>
      <c r="W431" s="8"/>
      <c r="X431" s="9" t="str">
        <f t="shared" si="49"/>
        <v>a</v>
      </c>
      <c r="Y431" s="9" t="str">
        <f t="shared" si="49"/>
        <v>a</v>
      </c>
      <c r="Z431" s="31">
        <f t="shared" si="46"/>
        <v>1156096</v>
      </c>
      <c r="AA431" s="31">
        <f t="shared" si="47"/>
        <v>701696</v>
      </c>
    </row>
    <row r="432" spans="1:27" ht="13">
      <c r="A432" s="9">
        <v>430</v>
      </c>
      <c r="B432" s="3" t="s">
        <v>1784</v>
      </c>
      <c r="C432" s="3"/>
      <c r="D432" s="5">
        <v>148</v>
      </c>
      <c r="E432" s="3">
        <v>400</v>
      </c>
      <c r="F432" s="3">
        <v>300</v>
      </c>
      <c r="G432" s="5">
        <v>14.2</v>
      </c>
      <c r="H432" s="5">
        <v>14.2</v>
      </c>
      <c r="I432" s="3">
        <v>18900</v>
      </c>
      <c r="J432" s="3">
        <v>429540000</v>
      </c>
      <c r="K432" s="3">
        <v>2148000</v>
      </c>
      <c r="L432" s="3">
        <v>2579000</v>
      </c>
      <c r="M432" s="3">
        <v>151</v>
      </c>
      <c r="N432" s="5">
        <f t="shared" si="44"/>
        <v>10800</v>
      </c>
      <c r="O432" s="3">
        <v>274410000</v>
      </c>
      <c r="P432" s="3">
        <v>1829000</v>
      </c>
      <c r="Q432" s="3">
        <v>2113000</v>
      </c>
      <c r="R432" s="5">
        <v>121</v>
      </c>
      <c r="T432" s="3">
        <v>524720000</v>
      </c>
      <c r="U432" s="4"/>
      <c r="V432" s="5">
        <f t="shared" si="45"/>
        <v>8100</v>
      </c>
      <c r="W432" s="8"/>
      <c r="X432" s="9" t="str">
        <f t="shared" si="49"/>
        <v>a</v>
      </c>
      <c r="Y432" s="9" t="str">
        <f t="shared" si="49"/>
        <v>a</v>
      </c>
      <c r="Z432" s="31">
        <f t="shared" si="46"/>
        <v>1311961.2880000002</v>
      </c>
      <c r="AA432" s="31">
        <f t="shared" si="47"/>
        <v>1073543.2879999999</v>
      </c>
    </row>
    <row r="433" spans="1:27" ht="13">
      <c r="A433" s="9">
        <v>431</v>
      </c>
      <c r="B433" s="3" t="s">
        <v>1785</v>
      </c>
      <c r="C433" s="3"/>
      <c r="D433" s="5">
        <v>151</v>
      </c>
      <c r="E433" s="3">
        <v>400</v>
      </c>
      <c r="F433" s="3">
        <v>400</v>
      </c>
      <c r="G433" s="5">
        <v>12.5</v>
      </c>
      <c r="H433" s="5">
        <v>12.5</v>
      </c>
      <c r="I433" s="3">
        <v>19200</v>
      </c>
      <c r="J433" s="3">
        <v>478400000</v>
      </c>
      <c r="K433" s="3">
        <v>2392000</v>
      </c>
      <c r="L433" s="3">
        <v>2782000</v>
      </c>
      <c r="M433" s="3">
        <v>158</v>
      </c>
      <c r="N433" s="5">
        <f t="shared" si="44"/>
        <v>9600</v>
      </c>
      <c r="O433" s="3">
        <v>478400000</v>
      </c>
      <c r="P433" s="3">
        <v>2392000</v>
      </c>
      <c r="Q433" s="3">
        <v>2782000</v>
      </c>
      <c r="R433" s="5">
        <v>158</v>
      </c>
      <c r="T433" s="3">
        <v>739100000</v>
      </c>
      <c r="U433" s="4"/>
      <c r="V433" s="5">
        <f t="shared" si="45"/>
        <v>9600</v>
      </c>
      <c r="W433" s="8"/>
      <c r="X433" s="9" t="str">
        <f t="shared" si="49"/>
        <v>a</v>
      </c>
      <c r="Y433" s="9" t="str">
        <f t="shared" si="49"/>
        <v>a</v>
      </c>
      <c r="Z433" s="31">
        <f t="shared" si="46"/>
        <v>1408203.125</v>
      </c>
      <c r="AA433" s="31">
        <f t="shared" si="47"/>
        <v>1408203.125</v>
      </c>
    </row>
    <row r="434" spans="1:27" ht="13">
      <c r="A434" s="9">
        <v>432</v>
      </c>
      <c r="B434" s="3" t="s">
        <v>1786</v>
      </c>
      <c r="C434" s="3"/>
      <c r="D434" s="5">
        <v>166</v>
      </c>
      <c r="E434" s="3">
        <v>400</v>
      </c>
      <c r="F434" s="3">
        <v>300</v>
      </c>
      <c r="G434" s="5">
        <v>16</v>
      </c>
      <c r="H434" s="5">
        <v>16</v>
      </c>
      <c r="I434" s="3">
        <v>21100</v>
      </c>
      <c r="J434" s="3">
        <v>475410000</v>
      </c>
      <c r="K434" s="3">
        <v>2377000</v>
      </c>
      <c r="L434" s="3">
        <v>2870000</v>
      </c>
      <c r="M434" s="3">
        <v>150</v>
      </c>
      <c r="N434" s="5">
        <f t="shared" si="44"/>
        <v>12057.142857142857</v>
      </c>
      <c r="O434" s="3">
        <v>303090000</v>
      </c>
      <c r="P434" s="3">
        <v>2021000</v>
      </c>
      <c r="Q434" s="3">
        <v>2349000</v>
      </c>
      <c r="R434" s="5">
        <v>120</v>
      </c>
      <c r="T434" s="3">
        <v>582860000</v>
      </c>
      <c r="U434" s="4"/>
      <c r="V434" s="5">
        <f t="shared" si="45"/>
        <v>9042.8571428571431</v>
      </c>
      <c r="W434" s="8"/>
      <c r="X434" s="9" t="str">
        <f t="shared" si="49"/>
        <v>a</v>
      </c>
      <c r="Y434" s="9" t="str">
        <f t="shared" si="49"/>
        <v>a</v>
      </c>
      <c r="Z434" s="31">
        <f t="shared" si="46"/>
        <v>1463296</v>
      </c>
      <c r="AA434" s="31">
        <f t="shared" si="47"/>
        <v>1196096</v>
      </c>
    </row>
    <row r="435" spans="1:27" ht="13">
      <c r="A435" s="9">
        <v>433</v>
      </c>
      <c r="B435" s="3" t="s">
        <v>1787</v>
      </c>
      <c r="C435" s="3"/>
      <c r="D435" s="5">
        <v>170</v>
      </c>
      <c r="E435" s="3">
        <v>400</v>
      </c>
      <c r="F435" s="3">
        <v>400</v>
      </c>
      <c r="G435" s="5">
        <v>14.2</v>
      </c>
      <c r="H435" s="5">
        <v>14.2</v>
      </c>
      <c r="I435" s="3">
        <v>21700</v>
      </c>
      <c r="J435" s="3">
        <v>535300000</v>
      </c>
      <c r="K435" s="3">
        <v>2676000</v>
      </c>
      <c r="L435" s="3">
        <v>3127000</v>
      </c>
      <c r="M435" s="3">
        <v>157</v>
      </c>
      <c r="N435" s="5">
        <f t="shared" si="44"/>
        <v>10850</v>
      </c>
      <c r="O435" s="3">
        <v>535300000</v>
      </c>
      <c r="P435" s="3">
        <v>2676000</v>
      </c>
      <c r="Q435" s="3">
        <v>3127000</v>
      </c>
      <c r="R435" s="5">
        <v>157</v>
      </c>
      <c r="T435" s="3">
        <v>830300000</v>
      </c>
      <c r="U435" s="4"/>
      <c r="V435" s="5">
        <f t="shared" si="45"/>
        <v>10850</v>
      </c>
      <c r="W435" s="8"/>
      <c r="X435" s="9" t="str">
        <f t="shared" si="49"/>
        <v>a</v>
      </c>
      <c r="Y435" s="9" t="str">
        <f t="shared" si="49"/>
        <v>a</v>
      </c>
      <c r="Z435" s="31">
        <f t="shared" si="46"/>
        <v>1585879.2880000002</v>
      </c>
      <c r="AA435" s="31">
        <f t="shared" si="47"/>
        <v>1585879.2880000002</v>
      </c>
    </row>
    <row r="436" spans="1:27" ht="13">
      <c r="A436" s="9">
        <v>434</v>
      </c>
      <c r="B436" s="3" t="s">
        <v>1788</v>
      </c>
      <c r="C436" s="3"/>
      <c r="D436" s="5">
        <v>191</v>
      </c>
      <c r="E436" s="3">
        <v>400</v>
      </c>
      <c r="F436" s="3">
        <v>400</v>
      </c>
      <c r="G436" s="5">
        <v>16</v>
      </c>
      <c r="H436" s="5">
        <v>16</v>
      </c>
      <c r="I436" s="3">
        <v>24300</v>
      </c>
      <c r="J436" s="3">
        <v>593440000</v>
      </c>
      <c r="K436" s="3">
        <v>2967000</v>
      </c>
      <c r="L436" s="3">
        <v>3484000</v>
      </c>
      <c r="M436" s="3">
        <v>156</v>
      </c>
      <c r="N436" s="5">
        <f t="shared" si="44"/>
        <v>12150</v>
      </c>
      <c r="O436" s="3">
        <v>593440000</v>
      </c>
      <c r="P436" s="3">
        <v>2967000</v>
      </c>
      <c r="Q436" s="3">
        <v>3484000</v>
      </c>
      <c r="R436" s="5">
        <v>156</v>
      </c>
      <c r="T436" s="3">
        <v>924420000</v>
      </c>
      <c r="U436" s="4"/>
      <c r="V436" s="5">
        <f t="shared" si="45"/>
        <v>12150</v>
      </c>
      <c r="W436" s="8"/>
      <c r="X436" s="9" t="str">
        <f t="shared" si="49"/>
        <v>a</v>
      </c>
      <c r="Y436" s="9" t="str">
        <f t="shared" si="49"/>
        <v>a</v>
      </c>
      <c r="Z436" s="31">
        <f t="shared" si="46"/>
        <v>1770496</v>
      </c>
      <c r="AA436" s="31">
        <f t="shared" si="47"/>
        <v>1770496</v>
      </c>
    </row>
    <row r="437" spans="1:27" ht="13">
      <c r="A437" s="9">
        <v>435</v>
      </c>
      <c r="B437" s="3" t="s">
        <v>1789</v>
      </c>
      <c r="C437" s="3"/>
      <c r="D437" s="5">
        <v>235</v>
      </c>
      <c r="E437" s="3">
        <v>400</v>
      </c>
      <c r="F437" s="3">
        <v>400</v>
      </c>
      <c r="G437" s="5">
        <v>20</v>
      </c>
      <c r="H437" s="5">
        <v>20</v>
      </c>
      <c r="I437" s="3">
        <v>30000</v>
      </c>
      <c r="J437" s="3">
        <v>715350000</v>
      </c>
      <c r="K437" s="3">
        <v>3577000</v>
      </c>
      <c r="L437" s="3">
        <v>4247000</v>
      </c>
      <c r="M437" s="3">
        <v>154</v>
      </c>
      <c r="N437" s="5">
        <f t="shared" si="44"/>
        <v>15000</v>
      </c>
      <c r="O437" s="3">
        <v>715350000</v>
      </c>
      <c r="P437" s="3">
        <v>3577000</v>
      </c>
      <c r="Q437" s="3">
        <v>4247000</v>
      </c>
      <c r="R437" s="5">
        <v>154</v>
      </c>
      <c r="T437" s="3">
        <v>1124890000</v>
      </c>
      <c r="U437" s="4"/>
      <c r="V437" s="5">
        <f t="shared" si="45"/>
        <v>15000</v>
      </c>
      <c r="W437" s="8"/>
      <c r="X437" s="9" t="str">
        <f t="shared" si="49"/>
        <v>a</v>
      </c>
      <c r="Y437" s="9" t="str">
        <f t="shared" si="49"/>
        <v>a</v>
      </c>
      <c r="Z437" s="31">
        <f t="shared" si="46"/>
        <v>2168000</v>
      </c>
      <c r="AA437" s="31">
        <f t="shared" si="47"/>
        <v>2168000</v>
      </c>
    </row>
    <row r="438" spans="1:27" ht="13">
      <c r="A438" s="9">
        <v>436</v>
      </c>
      <c r="B438" s="3" t="s">
        <v>1790</v>
      </c>
      <c r="C438" s="3"/>
      <c r="D438" s="5">
        <v>251</v>
      </c>
      <c r="E438" s="3">
        <v>400</v>
      </c>
      <c r="F438" s="3">
        <v>400</v>
      </c>
      <c r="G438" s="5">
        <v>22</v>
      </c>
      <c r="H438" s="5">
        <v>22</v>
      </c>
      <c r="I438" s="3">
        <v>32000</v>
      </c>
      <c r="J438" s="3">
        <v>747070000</v>
      </c>
      <c r="K438" s="3">
        <v>3735000</v>
      </c>
      <c r="L438" s="3">
        <v>4476000</v>
      </c>
      <c r="M438" s="3">
        <v>153</v>
      </c>
      <c r="N438" s="5">
        <f t="shared" si="44"/>
        <v>16000</v>
      </c>
      <c r="O438" s="3">
        <v>747070000</v>
      </c>
      <c r="P438" s="3">
        <v>3735000</v>
      </c>
      <c r="Q438" s="3">
        <v>4476000</v>
      </c>
      <c r="R438" s="5">
        <v>153</v>
      </c>
      <c r="T438" s="3">
        <v>1223540000</v>
      </c>
      <c r="U438" s="4"/>
      <c r="V438" s="5">
        <f t="shared" si="45"/>
        <v>16000</v>
      </c>
      <c r="W438" s="8"/>
      <c r="X438" s="9" t="str">
        <f t="shared" si="49"/>
        <v>a</v>
      </c>
      <c r="Y438" s="9" t="str">
        <f t="shared" si="49"/>
        <v>a</v>
      </c>
      <c r="Z438" s="31">
        <f t="shared" si="46"/>
        <v>2360248</v>
      </c>
      <c r="AA438" s="31">
        <f t="shared" si="47"/>
        <v>2360248</v>
      </c>
    </row>
    <row r="439" spans="1:27" ht="13">
      <c r="A439" s="9">
        <v>437</v>
      </c>
      <c r="B439" s="3" t="s">
        <v>1791</v>
      </c>
      <c r="C439" s="3"/>
      <c r="D439" s="5">
        <v>282</v>
      </c>
      <c r="E439" s="3">
        <v>400</v>
      </c>
      <c r="F439" s="3">
        <v>400</v>
      </c>
      <c r="G439" s="5">
        <v>25</v>
      </c>
      <c r="H439" s="5">
        <v>25</v>
      </c>
      <c r="I439" s="3">
        <v>35900</v>
      </c>
      <c r="J439" s="3">
        <v>821510000</v>
      </c>
      <c r="K439" s="3">
        <v>4108000</v>
      </c>
      <c r="L439" s="3">
        <v>4967000</v>
      </c>
      <c r="M439" s="3">
        <v>151</v>
      </c>
      <c r="N439" s="5">
        <f t="shared" si="44"/>
        <v>17950</v>
      </c>
      <c r="O439" s="3">
        <v>821510000</v>
      </c>
      <c r="P439" s="3">
        <v>4108000</v>
      </c>
      <c r="Q439" s="3">
        <v>4967000</v>
      </c>
      <c r="R439" s="5">
        <v>151</v>
      </c>
      <c r="T439" s="3">
        <v>1361410000</v>
      </c>
      <c r="U439" s="4"/>
      <c r="V439" s="5">
        <f t="shared" si="45"/>
        <v>17950</v>
      </c>
      <c r="W439" s="8"/>
      <c r="X439" s="9" t="str">
        <f t="shared" si="49"/>
        <v>a</v>
      </c>
      <c r="Y439" s="9" t="str">
        <f t="shared" si="49"/>
        <v>a</v>
      </c>
      <c r="Z439" s="31">
        <f t="shared" si="46"/>
        <v>2640625</v>
      </c>
      <c r="AA439" s="31">
        <f t="shared" si="47"/>
        <v>2640625</v>
      </c>
    </row>
    <row r="440" spans="1:27" ht="13">
      <c r="A440" s="9">
        <v>438</v>
      </c>
      <c r="B440" s="3" t="s">
        <v>1792</v>
      </c>
      <c r="C440" s="3"/>
      <c r="D440" s="5">
        <v>311</v>
      </c>
      <c r="E440" s="3">
        <v>400</v>
      </c>
      <c r="F440" s="3">
        <v>400</v>
      </c>
      <c r="G440" s="5">
        <v>28</v>
      </c>
      <c r="H440" s="5">
        <v>28</v>
      </c>
      <c r="I440" s="3">
        <v>39600</v>
      </c>
      <c r="J440" s="3">
        <v>889960000</v>
      </c>
      <c r="K440" s="3">
        <v>4450000</v>
      </c>
      <c r="L440" s="3">
        <v>5430000</v>
      </c>
      <c r="M440" s="3">
        <v>150</v>
      </c>
      <c r="N440" s="5">
        <f t="shared" si="44"/>
        <v>19800</v>
      </c>
      <c r="O440" s="3">
        <v>889960000</v>
      </c>
      <c r="P440" s="3">
        <v>4450000</v>
      </c>
      <c r="Q440" s="3">
        <v>5430000</v>
      </c>
      <c r="R440" s="5">
        <v>150</v>
      </c>
      <c r="T440" s="3">
        <v>1492200000</v>
      </c>
      <c r="U440" s="4"/>
      <c r="V440" s="5">
        <f t="shared" si="45"/>
        <v>19800</v>
      </c>
      <c r="W440" s="8"/>
      <c r="X440" s="9" t="str">
        <f t="shared" si="49"/>
        <v>a</v>
      </c>
      <c r="Y440" s="9" t="str">
        <f t="shared" si="49"/>
        <v>a</v>
      </c>
      <c r="Z440" s="31">
        <f t="shared" si="46"/>
        <v>2911552</v>
      </c>
      <c r="AA440" s="31">
        <f t="shared" si="47"/>
        <v>2911552</v>
      </c>
    </row>
    <row r="441" spans="1:27" ht="13">
      <c r="A441" s="9">
        <v>439</v>
      </c>
      <c r="B441" s="3" t="s">
        <v>1793</v>
      </c>
      <c r="C441" s="3"/>
      <c r="D441" s="5">
        <v>349</v>
      </c>
      <c r="E441" s="3">
        <v>400</v>
      </c>
      <c r="F441" s="3">
        <v>400</v>
      </c>
      <c r="G441" s="5">
        <v>32</v>
      </c>
      <c r="H441" s="5">
        <v>32</v>
      </c>
      <c r="I441" s="3">
        <v>44500</v>
      </c>
      <c r="J441" s="3">
        <v>972220000</v>
      </c>
      <c r="K441" s="3">
        <v>4861000</v>
      </c>
      <c r="L441" s="3">
        <v>6005000</v>
      </c>
      <c r="M441" s="3">
        <v>148</v>
      </c>
      <c r="N441" s="5">
        <f t="shared" si="44"/>
        <v>22250</v>
      </c>
      <c r="O441" s="3">
        <v>972220000</v>
      </c>
      <c r="P441" s="3">
        <v>4861000</v>
      </c>
      <c r="Q441" s="3">
        <v>6005000</v>
      </c>
      <c r="R441" s="5">
        <v>148</v>
      </c>
      <c r="T441" s="3">
        <v>1655520000</v>
      </c>
      <c r="U441" s="4"/>
      <c r="V441" s="5">
        <f t="shared" si="45"/>
        <v>22250</v>
      </c>
      <c r="W441" s="8"/>
      <c r="X441" s="9" t="str">
        <f t="shared" si="49"/>
        <v>a</v>
      </c>
      <c r="Y441" s="9" t="str">
        <f t="shared" si="49"/>
        <v>a</v>
      </c>
      <c r="Z441" s="31">
        <f t="shared" si="46"/>
        <v>3258368</v>
      </c>
      <c r="AA441" s="31">
        <f t="shared" si="47"/>
        <v>3258368</v>
      </c>
    </row>
    <row r="442" spans="1:27" ht="13">
      <c r="A442" s="9">
        <v>440</v>
      </c>
      <c r="B442" s="3" t="s">
        <v>1794</v>
      </c>
      <c r="C442" s="3"/>
      <c r="D442" s="5">
        <v>385</v>
      </c>
      <c r="E442" s="3">
        <v>400</v>
      </c>
      <c r="F442" s="3">
        <v>400</v>
      </c>
      <c r="G442" s="5">
        <v>36</v>
      </c>
      <c r="H442" s="5">
        <v>36</v>
      </c>
      <c r="I442" s="3">
        <v>49100</v>
      </c>
      <c r="J442" s="3">
        <v>1044580000</v>
      </c>
      <c r="K442" s="3">
        <v>5223000</v>
      </c>
      <c r="L442" s="3">
        <v>6533000</v>
      </c>
      <c r="M442" s="3">
        <v>146</v>
      </c>
      <c r="N442" s="5">
        <f t="shared" si="44"/>
        <v>24550</v>
      </c>
      <c r="O442" s="3">
        <v>1044580000</v>
      </c>
      <c r="P442" s="3">
        <v>5223000</v>
      </c>
      <c r="Q442" s="3">
        <v>6533000</v>
      </c>
      <c r="R442" s="5">
        <v>146</v>
      </c>
      <c r="T442" s="3">
        <v>1806100000</v>
      </c>
      <c r="U442" s="4"/>
      <c r="V442" s="5">
        <f t="shared" si="45"/>
        <v>24550</v>
      </c>
      <c r="W442" s="8"/>
      <c r="X442" s="9" t="str">
        <f t="shared" si="49"/>
        <v>a</v>
      </c>
      <c r="Y442" s="9" t="str">
        <f t="shared" si="49"/>
        <v>a</v>
      </c>
      <c r="Z442" s="31">
        <f t="shared" si="46"/>
        <v>3589056</v>
      </c>
      <c r="AA442" s="31">
        <f t="shared" si="47"/>
        <v>3589056</v>
      </c>
    </row>
    <row r="443" spans="1:27" ht="13">
      <c r="A443" s="9">
        <v>441</v>
      </c>
      <c r="B443" s="3" t="s">
        <v>1795</v>
      </c>
      <c r="C443" s="3"/>
      <c r="D443" s="5">
        <v>420</v>
      </c>
      <c r="E443" s="3">
        <v>400</v>
      </c>
      <c r="F443" s="3">
        <v>400</v>
      </c>
      <c r="G443" s="5">
        <v>40</v>
      </c>
      <c r="H443" s="5">
        <v>40</v>
      </c>
      <c r="I443" s="3">
        <v>53500</v>
      </c>
      <c r="J443" s="3">
        <v>1107470000</v>
      </c>
      <c r="K443" s="3">
        <v>5537000</v>
      </c>
      <c r="L443" s="3">
        <v>7015000</v>
      </c>
      <c r="M443" s="3">
        <v>144</v>
      </c>
      <c r="N443" s="5">
        <f t="shared" si="44"/>
        <v>26750</v>
      </c>
      <c r="O443" s="3">
        <v>1107470000</v>
      </c>
      <c r="P443" s="3">
        <v>5537000</v>
      </c>
      <c r="Q443" s="3">
        <v>7015000</v>
      </c>
      <c r="R443" s="5">
        <v>144</v>
      </c>
      <c r="T443" s="3">
        <v>1943830000</v>
      </c>
      <c r="U443" s="4"/>
      <c r="V443" s="5">
        <f t="shared" si="45"/>
        <v>26750</v>
      </c>
      <c r="W443" s="8"/>
      <c r="X443" s="9" t="str">
        <f t="shared" ref="X443:Y462" si="50">IF(fy=460,"a0","a")</f>
        <v>a</v>
      </c>
      <c r="Y443" s="9" t="str">
        <f t="shared" si="50"/>
        <v>a</v>
      </c>
      <c r="Z443" s="31">
        <f t="shared" si="46"/>
        <v>3904000</v>
      </c>
      <c r="AA443" s="31">
        <f t="shared" si="47"/>
        <v>3904000</v>
      </c>
    </row>
    <row r="444" spans="1:27" ht="13">
      <c r="A444" s="9">
        <v>442</v>
      </c>
      <c r="B444" s="3" t="s">
        <v>1796</v>
      </c>
      <c r="C444" s="3"/>
      <c r="D444" s="5">
        <v>85.4</v>
      </c>
      <c r="E444" s="3">
        <v>450</v>
      </c>
      <c r="F444" s="3">
        <v>250</v>
      </c>
      <c r="G444" s="5">
        <v>8</v>
      </c>
      <c r="H444" s="5">
        <v>8</v>
      </c>
      <c r="I444" s="3">
        <v>10900</v>
      </c>
      <c r="J444" s="3">
        <v>300820000</v>
      </c>
      <c r="K444" s="3">
        <v>1337000</v>
      </c>
      <c r="L444" s="3">
        <v>1622000</v>
      </c>
      <c r="M444" s="3">
        <v>166</v>
      </c>
      <c r="N444" s="5">
        <f t="shared" si="44"/>
        <v>7007.1428571428569</v>
      </c>
      <c r="O444" s="3">
        <v>121420000</v>
      </c>
      <c r="P444" s="3">
        <v>971000</v>
      </c>
      <c r="Q444" s="3">
        <v>1081000</v>
      </c>
      <c r="R444" s="5">
        <v>106</v>
      </c>
      <c r="T444" s="3">
        <v>270830000</v>
      </c>
      <c r="U444" s="4"/>
      <c r="V444" s="5">
        <f t="shared" si="45"/>
        <v>3892.8571428571427</v>
      </c>
      <c r="W444" s="8"/>
      <c r="X444" s="9" t="str">
        <f t="shared" si="50"/>
        <v>a</v>
      </c>
      <c r="Y444" s="9" t="str">
        <f t="shared" si="50"/>
        <v>a</v>
      </c>
      <c r="Z444" s="31">
        <f t="shared" si="46"/>
        <v>818712</v>
      </c>
      <c r="AA444" s="31">
        <f t="shared" si="47"/>
        <v>545112</v>
      </c>
    </row>
    <row r="445" spans="1:27" ht="13">
      <c r="A445" s="9">
        <v>443</v>
      </c>
      <c r="B445" s="3" t="s">
        <v>1797</v>
      </c>
      <c r="C445" s="3"/>
      <c r="D445" s="5">
        <v>85.4</v>
      </c>
      <c r="E445" s="3">
        <v>450</v>
      </c>
      <c r="F445" s="3">
        <v>250</v>
      </c>
      <c r="G445" s="5">
        <v>8</v>
      </c>
      <c r="H445" s="5">
        <v>8</v>
      </c>
      <c r="I445" s="3">
        <v>10900</v>
      </c>
      <c r="J445" s="3">
        <v>300800000</v>
      </c>
      <c r="K445" s="3">
        <v>1337000</v>
      </c>
      <c r="L445" s="3">
        <v>1622000</v>
      </c>
      <c r="M445" s="3">
        <v>166</v>
      </c>
      <c r="N445" s="5">
        <f t="shared" si="44"/>
        <v>7007.1428571428569</v>
      </c>
      <c r="O445" s="3">
        <v>121400000</v>
      </c>
      <c r="P445" s="3">
        <v>971000</v>
      </c>
      <c r="Q445" s="3">
        <v>1081000</v>
      </c>
      <c r="R445" s="5">
        <v>106</v>
      </c>
      <c r="T445" s="3">
        <v>270800000</v>
      </c>
      <c r="U445" s="4"/>
      <c r="V445" s="5">
        <f t="shared" si="45"/>
        <v>3892.8571428571427</v>
      </c>
      <c r="W445" s="8"/>
      <c r="X445" s="9" t="str">
        <f t="shared" si="50"/>
        <v>a</v>
      </c>
      <c r="Y445" s="9" t="str">
        <f t="shared" si="50"/>
        <v>a</v>
      </c>
      <c r="Z445" s="31">
        <f t="shared" si="46"/>
        <v>818712</v>
      </c>
      <c r="AA445" s="31">
        <f t="shared" si="47"/>
        <v>545112</v>
      </c>
    </row>
    <row r="446" spans="1:27" ht="13">
      <c r="A446" s="9">
        <v>444</v>
      </c>
      <c r="B446" s="3" t="s">
        <v>1798</v>
      </c>
      <c r="C446" s="3"/>
      <c r="D446" s="5">
        <v>93.6</v>
      </c>
      <c r="E446" s="3">
        <v>450</v>
      </c>
      <c r="F446" s="3">
        <v>250</v>
      </c>
      <c r="G446" s="5">
        <v>8.8000000000000007</v>
      </c>
      <c r="H446" s="5">
        <v>8.8000000000000007</v>
      </c>
      <c r="I446" s="3">
        <v>11900</v>
      </c>
      <c r="J446" s="3">
        <v>328400000</v>
      </c>
      <c r="K446" s="3">
        <v>1460000</v>
      </c>
      <c r="L446" s="3">
        <v>1774000</v>
      </c>
      <c r="M446" s="3">
        <v>166</v>
      </c>
      <c r="N446" s="5">
        <f t="shared" si="44"/>
        <v>7650</v>
      </c>
      <c r="O446" s="3">
        <v>132290000</v>
      </c>
      <c r="P446" s="3">
        <v>1058000</v>
      </c>
      <c r="Q446" s="3">
        <v>1182000</v>
      </c>
      <c r="R446" s="5">
        <v>105</v>
      </c>
      <c r="T446" s="3">
        <v>295900000</v>
      </c>
      <c r="U446" s="4"/>
      <c r="V446" s="5">
        <f t="shared" si="45"/>
        <v>4250</v>
      </c>
      <c r="W446" s="8"/>
      <c r="X446" s="9" t="str">
        <f t="shared" si="50"/>
        <v>a</v>
      </c>
      <c r="Y446" s="9" t="str">
        <f t="shared" si="50"/>
        <v>a</v>
      </c>
      <c r="Z446" s="31">
        <f t="shared" si="46"/>
        <v>896653.47200000007</v>
      </c>
      <c r="AA446" s="31">
        <f t="shared" si="47"/>
        <v>596397.47200000007</v>
      </c>
    </row>
    <row r="447" spans="1:27" ht="13">
      <c r="A447" s="9">
        <v>445</v>
      </c>
      <c r="B447" s="3" t="s">
        <v>1799</v>
      </c>
      <c r="C447" s="3"/>
      <c r="D447" s="5">
        <v>106</v>
      </c>
      <c r="E447" s="3">
        <v>450</v>
      </c>
      <c r="F447" s="3">
        <v>250</v>
      </c>
      <c r="G447" s="5">
        <v>10</v>
      </c>
      <c r="H447" s="5">
        <v>10</v>
      </c>
      <c r="I447" s="3">
        <v>13500</v>
      </c>
      <c r="J447" s="3">
        <v>368950000</v>
      </c>
      <c r="K447" s="3">
        <v>1640000</v>
      </c>
      <c r="L447" s="3">
        <v>2000000</v>
      </c>
      <c r="M447" s="3">
        <v>165</v>
      </c>
      <c r="N447" s="5">
        <f t="shared" si="44"/>
        <v>8678.5714285714294</v>
      </c>
      <c r="O447" s="3">
        <v>148190000</v>
      </c>
      <c r="P447" s="3">
        <v>1185000</v>
      </c>
      <c r="Q447" s="3">
        <v>1331000</v>
      </c>
      <c r="R447" s="5">
        <v>105</v>
      </c>
      <c r="T447" s="3">
        <v>332840000</v>
      </c>
      <c r="U447" s="4"/>
      <c r="V447" s="5">
        <f t="shared" si="45"/>
        <v>4821.4285714285716</v>
      </c>
      <c r="W447" s="8"/>
      <c r="X447" s="9" t="str">
        <f t="shared" si="50"/>
        <v>a</v>
      </c>
      <c r="Y447" s="9" t="str">
        <f t="shared" si="50"/>
        <v>a</v>
      </c>
      <c r="Z447" s="31">
        <f t="shared" si="46"/>
        <v>1012250</v>
      </c>
      <c r="AA447" s="31">
        <f t="shared" si="47"/>
        <v>672250</v>
      </c>
    </row>
    <row r="448" spans="1:27" ht="13">
      <c r="A448" s="9">
        <v>446</v>
      </c>
      <c r="B448" s="3" t="s">
        <v>1800</v>
      </c>
      <c r="C448" s="3"/>
      <c r="D448" s="5">
        <v>106</v>
      </c>
      <c r="E448" s="3">
        <v>450</v>
      </c>
      <c r="F448" s="3">
        <v>250</v>
      </c>
      <c r="G448" s="5">
        <v>10</v>
      </c>
      <c r="H448" s="5">
        <v>10</v>
      </c>
      <c r="I448" s="3">
        <v>13500</v>
      </c>
      <c r="J448" s="3">
        <v>369000000</v>
      </c>
      <c r="K448" s="3">
        <v>1640000</v>
      </c>
      <c r="L448" s="3">
        <v>2000000</v>
      </c>
      <c r="M448" s="3">
        <v>165</v>
      </c>
      <c r="N448" s="5">
        <f t="shared" si="44"/>
        <v>8678.5714285714294</v>
      </c>
      <c r="O448" s="3">
        <v>148200000</v>
      </c>
      <c r="P448" s="3">
        <v>1185000</v>
      </c>
      <c r="Q448" s="3">
        <v>1331000</v>
      </c>
      <c r="R448" s="5">
        <v>105</v>
      </c>
      <c r="T448" s="3">
        <v>332800000</v>
      </c>
      <c r="U448" s="4"/>
      <c r="V448" s="5">
        <f t="shared" si="45"/>
        <v>4821.4285714285716</v>
      </c>
      <c r="W448" s="8"/>
      <c r="X448" s="9" t="str">
        <f t="shared" si="50"/>
        <v>a</v>
      </c>
      <c r="Y448" s="9" t="str">
        <f t="shared" si="50"/>
        <v>a</v>
      </c>
      <c r="Z448" s="31">
        <f t="shared" si="46"/>
        <v>1012250</v>
      </c>
      <c r="AA448" s="31">
        <f t="shared" si="47"/>
        <v>672250</v>
      </c>
    </row>
    <row r="449" spans="1:27" ht="13">
      <c r="A449" s="9">
        <v>447</v>
      </c>
      <c r="B449" s="3" t="s">
        <v>1801</v>
      </c>
      <c r="C449" s="3"/>
      <c r="D449" s="5">
        <v>131</v>
      </c>
      <c r="E449" s="3">
        <v>450</v>
      </c>
      <c r="F449" s="3">
        <v>250</v>
      </c>
      <c r="G449" s="5">
        <v>12.5</v>
      </c>
      <c r="H449" s="5">
        <v>12.5</v>
      </c>
      <c r="I449" s="3">
        <v>16700</v>
      </c>
      <c r="J449" s="3">
        <v>450300000</v>
      </c>
      <c r="K449" s="3">
        <v>2001000</v>
      </c>
      <c r="L449" s="3">
        <v>2458000</v>
      </c>
      <c r="M449" s="3">
        <v>164</v>
      </c>
      <c r="N449" s="5">
        <f t="shared" si="44"/>
        <v>10735.714285714286</v>
      </c>
      <c r="O449" s="3">
        <v>179700000</v>
      </c>
      <c r="P449" s="3">
        <v>1438000</v>
      </c>
      <c r="Q449" s="3">
        <v>1631000</v>
      </c>
      <c r="R449" s="5">
        <v>104</v>
      </c>
      <c r="T449" s="3">
        <v>407200000</v>
      </c>
      <c r="U449" s="4"/>
      <c r="V449" s="5">
        <f t="shared" si="45"/>
        <v>5964.2857142857147</v>
      </c>
      <c r="W449" s="8"/>
      <c r="X449" s="9" t="str">
        <f t="shared" si="50"/>
        <v>a</v>
      </c>
      <c r="Y449" s="9" t="str">
        <f t="shared" si="50"/>
        <v>a</v>
      </c>
      <c r="Z449" s="31">
        <f t="shared" si="46"/>
        <v>1248046.875</v>
      </c>
      <c r="AA449" s="31">
        <f t="shared" si="47"/>
        <v>826171.875</v>
      </c>
    </row>
    <row r="450" spans="1:27" ht="13">
      <c r="A450" s="9">
        <v>448</v>
      </c>
      <c r="B450" s="3" t="s">
        <v>1802</v>
      </c>
      <c r="C450" s="3"/>
      <c r="D450" s="5">
        <v>148</v>
      </c>
      <c r="E450" s="3">
        <v>450</v>
      </c>
      <c r="F450" s="3">
        <v>250</v>
      </c>
      <c r="G450" s="5">
        <v>14.2</v>
      </c>
      <c r="H450" s="5">
        <v>14.2</v>
      </c>
      <c r="I450" s="3">
        <v>18900</v>
      </c>
      <c r="J450" s="3">
        <v>503200000</v>
      </c>
      <c r="K450" s="3">
        <v>2236000</v>
      </c>
      <c r="L450" s="3">
        <v>2759000</v>
      </c>
      <c r="M450" s="3">
        <v>163</v>
      </c>
      <c r="N450" s="5">
        <f t="shared" si="44"/>
        <v>12150</v>
      </c>
      <c r="O450" s="3">
        <v>200000000</v>
      </c>
      <c r="P450" s="3">
        <v>1600000</v>
      </c>
      <c r="Q450" s="3">
        <v>1827000</v>
      </c>
      <c r="R450" s="5">
        <v>103</v>
      </c>
      <c r="T450" s="3">
        <v>455800000</v>
      </c>
      <c r="U450" s="4"/>
      <c r="V450" s="5">
        <f t="shared" si="45"/>
        <v>6750</v>
      </c>
      <c r="W450" s="8"/>
      <c r="X450" s="9" t="str">
        <f t="shared" si="50"/>
        <v>a</v>
      </c>
      <c r="Y450" s="9" t="str">
        <f t="shared" si="50"/>
        <v>a</v>
      </c>
      <c r="Z450" s="31">
        <f t="shared" si="46"/>
        <v>1404545.2880000002</v>
      </c>
      <c r="AA450" s="31">
        <f t="shared" si="47"/>
        <v>927709.28799999994</v>
      </c>
    </row>
    <row r="451" spans="1:27" ht="13">
      <c r="A451" s="9">
        <v>449</v>
      </c>
      <c r="B451" s="3" t="s">
        <v>1803</v>
      </c>
      <c r="C451" s="3"/>
      <c r="D451" s="5">
        <v>162</v>
      </c>
      <c r="E451" s="3">
        <v>450</v>
      </c>
      <c r="F451" s="3">
        <v>450</v>
      </c>
      <c r="G451" s="5">
        <v>12</v>
      </c>
      <c r="H451" s="5">
        <v>12</v>
      </c>
      <c r="I451" s="3">
        <v>20700</v>
      </c>
      <c r="J451" s="3">
        <v>654330000</v>
      </c>
      <c r="K451" s="3">
        <v>2908000</v>
      </c>
      <c r="L451" s="3">
        <v>3371000</v>
      </c>
      <c r="M451" s="3">
        <v>178</v>
      </c>
      <c r="N451" s="5">
        <f t="shared" ref="N451:N514" si="51">I451*E451/(F451+E451)</f>
        <v>10350</v>
      </c>
      <c r="O451" s="3">
        <v>654330000</v>
      </c>
      <c r="P451" s="3">
        <v>2908000</v>
      </c>
      <c r="Q451" s="3">
        <v>3371000</v>
      </c>
      <c r="R451" s="5">
        <v>178</v>
      </c>
      <c r="T451" s="3">
        <v>1024450000</v>
      </c>
      <c r="U451" s="4"/>
      <c r="V451" s="5">
        <f t="shared" ref="V451:V514" si="52">I451*F451/(E451+F451)</f>
        <v>10350</v>
      </c>
      <c r="W451" s="8"/>
      <c r="X451" s="9" t="str">
        <f t="shared" si="50"/>
        <v>a</v>
      </c>
      <c r="Y451" s="9" t="str">
        <f t="shared" si="50"/>
        <v>a</v>
      </c>
      <c r="Z451" s="31">
        <f t="shared" ref="Z451:Z514" si="53">(H451*(0.5*E451-G451)^2)+(F451*G451)*(0.5*E451-0.5*G451)</f>
        <v>1727028</v>
      </c>
      <c r="AA451" s="31">
        <f t="shared" ref="AA451:AA514" si="54">(H451*(0.5*F451-G451)^2)+(E451*G451)*(0.5*F451-0.5*G451)</f>
        <v>1727028</v>
      </c>
    </row>
    <row r="452" spans="1:27" ht="13">
      <c r="A452" s="9">
        <v>450</v>
      </c>
      <c r="B452" s="3" t="s">
        <v>1804</v>
      </c>
      <c r="C452" s="3"/>
      <c r="D452" s="5">
        <v>166</v>
      </c>
      <c r="E452" s="3">
        <v>450</v>
      </c>
      <c r="F452" s="3">
        <v>250</v>
      </c>
      <c r="G452" s="5">
        <v>16</v>
      </c>
      <c r="H452" s="5">
        <v>16</v>
      </c>
      <c r="I452" s="3">
        <v>21100</v>
      </c>
      <c r="J452" s="3">
        <v>557050000</v>
      </c>
      <c r="K452" s="3">
        <v>2476000</v>
      </c>
      <c r="L452" s="3">
        <v>3070000</v>
      </c>
      <c r="M452" s="3">
        <v>162</v>
      </c>
      <c r="N452" s="5">
        <f t="shared" si="51"/>
        <v>13564.285714285714</v>
      </c>
      <c r="O452" s="3">
        <v>220410000</v>
      </c>
      <c r="P452" s="3">
        <v>1763000</v>
      </c>
      <c r="Q452" s="3">
        <v>2029000</v>
      </c>
      <c r="R452" s="5">
        <v>102</v>
      </c>
      <c r="T452" s="3">
        <v>505450000</v>
      </c>
      <c r="U452" s="4"/>
      <c r="V452" s="5">
        <f t="shared" si="52"/>
        <v>7535.7142857142853</v>
      </c>
      <c r="W452" s="8"/>
      <c r="X452" s="9" t="str">
        <f t="shared" si="50"/>
        <v>a</v>
      </c>
      <c r="Y452" s="9" t="str">
        <f t="shared" si="50"/>
        <v>a</v>
      </c>
      <c r="Z452" s="31">
        <f t="shared" si="53"/>
        <v>1566896</v>
      </c>
      <c r="AA452" s="31">
        <f t="shared" si="54"/>
        <v>1032496</v>
      </c>
    </row>
    <row r="453" spans="1:27" ht="13">
      <c r="A453" s="9">
        <v>451</v>
      </c>
      <c r="B453" s="3" t="s">
        <v>1805</v>
      </c>
      <c r="C453" s="3"/>
      <c r="D453" s="5">
        <v>213</v>
      </c>
      <c r="E453" s="3">
        <v>450</v>
      </c>
      <c r="F453" s="3">
        <v>450</v>
      </c>
      <c r="G453" s="5">
        <v>16</v>
      </c>
      <c r="H453" s="5">
        <v>16</v>
      </c>
      <c r="I453" s="3">
        <v>27100</v>
      </c>
      <c r="J453" s="3">
        <v>840670000</v>
      </c>
      <c r="K453" s="3">
        <v>3736000</v>
      </c>
      <c r="L453" s="3">
        <v>4376000</v>
      </c>
      <c r="M453" s="3">
        <v>176</v>
      </c>
      <c r="N453" s="5">
        <f t="shared" si="51"/>
        <v>13550</v>
      </c>
      <c r="O453" s="3">
        <v>840670000</v>
      </c>
      <c r="P453" s="3">
        <v>3736000</v>
      </c>
      <c r="Q453" s="3">
        <v>4376000</v>
      </c>
      <c r="R453" s="5">
        <v>176</v>
      </c>
      <c r="T453" s="3">
        <v>1335030000</v>
      </c>
      <c r="U453" s="4"/>
      <c r="V453" s="5">
        <f t="shared" si="52"/>
        <v>13550</v>
      </c>
      <c r="W453" s="8"/>
      <c r="X453" s="9" t="str">
        <f t="shared" si="50"/>
        <v>a</v>
      </c>
      <c r="Y453" s="9" t="str">
        <f t="shared" si="50"/>
        <v>a</v>
      </c>
      <c r="Z453" s="31">
        <f t="shared" si="53"/>
        <v>2261296</v>
      </c>
      <c r="AA453" s="31">
        <f t="shared" si="54"/>
        <v>2261296</v>
      </c>
    </row>
    <row r="454" spans="1:27" ht="13">
      <c r="A454" s="9">
        <v>452</v>
      </c>
      <c r="B454" s="3" t="s">
        <v>1806</v>
      </c>
      <c r="C454" s="3"/>
      <c r="D454" s="5">
        <v>250</v>
      </c>
      <c r="E454" s="3">
        <v>450</v>
      </c>
      <c r="F454" s="3">
        <v>450</v>
      </c>
      <c r="G454" s="5">
        <v>19</v>
      </c>
      <c r="H454" s="5">
        <v>19</v>
      </c>
      <c r="I454" s="3">
        <v>31800</v>
      </c>
      <c r="J454" s="3">
        <v>970550000</v>
      </c>
      <c r="K454" s="3">
        <v>4314000</v>
      </c>
      <c r="L454" s="3">
        <v>5092000</v>
      </c>
      <c r="M454" s="3">
        <v>175</v>
      </c>
      <c r="N454" s="5">
        <f t="shared" si="51"/>
        <v>15900</v>
      </c>
      <c r="O454" s="3">
        <v>970550000</v>
      </c>
      <c r="P454" s="3">
        <v>4314000</v>
      </c>
      <c r="Q454" s="3">
        <v>5092000</v>
      </c>
      <c r="R454" s="5">
        <v>175</v>
      </c>
      <c r="T454" s="3">
        <v>1557730000</v>
      </c>
      <c r="U454" s="4"/>
      <c r="V454" s="5">
        <f t="shared" si="52"/>
        <v>15900</v>
      </c>
      <c r="W454" s="8"/>
      <c r="X454" s="9" t="str">
        <f t="shared" si="50"/>
        <v>a</v>
      </c>
      <c r="Y454" s="9" t="str">
        <f t="shared" si="50"/>
        <v>a</v>
      </c>
      <c r="Z454" s="31">
        <f t="shared" si="53"/>
        <v>2648809</v>
      </c>
      <c r="AA454" s="31">
        <f t="shared" si="54"/>
        <v>2648809</v>
      </c>
    </row>
    <row r="455" spans="1:27" ht="13">
      <c r="A455" s="9">
        <v>453</v>
      </c>
      <c r="B455" s="3" t="s">
        <v>1807</v>
      </c>
      <c r="C455" s="3"/>
      <c r="D455" s="5">
        <v>286</v>
      </c>
      <c r="E455" s="3">
        <v>450</v>
      </c>
      <c r="F455" s="3">
        <v>450</v>
      </c>
      <c r="G455" s="5">
        <v>22</v>
      </c>
      <c r="H455" s="5">
        <v>22</v>
      </c>
      <c r="I455" s="3">
        <v>36400</v>
      </c>
      <c r="J455" s="3">
        <v>1092200000</v>
      </c>
      <c r="K455" s="3">
        <v>4854000</v>
      </c>
      <c r="L455" s="3">
        <v>5775000</v>
      </c>
      <c r="M455" s="3">
        <v>173</v>
      </c>
      <c r="N455" s="5">
        <f t="shared" si="51"/>
        <v>18200</v>
      </c>
      <c r="O455" s="3">
        <v>1092200000</v>
      </c>
      <c r="P455" s="3">
        <v>4854000</v>
      </c>
      <c r="Q455" s="3">
        <v>5775000</v>
      </c>
      <c r="R455" s="5">
        <v>173</v>
      </c>
      <c r="T455" s="3">
        <v>1771610000</v>
      </c>
      <c r="U455" s="4"/>
      <c r="V455" s="5">
        <f t="shared" si="52"/>
        <v>18200</v>
      </c>
      <c r="W455" s="8"/>
      <c r="X455" s="9" t="str">
        <f t="shared" si="50"/>
        <v>a</v>
      </c>
      <c r="Y455" s="9" t="str">
        <f t="shared" si="50"/>
        <v>a</v>
      </c>
      <c r="Z455" s="31">
        <f t="shared" si="53"/>
        <v>3025198</v>
      </c>
      <c r="AA455" s="31">
        <f t="shared" si="54"/>
        <v>3025198</v>
      </c>
    </row>
    <row r="456" spans="1:27" ht="13">
      <c r="A456" s="9">
        <v>454</v>
      </c>
      <c r="B456" s="3" t="s">
        <v>1808</v>
      </c>
      <c r="C456" s="3"/>
      <c r="D456" s="5">
        <v>321</v>
      </c>
      <c r="E456" s="3">
        <v>450</v>
      </c>
      <c r="F456" s="3">
        <v>450</v>
      </c>
      <c r="G456" s="5">
        <v>25</v>
      </c>
      <c r="H456" s="5">
        <v>25</v>
      </c>
      <c r="I456" s="3">
        <v>40900</v>
      </c>
      <c r="J456" s="3">
        <v>1205830000</v>
      </c>
      <c r="K456" s="3">
        <v>5359000</v>
      </c>
      <c r="L456" s="3">
        <v>6427000</v>
      </c>
      <c r="M456" s="3">
        <v>172</v>
      </c>
      <c r="N456" s="5">
        <f t="shared" si="51"/>
        <v>20450</v>
      </c>
      <c r="O456" s="3">
        <v>1205830000</v>
      </c>
      <c r="P456" s="3">
        <v>5359000</v>
      </c>
      <c r="Q456" s="3">
        <v>6427000</v>
      </c>
      <c r="R456" s="5">
        <v>172</v>
      </c>
      <c r="T456" s="3">
        <v>1976630000</v>
      </c>
      <c r="U456" s="4"/>
      <c r="V456" s="5">
        <f t="shared" si="52"/>
        <v>20450</v>
      </c>
      <c r="W456" s="8"/>
      <c r="X456" s="9" t="str">
        <f t="shared" si="50"/>
        <v>a</v>
      </c>
      <c r="Y456" s="9" t="str">
        <f t="shared" si="50"/>
        <v>a</v>
      </c>
      <c r="Z456" s="31">
        <f t="shared" si="53"/>
        <v>3390625</v>
      </c>
      <c r="AA456" s="31">
        <f t="shared" si="54"/>
        <v>3390625</v>
      </c>
    </row>
    <row r="457" spans="1:27" ht="13">
      <c r="A457" s="9">
        <v>455</v>
      </c>
      <c r="B457" s="3" t="s">
        <v>1809</v>
      </c>
      <c r="C457" s="3"/>
      <c r="D457" s="5">
        <v>355</v>
      </c>
      <c r="E457" s="3">
        <v>450</v>
      </c>
      <c r="F457" s="3">
        <v>450</v>
      </c>
      <c r="G457" s="5">
        <v>28</v>
      </c>
      <c r="H457" s="5">
        <v>28</v>
      </c>
      <c r="I457" s="3">
        <v>45200</v>
      </c>
      <c r="J457" s="3">
        <v>1311660000</v>
      </c>
      <c r="K457" s="3">
        <v>5830000</v>
      </c>
      <c r="L457" s="3">
        <v>7047000</v>
      </c>
      <c r="M457" s="3">
        <v>170</v>
      </c>
      <c r="N457" s="5">
        <f t="shared" si="51"/>
        <v>22600</v>
      </c>
      <c r="O457" s="3">
        <v>1311660000</v>
      </c>
      <c r="P457" s="3">
        <v>5830000</v>
      </c>
      <c r="Q457" s="3">
        <v>7047000</v>
      </c>
      <c r="R457" s="5">
        <v>170</v>
      </c>
      <c r="T457" s="3">
        <v>2172740000</v>
      </c>
      <c r="U457" s="4"/>
      <c r="V457" s="5">
        <f t="shared" si="52"/>
        <v>22600</v>
      </c>
      <c r="W457" s="8"/>
      <c r="X457" s="9" t="str">
        <f t="shared" si="50"/>
        <v>a</v>
      </c>
      <c r="Y457" s="9" t="str">
        <f t="shared" si="50"/>
        <v>a</v>
      </c>
      <c r="Z457" s="31">
        <f t="shared" si="53"/>
        <v>3745252</v>
      </c>
      <c r="AA457" s="31">
        <f t="shared" si="54"/>
        <v>3745252</v>
      </c>
    </row>
    <row r="458" spans="1:27" ht="13">
      <c r="A458" s="9">
        <v>456</v>
      </c>
      <c r="B458" s="3" t="s">
        <v>1810</v>
      </c>
      <c r="C458" s="3"/>
      <c r="D458" s="5">
        <v>399</v>
      </c>
      <c r="E458" s="3">
        <v>450</v>
      </c>
      <c r="F458" s="3">
        <v>450</v>
      </c>
      <c r="G458" s="5">
        <v>32</v>
      </c>
      <c r="H458" s="5">
        <v>32</v>
      </c>
      <c r="I458" s="3">
        <v>50900</v>
      </c>
      <c r="J458" s="3">
        <v>1440990000</v>
      </c>
      <c r="K458" s="3">
        <v>6404000</v>
      </c>
      <c r="L458" s="3">
        <v>7826000</v>
      </c>
      <c r="M458" s="3">
        <v>168</v>
      </c>
      <c r="N458" s="5">
        <f t="shared" si="51"/>
        <v>25450</v>
      </c>
      <c r="O458" s="3">
        <v>1440990000</v>
      </c>
      <c r="P458" s="3">
        <v>6404000</v>
      </c>
      <c r="Q458" s="3">
        <v>7826000</v>
      </c>
      <c r="R458" s="5">
        <v>168</v>
      </c>
      <c r="T458" s="3">
        <v>2420290000</v>
      </c>
      <c r="U458" s="4"/>
      <c r="V458" s="5">
        <f t="shared" si="52"/>
        <v>25450</v>
      </c>
      <c r="W458" s="8"/>
      <c r="X458" s="9" t="str">
        <f t="shared" si="50"/>
        <v>a</v>
      </c>
      <c r="Y458" s="9" t="str">
        <f t="shared" si="50"/>
        <v>a</v>
      </c>
      <c r="Z458" s="31">
        <f t="shared" si="53"/>
        <v>4201568</v>
      </c>
      <c r="AA458" s="31">
        <f t="shared" si="54"/>
        <v>4201568</v>
      </c>
    </row>
    <row r="459" spans="1:27" ht="13">
      <c r="A459" s="9">
        <v>457</v>
      </c>
      <c r="B459" s="3" t="s">
        <v>1811</v>
      </c>
      <c r="C459" s="3"/>
      <c r="D459" s="5">
        <v>442</v>
      </c>
      <c r="E459" s="3">
        <v>450</v>
      </c>
      <c r="F459" s="3">
        <v>450</v>
      </c>
      <c r="G459" s="5">
        <v>36</v>
      </c>
      <c r="H459" s="5">
        <v>36</v>
      </c>
      <c r="I459" s="3">
        <v>56300</v>
      </c>
      <c r="J459" s="3">
        <v>1557310000</v>
      </c>
      <c r="K459" s="3">
        <v>6921000</v>
      </c>
      <c r="L459" s="3">
        <v>8550000</v>
      </c>
      <c r="M459" s="3">
        <v>166</v>
      </c>
      <c r="N459" s="5">
        <f t="shared" si="51"/>
        <v>28150</v>
      </c>
      <c r="O459" s="3">
        <v>1557310000</v>
      </c>
      <c r="P459" s="3">
        <v>6921000</v>
      </c>
      <c r="Q459" s="3">
        <v>8550000</v>
      </c>
      <c r="R459" s="5">
        <v>166</v>
      </c>
      <c r="T459" s="3">
        <v>2651830000</v>
      </c>
      <c r="U459" s="4"/>
      <c r="V459" s="5">
        <f t="shared" si="52"/>
        <v>28150</v>
      </c>
      <c r="W459" s="8"/>
      <c r="X459" s="9" t="str">
        <f t="shared" si="50"/>
        <v>a</v>
      </c>
      <c r="Y459" s="9" t="str">
        <f t="shared" si="50"/>
        <v>a</v>
      </c>
      <c r="Z459" s="31">
        <f t="shared" si="53"/>
        <v>4639356</v>
      </c>
      <c r="AA459" s="31">
        <f t="shared" si="54"/>
        <v>4639356</v>
      </c>
    </row>
    <row r="460" spans="1:27" ht="13">
      <c r="A460" s="9">
        <v>458</v>
      </c>
      <c r="B460" s="3" t="s">
        <v>1812</v>
      </c>
      <c r="C460" s="3"/>
      <c r="D460" s="5">
        <v>483</v>
      </c>
      <c r="E460" s="3">
        <v>450</v>
      </c>
      <c r="F460" s="3">
        <v>450</v>
      </c>
      <c r="G460" s="5">
        <v>40</v>
      </c>
      <c r="H460" s="5">
        <v>40</v>
      </c>
      <c r="I460" s="3">
        <v>61500</v>
      </c>
      <c r="J460" s="3">
        <v>1661100000</v>
      </c>
      <c r="K460" s="3">
        <v>7383000</v>
      </c>
      <c r="L460" s="3">
        <v>9222000</v>
      </c>
      <c r="M460" s="3">
        <v>164</v>
      </c>
      <c r="N460" s="5">
        <f t="shared" si="51"/>
        <v>30750</v>
      </c>
      <c r="O460" s="3">
        <v>1661100000</v>
      </c>
      <c r="P460" s="3">
        <v>7383000</v>
      </c>
      <c r="Q460" s="3">
        <v>9222000</v>
      </c>
      <c r="R460" s="5">
        <v>164</v>
      </c>
      <c r="T460" s="3">
        <v>2867230000</v>
      </c>
      <c r="U460" s="4"/>
      <c r="V460" s="5">
        <f t="shared" si="52"/>
        <v>30750</v>
      </c>
      <c r="W460" s="8"/>
      <c r="X460" s="9" t="str">
        <f t="shared" si="50"/>
        <v>a</v>
      </c>
      <c r="Y460" s="9" t="str">
        <f t="shared" si="50"/>
        <v>a</v>
      </c>
      <c r="Z460" s="31">
        <f t="shared" si="53"/>
        <v>5059000</v>
      </c>
      <c r="AA460" s="31">
        <f t="shared" si="54"/>
        <v>5059000</v>
      </c>
    </row>
    <row r="461" spans="1:27" ht="13">
      <c r="A461" s="9">
        <v>459</v>
      </c>
      <c r="B461" s="3" t="s">
        <v>1813</v>
      </c>
      <c r="C461" s="3"/>
      <c r="D461" s="5">
        <v>531</v>
      </c>
      <c r="E461" s="3">
        <v>450</v>
      </c>
      <c r="F461" s="3">
        <v>450</v>
      </c>
      <c r="G461" s="5">
        <v>45</v>
      </c>
      <c r="H461" s="5">
        <v>45</v>
      </c>
      <c r="I461" s="3">
        <v>67700</v>
      </c>
      <c r="J461" s="3">
        <v>1773950000</v>
      </c>
      <c r="K461" s="3">
        <v>7884000</v>
      </c>
      <c r="L461" s="3">
        <v>9988000</v>
      </c>
      <c r="M461" s="3">
        <v>162</v>
      </c>
      <c r="N461" s="5">
        <f t="shared" si="51"/>
        <v>33850</v>
      </c>
      <c r="O461" s="3">
        <v>1773950000</v>
      </c>
      <c r="P461" s="3">
        <v>7884000</v>
      </c>
      <c r="Q461" s="3">
        <v>9988000</v>
      </c>
      <c r="R461" s="5">
        <v>162</v>
      </c>
      <c r="T461" s="3">
        <v>3113650000</v>
      </c>
      <c r="U461" s="4"/>
      <c r="V461" s="5">
        <f t="shared" si="52"/>
        <v>33850</v>
      </c>
      <c r="W461" s="8"/>
      <c r="X461" s="9" t="str">
        <f t="shared" si="50"/>
        <v>a</v>
      </c>
      <c r="Y461" s="9" t="str">
        <f t="shared" si="50"/>
        <v>a</v>
      </c>
      <c r="Z461" s="31">
        <f t="shared" si="53"/>
        <v>5558625</v>
      </c>
      <c r="AA461" s="31">
        <f t="shared" si="54"/>
        <v>5558625</v>
      </c>
    </row>
    <row r="462" spans="1:27" ht="13">
      <c r="A462" s="9">
        <v>460</v>
      </c>
      <c r="B462" s="3" t="s">
        <v>1814</v>
      </c>
      <c r="C462" s="3"/>
      <c r="D462" s="5">
        <v>85.4</v>
      </c>
      <c r="E462" s="3">
        <v>500</v>
      </c>
      <c r="F462" s="3">
        <v>200</v>
      </c>
      <c r="G462" s="5">
        <v>8</v>
      </c>
      <c r="H462" s="5">
        <v>8</v>
      </c>
      <c r="I462" s="3">
        <v>10900</v>
      </c>
      <c r="J462" s="3">
        <v>340450000</v>
      </c>
      <c r="K462" s="3">
        <v>1362000</v>
      </c>
      <c r="L462" s="3">
        <v>1707000</v>
      </c>
      <c r="M462" s="3">
        <v>177</v>
      </c>
      <c r="N462" s="5">
        <f t="shared" si="51"/>
        <v>7785.7142857142853</v>
      </c>
      <c r="O462" s="3">
        <v>81350000</v>
      </c>
      <c r="P462" s="3">
        <v>814000</v>
      </c>
      <c r="Q462" s="3">
        <v>896000</v>
      </c>
      <c r="R462" s="5">
        <v>86.5</v>
      </c>
      <c r="T462" s="3">
        <v>211240000</v>
      </c>
      <c r="U462" s="4"/>
      <c r="V462" s="5">
        <f t="shared" si="52"/>
        <v>3114.2857142857142</v>
      </c>
      <c r="W462" s="8"/>
      <c r="X462" s="9" t="str">
        <f t="shared" si="50"/>
        <v>a</v>
      </c>
      <c r="Y462" s="9" t="str">
        <f t="shared" si="50"/>
        <v>a</v>
      </c>
      <c r="Z462" s="31">
        <f t="shared" si="53"/>
        <v>862112</v>
      </c>
      <c r="AA462" s="31">
        <f t="shared" si="54"/>
        <v>451712</v>
      </c>
    </row>
    <row r="463" spans="1:27" ht="13">
      <c r="A463" s="9">
        <v>461</v>
      </c>
      <c r="B463" s="3" t="s">
        <v>1815</v>
      </c>
      <c r="C463" s="3"/>
      <c r="D463" s="5">
        <v>93.6</v>
      </c>
      <c r="E463" s="3">
        <v>500</v>
      </c>
      <c r="F463" s="3">
        <v>200</v>
      </c>
      <c r="G463" s="5">
        <v>8.8000000000000007</v>
      </c>
      <c r="H463" s="5">
        <v>8.8000000000000007</v>
      </c>
      <c r="I463" s="3">
        <v>11900</v>
      </c>
      <c r="J463" s="3">
        <v>371670000</v>
      </c>
      <c r="K463" s="3">
        <v>1487000</v>
      </c>
      <c r="L463" s="3">
        <v>1867000</v>
      </c>
      <c r="M463" s="3">
        <v>177</v>
      </c>
      <c r="N463" s="5">
        <f t="shared" si="51"/>
        <v>8500</v>
      </c>
      <c r="O463" s="3">
        <v>88500000</v>
      </c>
      <c r="P463" s="3">
        <v>885000</v>
      </c>
      <c r="Q463" s="3">
        <v>979000</v>
      </c>
      <c r="R463" s="5">
        <v>86.1</v>
      </c>
      <c r="T463" s="3">
        <v>230480000</v>
      </c>
      <c r="U463" s="4"/>
      <c r="V463" s="5">
        <f t="shared" si="52"/>
        <v>3400</v>
      </c>
      <c r="W463" s="8"/>
      <c r="X463" s="9" t="str">
        <f t="shared" ref="X463:Y482" si="55">IF(fy=460,"a0","a")</f>
        <v>a</v>
      </c>
      <c r="Y463" s="9" t="str">
        <f t="shared" si="55"/>
        <v>a</v>
      </c>
      <c r="Z463" s="31">
        <f t="shared" si="53"/>
        <v>944217.47200000007</v>
      </c>
      <c r="AA463" s="31">
        <f t="shared" si="54"/>
        <v>493833.47200000001</v>
      </c>
    </row>
    <row r="464" spans="1:27" ht="13">
      <c r="A464" s="9">
        <v>462</v>
      </c>
      <c r="B464" s="3" t="s">
        <v>1816</v>
      </c>
      <c r="C464" s="3"/>
      <c r="D464" s="5">
        <v>97.9</v>
      </c>
      <c r="E464" s="3">
        <v>500</v>
      </c>
      <c r="F464" s="3">
        <v>300</v>
      </c>
      <c r="G464" s="5">
        <v>8</v>
      </c>
      <c r="H464" s="5">
        <v>8</v>
      </c>
      <c r="I464" s="3">
        <v>12500</v>
      </c>
      <c r="J464" s="3">
        <v>437280000</v>
      </c>
      <c r="K464" s="3">
        <v>1749000</v>
      </c>
      <c r="L464" s="3">
        <v>2100000</v>
      </c>
      <c r="M464" s="3">
        <v>187</v>
      </c>
      <c r="N464" s="5">
        <f t="shared" si="51"/>
        <v>7812.5</v>
      </c>
      <c r="O464" s="3">
        <v>199510000</v>
      </c>
      <c r="P464" s="3">
        <v>1330000</v>
      </c>
      <c r="Q464" s="3">
        <v>1480000</v>
      </c>
      <c r="R464" s="5">
        <v>126</v>
      </c>
      <c r="T464" s="3">
        <v>425630000</v>
      </c>
      <c r="U464" s="4"/>
      <c r="V464" s="5">
        <f t="shared" si="52"/>
        <v>4687.5</v>
      </c>
      <c r="W464" s="8"/>
      <c r="X464" s="9" t="str">
        <f t="shared" si="55"/>
        <v>a</v>
      </c>
      <c r="Y464" s="9" t="str">
        <f t="shared" si="55"/>
        <v>a</v>
      </c>
      <c r="Z464" s="31">
        <f t="shared" si="53"/>
        <v>1058912</v>
      </c>
      <c r="AA464" s="31">
        <f t="shared" si="54"/>
        <v>745312</v>
      </c>
    </row>
    <row r="465" spans="1:27" ht="13">
      <c r="A465" s="9">
        <v>463</v>
      </c>
      <c r="B465" s="3" t="s">
        <v>1817</v>
      </c>
      <c r="C465" s="3"/>
      <c r="D465" s="5">
        <v>106</v>
      </c>
      <c r="E465" s="3">
        <v>500</v>
      </c>
      <c r="F465" s="3">
        <v>200</v>
      </c>
      <c r="G465" s="5">
        <v>10</v>
      </c>
      <c r="H465" s="5">
        <v>10</v>
      </c>
      <c r="I465" s="3">
        <v>13500</v>
      </c>
      <c r="J465" s="3">
        <v>417550000</v>
      </c>
      <c r="K465" s="3">
        <v>1670000</v>
      </c>
      <c r="L465" s="3">
        <v>2105000</v>
      </c>
      <c r="M465" s="3">
        <v>176</v>
      </c>
      <c r="N465" s="5">
        <f t="shared" si="51"/>
        <v>9642.8571428571431</v>
      </c>
      <c r="O465" s="3">
        <v>98910000</v>
      </c>
      <c r="P465" s="3">
        <v>989000</v>
      </c>
      <c r="Q465" s="3">
        <v>1101000</v>
      </c>
      <c r="R465" s="5">
        <v>85.6</v>
      </c>
      <c r="T465" s="3">
        <v>258720000</v>
      </c>
      <c r="U465" s="4"/>
      <c r="V465" s="5">
        <f t="shared" si="52"/>
        <v>3857.1428571428573</v>
      </c>
      <c r="W465" s="8"/>
      <c r="X465" s="9" t="str">
        <f t="shared" si="55"/>
        <v>a</v>
      </c>
      <c r="Y465" s="9" t="str">
        <f t="shared" si="55"/>
        <v>a</v>
      </c>
      <c r="Z465" s="31">
        <f t="shared" si="53"/>
        <v>1066000</v>
      </c>
      <c r="AA465" s="31">
        <f t="shared" si="54"/>
        <v>556000</v>
      </c>
    </row>
    <row r="466" spans="1:27" ht="13">
      <c r="A466" s="9">
        <v>464</v>
      </c>
      <c r="B466" s="3" t="s">
        <v>1818</v>
      </c>
      <c r="C466" s="3"/>
      <c r="D466" s="5">
        <v>107</v>
      </c>
      <c r="E466" s="3">
        <v>500</v>
      </c>
      <c r="F466" s="3">
        <v>300</v>
      </c>
      <c r="G466" s="5">
        <v>8.8000000000000007</v>
      </c>
      <c r="H466" s="5">
        <v>8.8000000000000007</v>
      </c>
      <c r="I466" s="3">
        <v>13700</v>
      </c>
      <c r="J466" s="3">
        <v>477840000</v>
      </c>
      <c r="K466" s="3">
        <v>1911000</v>
      </c>
      <c r="L466" s="3">
        <v>2300000</v>
      </c>
      <c r="M466" s="3">
        <v>187</v>
      </c>
      <c r="N466" s="5">
        <f t="shared" si="51"/>
        <v>8562.5</v>
      </c>
      <c r="O466" s="3">
        <v>217700000</v>
      </c>
      <c r="P466" s="3">
        <v>1451000</v>
      </c>
      <c r="Q466" s="3">
        <v>1619000</v>
      </c>
      <c r="R466" s="5">
        <v>126</v>
      </c>
      <c r="T466" s="3">
        <v>465540000</v>
      </c>
      <c r="U466" s="4"/>
      <c r="V466" s="5">
        <f t="shared" si="52"/>
        <v>5137.5</v>
      </c>
      <c r="W466" s="8"/>
      <c r="X466" s="9" t="str">
        <f t="shared" si="55"/>
        <v>a</v>
      </c>
      <c r="Y466" s="9" t="str">
        <f t="shared" si="55"/>
        <v>a</v>
      </c>
      <c r="Z466" s="31">
        <f t="shared" si="53"/>
        <v>1160345.4720000001</v>
      </c>
      <c r="AA466" s="31">
        <f t="shared" si="54"/>
        <v>816089.47199999995</v>
      </c>
    </row>
    <row r="467" spans="1:27" ht="13">
      <c r="A467" s="9">
        <v>465</v>
      </c>
      <c r="B467" s="3" t="s">
        <v>1819</v>
      </c>
      <c r="C467" s="3"/>
      <c r="D467" s="5">
        <v>122</v>
      </c>
      <c r="E467" s="3">
        <v>500</v>
      </c>
      <c r="F467" s="3">
        <v>300</v>
      </c>
      <c r="G467" s="5">
        <v>10</v>
      </c>
      <c r="H467" s="5">
        <v>10</v>
      </c>
      <c r="I467" s="3">
        <v>15500</v>
      </c>
      <c r="J467" s="3">
        <v>537620000</v>
      </c>
      <c r="K467" s="3">
        <v>2150000</v>
      </c>
      <c r="L467" s="3">
        <v>2595000</v>
      </c>
      <c r="M467" s="3">
        <v>186</v>
      </c>
      <c r="N467" s="5">
        <f t="shared" si="51"/>
        <v>9687.5</v>
      </c>
      <c r="O467" s="3">
        <v>244390000</v>
      </c>
      <c r="P467" s="3">
        <v>1629000</v>
      </c>
      <c r="Q467" s="3">
        <v>1826000</v>
      </c>
      <c r="R467" s="5">
        <v>126</v>
      </c>
      <c r="T467" s="3">
        <v>524500000</v>
      </c>
      <c r="U467" s="4"/>
      <c r="V467" s="5">
        <f t="shared" si="52"/>
        <v>5812.5</v>
      </c>
      <c r="W467" s="8"/>
      <c r="X467" s="9" t="str">
        <f t="shared" si="55"/>
        <v>a</v>
      </c>
      <c r="Y467" s="9" t="str">
        <f t="shared" si="55"/>
        <v>a</v>
      </c>
      <c r="Z467" s="31">
        <f t="shared" si="53"/>
        <v>1311000</v>
      </c>
      <c r="AA467" s="31">
        <f t="shared" si="54"/>
        <v>921000</v>
      </c>
    </row>
    <row r="468" spans="1:27" ht="13">
      <c r="A468" s="9">
        <v>466</v>
      </c>
      <c r="B468" s="3" t="s">
        <v>1820</v>
      </c>
      <c r="C468" s="3"/>
      <c r="D468" s="5">
        <v>131</v>
      </c>
      <c r="E468" s="3">
        <v>500</v>
      </c>
      <c r="F468" s="3">
        <v>200</v>
      </c>
      <c r="G468" s="5">
        <v>12.5</v>
      </c>
      <c r="H468" s="5">
        <v>12.5</v>
      </c>
      <c r="I468" s="3">
        <v>16700</v>
      </c>
      <c r="J468" s="3">
        <v>509560000</v>
      </c>
      <c r="K468" s="3">
        <v>2038000</v>
      </c>
      <c r="L468" s="3">
        <v>2586000</v>
      </c>
      <c r="M468" s="3">
        <v>175</v>
      </c>
      <c r="N468" s="5">
        <f t="shared" si="51"/>
        <v>11928.571428571429</v>
      </c>
      <c r="O468" s="3">
        <v>119380000</v>
      </c>
      <c r="P468" s="3">
        <v>1194000</v>
      </c>
      <c r="Q468" s="3">
        <v>1346000</v>
      </c>
      <c r="R468" s="5">
        <v>84.5</v>
      </c>
      <c r="T468" s="3">
        <v>315140000</v>
      </c>
      <c r="U468" s="4"/>
      <c r="V468" s="5">
        <f t="shared" si="52"/>
        <v>4771.4285714285716</v>
      </c>
      <c r="W468" s="8"/>
      <c r="X468" s="9" t="str">
        <f t="shared" si="55"/>
        <v>a</v>
      </c>
      <c r="Y468" s="9" t="str">
        <f t="shared" si="55"/>
        <v>a</v>
      </c>
      <c r="Z468" s="31">
        <f t="shared" si="53"/>
        <v>1314453.125</v>
      </c>
      <c r="AA468" s="31">
        <f t="shared" si="54"/>
        <v>681640.625</v>
      </c>
    </row>
    <row r="469" spans="1:27" ht="13">
      <c r="A469" s="9">
        <v>467</v>
      </c>
      <c r="B469" s="3" t="s">
        <v>1821</v>
      </c>
      <c r="C469" s="3"/>
      <c r="D469" s="5">
        <v>148</v>
      </c>
      <c r="E469" s="3">
        <v>500</v>
      </c>
      <c r="F469" s="3">
        <v>200</v>
      </c>
      <c r="G469" s="5">
        <v>14.2</v>
      </c>
      <c r="H469" s="5">
        <v>14.2</v>
      </c>
      <c r="I469" s="3">
        <v>18900</v>
      </c>
      <c r="J469" s="3">
        <v>569390000</v>
      </c>
      <c r="K469" s="3">
        <v>2278000</v>
      </c>
      <c r="L469" s="3">
        <v>2904000</v>
      </c>
      <c r="M469" s="3">
        <v>174</v>
      </c>
      <c r="N469" s="5">
        <f t="shared" si="51"/>
        <v>13500</v>
      </c>
      <c r="O469" s="3">
        <v>132390000</v>
      </c>
      <c r="P469" s="3">
        <v>1324000</v>
      </c>
      <c r="Q469" s="3">
        <v>1505000</v>
      </c>
      <c r="R469" s="5">
        <v>83.8</v>
      </c>
      <c r="T469" s="3">
        <v>351660000</v>
      </c>
      <c r="U469" s="4"/>
      <c r="V469" s="5">
        <f t="shared" si="52"/>
        <v>5400</v>
      </c>
      <c r="W469" s="8"/>
      <c r="X469" s="9" t="str">
        <f t="shared" si="55"/>
        <v>a</v>
      </c>
      <c r="Y469" s="9" t="str">
        <f t="shared" si="55"/>
        <v>a</v>
      </c>
      <c r="Z469" s="31">
        <f t="shared" si="53"/>
        <v>1479379.2880000002</v>
      </c>
      <c r="AA469" s="31">
        <f t="shared" si="54"/>
        <v>764125.28799999994</v>
      </c>
    </row>
    <row r="470" spans="1:27" ht="13">
      <c r="A470" s="9">
        <v>468</v>
      </c>
      <c r="B470" s="3" t="s">
        <v>1822</v>
      </c>
      <c r="C470" s="3"/>
      <c r="D470" s="5">
        <v>151</v>
      </c>
      <c r="E470" s="3">
        <v>500</v>
      </c>
      <c r="F470" s="3">
        <v>300</v>
      </c>
      <c r="G470" s="5">
        <v>12.5</v>
      </c>
      <c r="H470" s="5">
        <v>12.5</v>
      </c>
      <c r="I470" s="3">
        <v>19200</v>
      </c>
      <c r="J470" s="3">
        <v>658100000</v>
      </c>
      <c r="K470" s="3">
        <v>2633000</v>
      </c>
      <c r="L470" s="3">
        <v>3196000</v>
      </c>
      <c r="M470" s="3">
        <v>185</v>
      </c>
      <c r="N470" s="5">
        <f t="shared" si="51"/>
        <v>12000</v>
      </c>
      <c r="O470" s="3">
        <v>297800000</v>
      </c>
      <c r="P470" s="3">
        <v>1985000</v>
      </c>
      <c r="Q470" s="3">
        <v>2244000</v>
      </c>
      <c r="R470" s="5">
        <v>125</v>
      </c>
      <c r="T470" s="3">
        <v>643900000</v>
      </c>
      <c r="U470" s="4"/>
      <c r="V470" s="5">
        <f t="shared" si="52"/>
        <v>7200</v>
      </c>
      <c r="W470" s="8"/>
      <c r="X470" s="9" t="str">
        <f t="shared" si="55"/>
        <v>a</v>
      </c>
      <c r="Y470" s="9" t="str">
        <f t="shared" si="55"/>
        <v>a</v>
      </c>
      <c r="Z470" s="31">
        <f t="shared" si="53"/>
        <v>1619140.625</v>
      </c>
      <c r="AA470" s="31">
        <f t="shared" si="54"/>
        <v>1134765.625</v>
      </c>
    </row>
    <row r="471" spans="1:27" ht="13">
      <c r="A471" s="9">
        <v>469</v>
      </c>
      <c r="B471" s="3" t="s">
        <v>1823</v>
      </c>
      <c r="C471" s="3"/>
      <c r="D471" s="5">
        <v>166</v>
      </c>
      <c r="E471" s="3">
        <v>500</v>
      </c>
      <c r="F471" s="3">
        <v>200</v>
      </c>
      <c r="G471" s="5">
        <v>16</v>
      </c>
      <c r="H471" s="5">
        <v>16</v>
      </c>
      <c r="I471" s="3">
        <v>21100</v>
      </c>
      <c r="J471" s="3">
        <v>630360000</v>
      </c>
      <c r="K471" s="3">
        <v>2521000</v>
      </c>
      <c r="L471" s="3">
        <v>3231000</v>
      </c>
      <c r="M471" s="3">
        <v>173</v>
      </c>
      <c r="N471" s="5">
        <f t="shared" si="51"/>
        <v>15071.428571428571</v>
      </c>
      <c r="O471" s="3">
        <v>145390000</v>
      </c>
      <c r="P471" s="3">
        <v>1454000</v>
      </c>
      <c r="Q471" s="3">
        <v>1669000</v>
      </c>
      <c r="R471" s="5">
        <v>83</v>
      </c>
      <c r="T471" s="3">
        <v>388720000</v>
      </c>
      <c r="U471" s="4"/>
      <c r="V471" s="5">
        <f t="shared" si="52"/>
        <v>6028.5714285714284</v>
      </c>
      <c r="W471" s="8"/>
      <c r="X471" s="9" t="str">
        <f t="shared" si="55"/>
        <v>a</v>
      </c>
      <c r="Y471" s="9" t="str">
        <f t="shared" si="55"/>
        <v>a</v>
      </c>
      <c r="Z471" s="31">
        <f t="shared" si="53"/>
        <v>1650496</v>
      </c>
      <c r="AA471" s="31">
        <f t="shared" si="54"/>
        <v>848896</v>
      </c>
    </row>
    <row r="472" spans="1:27" ht="13">
      <c r="A472" s="9">
        <v>470</v>
      </c>
      <c r="B472" s="3" t="s">
        <v>1824</v>
      </c>
      <c r="C472" s="3"/>
      <c r="D472" s="5">
        <v>170</v>
      </c>
      <c r="E472" s="3">
        <v>500</v>
      </c>
      <c r="F472" s="3">
        <v>300</v>
      </c>
      <c r="G472" s="5">
        <v>14.2</v>
      </c>
      <c r="H472" s="5">
        <v>14.2</v>
      </c>
      <c r="I472" s="3">
        <v>21700</v>
      </c>
      <c r="J472" s="3">
        <v>737000000</v>
      </c>
      <c r="K472" s="3">
        <v>2948000</v>
      </c>
      <c r="L472" s="3">
        <v>3593000</v>
      </c>
      <c r="M472" s="3">
        <v>184</v>
      </c>
      <c r="N472" s="5">
        <f t="shared" si="51"/>
        <v>13562.5</v>
      </c>
      <c r="O472" s="3">
        <v>332500000</v>
      </c>
      <c r="P472" s="3">
        <v>2216000</v>
      </c>
      <c r="Q472" s="3">
        <v>2519000</v>
      </c>
      <c r="R472" s="5">
        <v>124</v>
      </c>
      <c r="T472" s="3">
        <v>722400000</v>
      </c>
      <c r="U472" s="4"/>
      <c r="V472" s="5">
        <f t="shared" si="52"/>
        <v>8137.5</v>
      </c>
      <c r="W472" s="8"/>
      <c r="X472" s="9" t="str">
        <f t="shared" si="55"/>
        <v>a</v>
      </c>
      <c r="Y472" s="9" t="str">
        <f t="shared" si="55"/>
        <v>a</v>
      </c>
      <c r="Z472" s="31">
        <f t="shared" si="53"/>
        <v>1824297.2880000002</v>
      </c>
      <c r="AA472" s="31">
        <f t="shared" si="54"/>
        <v>1276461.2879999999</v>
      </c>
    </row>
    <row r="473" spans="1:27" ht="13">
      <c r="A473" s="9">
        <v>471</v>
      </c>
      <c r="B473" s="3" t="s">
        <v>1825</v>
      </c>
      <c r="C473" s="3"/>
      <c r="D473" s="5">
        <v>181</v>
      </c>
      <c r="E473" s="3">
        <v>500</v>
      </c>
      <c r="F473" s="3">
        <v>500</v>
      </c>
      <c r="G473" s="5">
        <v>12</v>
      </c>
      <c r="H473" s="5">
        <v>12</v>
      </c>
      <c r="I473" s="3">
        <v>23100</v>
      </c>
      <c r="J473" s="3">
        <v>907520000</v>
      </c>
      <c r="K473" s="3">
        <v>3630000</v>
      </c>
      <c r="L473" s="3">
        <v>4196000</v>
      </c>
      <c r="M473" s="3">
        <v>198</v>
      </c>
      <c r="N473" s="5">
        <f t="shared" si="51"/>
        <v>11550</v>
      </c>
      <c r="O473" s="3">
        <v>907520000</v>
      </c>
      <c r="P473" s="3">
        <v>3630000</v>
      </c>
      <c r="Q473" s="3">
        <v>4196000</v>
      </c>
      <c r="R473" s="5">
        <v>198</v>
      </c>
      <c r="T473" s="3">
        <v>1414800000</v>
      </c>
      <c r="U473" s="4"/>
      <c r="V473" s="5">
        <f t="shared" si="52"/>
        <v>11550</v>
      </c>
      <c r="W473" s="8"/>
      <c r="X473" s="9" t="str">
        <f t="shared" si="55"/>
        <v>a</v>
      </c>
      <c r="Y473" s="9" t="str">
        <f t="shared" si="55"/>
        <v>a</v>
      </c>
      <c r="Z473" s="31">
        <f t="shared" si="53"/>
        <v>2143728</v>
      </c>
      <c r="AA473" s="31">
        <f t="shared" si="54"/>
        <v>2143728</v>
      </c>
    </row>
    <row r="474" spans="1:27" ht="13">
      <c r="A474" s="9">
        <v>472</v>
      </c>
      <c r="B474" s="3" t="s">
        <v>1826</v>
      </c>
      <c r="C474" s="3"/>
      <c r="D474" s="5">
        <v>191</v>
      </c>
      <c r="E474" s="3">
        <v>500</v>
      </c>
      <c r="F474" s="3">
        <v>300</v>
      </c>
      <c r="G474" s="5">
        <v>16</v>
      </c>
      <c r="H474" s="5">
        <v>16</v>
      </c>
      <c r="I474" s="3">
        <v>24300</v>
      </c>
      <c r="J474" s="3">
        <v>817830000</v>
      </c>
      <c r="K474" s="3">
        <v>3271000</v>
      </c>
      <c r="L474" s="3">
        <v>4005000</v>
      </c>
      <c r="M474" s="3">
        <v>183</v>
      </c>
      <c r="N474" s="5">
        <f t="shared" si="51"/>
        <v>15187.5</v>
      </c>
      <c r="O474" s="3">
        <v>367680000</v>
      </c>
      <c r="P474" s="3">
        <v>2451000</v>
      </c>
      <c r="Q474" s="3">
        <v>2804000</v>
      </c>
      <c r="R474" s="5">
        <v>123</v>
      </c>
      <c r="T474" s="3">
        <v>803290000</v>
      </c>
      <c r="U474" s="4"/>
      <c r="V474" s="5">
        <f t="shared" si="52"/>
        <v>9112.5</v>
      </c>
      <c r="W474" s="8"/>
      <c r="X474" s="9" t="str">
        <f t="shared" si="55"/>
        <v>a</v>
      </c>
      <c r="Y474" s="9" t="str">
        <f t="shared" si="55"/>
        <v>a</v>
      </c>
      <c r="Z474" s="31">
        <f t="shared" si="53"/>
        <v>2037696</v>
      </c>
      <c r="AA474" s="31">
        <f t="shared" si="54"/>
        <v>1423296</v>
      </c>
    </row>
    <row r="475" spans="1:27" ht="13">
      <c r="A475" s="9">
        <v>473</v>
      </c>
      <c r="B475" s="3" t="s">
        <v>1827</v>
      </c>
      <c r="C475" s="3"/>
      <c r="D475" s="5">
        <v>235</v>
      </c>
      <c r="E475" s="3">
        <v>500</v>
      </c>
      <c r="F475" s="3">
        <v>300</v>
      </c>
      <c r="G475" s="5">
        <v>20</v>
      </c>
      <c r="H475" s="5">
        <v>20</v>
      </c>
      <c r="I475" s="3">
        <v>30000</v>
      </c>
      <c r="J475" s="3">
        <v>987770000</v>
      </c>
      <c r="K475" s="3">
        <v>3951000</v>
      </c>
      <c r="L475" s="3">
        <v>4885000</v>
      </c>
      <c r="M475" s="3">
        <v>182</v>
      </c>
      <c r="N475" s="5">
        <f t="shared" si="51"/>
        <v>18750</v>
      </c>
      <c r="O475" s="3">
        <v>440780000</v>
      </c>
      <c r="P475" s="3">
        <v>2939000</v>
      </c>
      <c r="Q475" s="3">
        <v>3408000</v>
      </c>
      <c r="R475" s="5">
        <v>121</v>
      </c>
      <c r="T475" s="3">
        <v>974470000</v>
      </c>
      <c r="U475" s="4"/>
      <c r="V475" s="5">
        <f t="shared" si="52"/>
        <v>11250</v>
      </c>
      <c r="W475" s="8"/>
      <c r="X475" s="9" t="str">
        <f t="shared" si="55"/>
        <v>a</v>
      </c>
      <c r="Y475" s="9" t="str">
        <f t="shared" si="55"/>
        <v>a</v>
      </c>
      <c r="Z475" s="31">
        <f t="shared" si="53"/>
        <v>2498000</v>
      </c>
      <c r="AA475" s="31">
        <f t="shared" si="54"/>
        <v>1738000</v>
      </c>
    </row>
    <row r="476" spans="1:27" ht="13">
      <c r="A476" s="9">
        <v>474</v>
      </c>
      <c r="B476" s="3" t="s">
        <v>1828</v>
      </c>
      <c r="C476" s="3"/>
      <c r="D476" s="5">
        <v>238</v>
      </c>
      <c r="E476" s="3">
        <v>500</v>
      </c>
      <c r="F476" s="3">
        <v>500</v>
      </c>
      <c r="G476" s="5">
        <v>16</v>
      </c>
      <c r="H476" s="5">
        <v>16</v>
      </c>
      <c r="I476" s="3">
        <v>30300</v>
      </c>
      <c r="J476" s="3">
        <v>1170500000</v>
      </c>
      <c r="K476" s="3">
        <v>4682000</v>
      </c>
      <c r="L476" s="3">
        <v>5461000</v>
      </c>
      <c r="M476" s="3">
        <v>196</v>
      </c>
      <c r="N476" s="5">
        <f t="shared" si="51"/>
        <v>15150</v>
      </c>
      <c r="O476" s="3">
        <v>1170500000</v>
      </c>
      <c r="P476" s="3">
        <v>4682000</v>
      </c>
      <c r="Q476" s="3">
        <v>5461000</v>
      </c>
      <c r="R476" s="5">
        <v>196</v>
      </c>
      <c r="T476" s="3">
        <v>1848300000</v>
      </c>
      <c r="U476" s="4"/>
      <c r="V476" s="5">
        <f t="shared" si="52"/>
        <v>15150</v>
      </c>
      <c r="W476" s="8"/>
      <c r="X476" s="9" t="str">
        <f t="shared" si="55"/>
        <v>a</v>
      </c>
      <c r="Y476" s="9" t="str">
        <f t="shared" si="55"/>
        <v>a</v>
      </c>
      <c r="Z476" s="31">
        <f t="shared" si="53"/>
        <v>2812096</v>
      </c>
      <c r="AA476" s="31">
        <f t="shared" si="54"/>
        <v>2812096</v>
      </c>
    </row>
    <row r="477" spans="1:27" ht="13">
      <c r="A477" s="9">
        <v>475</v>
      </c>
      <c r="B477" s="3" t="s">
        <v>1829</v>
      </c>
      <c r="C477" s="3"/>
      <c r="D477" s="5">
        <v>280</v>
      </c>
      <c r="E477" s="3">
        <v>500</v>
      </c>
      <c r="F477" s="3">
        <v>500</v>
      </c>
      <c r="G477" s="5">
        <v>19</v>
      </c>
      <c r="H477" s="5">
        <v>19</v>
      </c>
      <c r="I477" s="3">
        <v>35600</v>
      </c>
      <c r="J477" s="3">
        <v>1355380000</v>
      </c>
      <c r="K477" s="3">
        <v>5422000</v>
      </c>
      <c r="L477" s="3">
        <v>6368000</v>
      </c>
      <c r="M477" s="3">
        <v>195</v>
      </c>
      <c r="N477" s="5">
        <f t="shared" si="51"/>
        <v>17800</v>
      </c>
      <c r="O477" s="3">
        <v>1355380000</v>
      </c>
      <c r="P477" s="3">
        <v>5422000</v>
      </c>
      <c r="Q477" s="3">
        <v>6368000</v>
      </c>
      <c r="R477" s="5">
        <v>195</v>
      </c>
      <c r="T477" s="3">
        <v>2160810000</v>
      </c>
      <c r="U477" s="4"/>
      <c r="V477" s="5">
        <f t="shared" si="52"/>
        <v>17800</v>
      </c>
      <c r="W477" s="8"/>
      <c r="X477" s="9" t="str">
        <f t="shared" si="55"/>
        <v>a</v>
      </c>
      <c r="Y477" s="9" t="str">
        <f t="shared" si="55"/>
        <v>a</v>
      </c>
      <c r="Z477" s="31">
        <f t="shared" si="53"/>
        <v>3298609</v>
      </c>
      <c r="AA477" s="31">
        <f t="shared" si="54"/>
        <v>3298609</v>
      </c>
    </row>
    <row r="478" spans="1:27" ht="13">
      <c r="A478" s="9">
        <v>476</v>
      </c>
      <c r="B478" s="3" t="s">
        <v>1830</v>
      </c>
      <c r="C478" s="3"/>
      <c r="D478" s="5">
        <v>320</v>
      </c>
      <c r="E478" s="3">
        <v>500</v>
      </c>
      <c r="F478" s="3">
        <v>500</v>
      </c>
      <c r="G478" s="5">
        <v>22</v>
      </c>
      <c r="H478" s="5">
        <v>22</v>
      </c>
      <c r="I478" s="3">
        <v>40800</v>
      </c>
      <c r="J478" s="3">
        <v>1529930000</v>
      </c>
      <c r="K478" s="3">
        <v>6120000</v>
      </c>
      <c r="L478" s="3">
        <v>7239000</v>
      </c>
      <c r="M478" s="3">
        <v>194</v>
      </c>
      <c r="N478" s="5">
        <f t="shared" si="51"/>
        <v>20400</v>
      </c>
      <c r="O478" s="3">
        <v>1529930000</v>
      </c>
      <c r="P478" s="3">
        <v>6120000</v>
      </c>
      <c r="Q478" s="3">
        <v>7239000</v>
      </c>
      <c r="R478" s="5">
        <v>194</v>
      </c>
      <c r="T478" s="3">
        <v>2462470000</v>
      </c>
      <c r="U478" s="4"/>
      <c r="V478" s="5">
        <f t="shared" si="52"/>
        <v>20400</v>
      </c>
      <c r="W478" s="8"/>
      <c r="X478" s="9" t="str">
        <f t="shared" si="55"/>
        <v>a</v>
      </c>
      <c r="Y478" s="9" t="str">
        <f t="shared" si="55"/>
        <v>a</v>
      </c>
      <c r="Z478" s="31">
        <f t="shared" si="53"/>
        <v>3772648</v>
      </c>
      <c r="AA478" s="31">
        <f t="shared" si="54"/>
        <v>3772648</v>
      </c>
    </row>
    <row r="479" spans="1:27" ht="13">
      <c r="A479" s="9">
        <v>477</v>
      </c>
      <c r="B479" s="3" t="s">
        <v>1831</v>
      </c>
      <c r="C479" s="3"/>
      <c r="D479" s="5">
        <v>360</v>
      </c>
      <c r="E479" s="3">
        <v>500</v>
      </c>
      <c r="F479" s="3">
        <v>500</v>
      </c>
      <c r="G479" s="5">
        <v>25</v>
      </c>
      <c r="H479" s="5">
        <v>25</v>
      </c>
      <c r="I479" s="3">
        <v>45900</v>
      </c>
      <c r="J479" s="3">
        <v>1694390000</v>
      </c>
      <c r="K479" s="3">
        <v>6778000</v>
      </c>
      <c r="L479" s="3">
        <v>8074000</v>
      </c>
      <c r="M479" s="3">
        <v>192</v>
      </c>
      <c r="N479" s="5">
        <f t="shared" si="51"/>
        <v>22950</v>
      </c>
      <c r="O479" s="3">
        <v>1694390000</v>
      </c>
      <c r="P479" s="3">
        <v>6778000</v>
      </c>
      <c r="Q479" s="3">
        <v>8074000</v>
      </c>
      <c r="R479" s="5">
        <v>192</v>
      </c>
      <c r="T479" s="3">
        <v>2753230000</v>
      </c>
      <c r="U479" s="4"/>
      <c r="V479" s="5">
        <f t="shared" si="52"/>
        <v>22950</v>
      </c>
      <c r="W479" s="8"/>
      <c r="X479" s="9" t="str">
        <f t="shared" si="55"/>
        <v>a</v>
      </c>
      <c r="Y479" s="9" t="str">
        <f t="shared" si="55"/>
        <v>a</v>
      </c>
      <c r="Z479" s="31">
        <f t="shared" si="53"/>
        <v>4234375</v>
      </c>
      <c r="AA479" s="31">
        <f t="shared" si="54"/>
        <v>4234375</v>
      </c>
    </row>
    <row r="480" spans="1:27" ht="13">
      <c r="A480" s="9">
        <v>478</v>
      </c>
      <c r="B480" s="3" t="s">
        <v>1832</v>
      </c>
      <c r="C480" s="3"/>
      <c r="D480" s="5">
        <v>399</v>
      </c>
      <c r="E480" s="3">
        <v>500</v>
      </c>
      <c r="F480" s="3">
        <v>500</v>
      </c>
      <c r="G480" s="5">
        <v>28</v>
      </c>
      <c r="H480" s="5">
        <v>28</v>
      </c>
      <c r="I480" s="3">
        <v>50800</v>
      </c>
      <c r="J480" s="3">
        <v>1849000000</v>
      </c>
      <c r="K480" s="3">
        <v>7396000</v>
      </c>
      <c r="L480" s="3">
        <v>8874000</v>
      </c>
      <c r="M480" s="3">
        <v>191</v>
      </c>
      <c r="N480" s="5">
        <f t="shared" si="51"/>
        <v>25400</v>
      </c>
      <c r="O480" s="3">
        <v>1849000000</v>
      </c>
      <c r="P480" s="3">
        <v>7396000</v>
      </c>
      <c r="Q480" s="3">
        <v>8874000</v>
      </c>
      <c r="R480" s="5">
        <v>191</v>
      </c>
      <c r="T480" s="3">
        <v>3033040000</v>
      </c>
      <c r="U480" s="4"/>
      <c r="V480" s="5">
        <f t="shared" si="52"/>
        <v>25400</v>
      </c>
      <c r="W480" s="8"/>
      <c r="X480" s="9" t="str">
        <f t="shared" si="55"/>
        <v>a</v>
      </c>
      <c r="Y480" s="9" t="str">
        <f t="shared" si="55"/>
        <v>a</v>
      </c>
      <c r="Z480" s="31">
        <f t="shared" si="53"/>
        <v>4683952</v>
      </c>
      <c r="AA480" s="31">
        <f t="shared" si="54"/>
        <v>4683952</v>
      </c>
    </row>
    <row r="481" spans="1:27" ht="13">
      <c r="A481" s="9">
        <v>479</v>
      </c>
      <c r="B481" s="3" t="s">
        <v>1833</v>
      </c>
      <c r="C481" s="3"/>
      <c r="D481" s="5">
        <v>450</v>
      </c>
      <c r="E481" s="3">
        <v>500</v>
      </c>
      <c r="F481" s="3">
        <v>500</v>
      </c>
      <c r="G481" s="5">
        <v>32</v>
      </c>
      <c r="H481" s="5">
        <v>32</v>
      </c>
      <c r="I481" s="3">
        <v>57300</v>
      </c>
      <c r="J481" s="3">
        <v>2040230000</v>
      </c>
      <c r="K481" s="3">
        <v>8161000</v>
      </c>
      <c r="L481" s="3">
        <v>9886000</v>
      </c>
      <c r="M481" s="3">
        <v>189</v>
      </c>
      <c r="N481" s="5">
        <f t="shared" si="51"/>
        <v>28650</v>
      </c>
      <c r="O481" s="3">
        <v>2040230000</v>
      </c>
      <c r="P481" s="3">
        <v>8161000</v>
      </c>
      <c r="Q481" s="3">
        <v>9886000</v>
      </c>
      <c r="R481" s="5">
        <v>189</v>
      </c>
      <c r="T481" s="3">
        <v>3389010000</v>
      </c>
      <c r="U481" s="4"/>
      <c r="V481" s="5">
        <f t="shared" si="52"/>
        <v>28650</v>
      </c>
      <c r="W481" s="8"/>
      <c r="X481" s="9" t="str">
        <f t="shared" si="55"/>
        <v>a</v>
      </c>
      <c r="Y481" s="9" t="str">
        <f t="shared" si="55"/>
        <v>a</v>
      </c>
      <c r="Z481" s="31">
        <f t="shared" si="53"/>
        <v>5264768</v>
      </c>
      <c r="AA481" s="31">
        <f t="shared" si="54"/>
        <v>5264768</v>
      </c>
    </row>
    <row r="482" spans="1:27" ht="13">
      <c r="A482" s="9">
        <v>480</v>
      </c>
      <c r="B482" s="3" t="s">
        <v>1834</v>
      </c>
      <c r="C482" s="3"/>
      <c r="D482" s="5">
        <v>498</v>
      </c>
      <c r="E482" s="3">
        <v>500</v>
      </c>
      <c r="F482" s="3">
        <v>500</v>
      </c>
      <c r="G482" s="5">
        <v>36</v>
      </c>
      <c r="H482" s="5">
        <v>36</v>
      </c>
      <c r="I482" s="3">
        <v>63500</v>
      </c>
      <c r="J482" s="3">
        <v>2214910000</v>
      </c>
      <c r="K482" s="3">
        <v>8860000</v>
      </c>
      <c r="L482" s="3">
        <v>10838000</v>
      </c>
      <c r="M482" s="3">
        <v>187</v>
      </c>
      <c r="N482" s="5">
        <f t="shared" si="51"/>
        <v>31750</v>
      </c>
      <c r="O482" s="3">
        <v>2214910000</v>
      </c>
      <c r="P482" s="3">
        <v>8860000</v>
      </c>
      <c r="Q482" s="3">
        <v>10838000</v>
      </c>
      <c r="R482" s="5">
        <v>187</v>
      </c>
      <c r="T482" s="3">
        <v>3725300000</v>
      </c>
      <c r="U482" s="4"/>
      <c r="V482" s="5">
        <f t="shared" si="52"/>
        <v>31750</v>
      </c>
      <c r="W482" s="8"/>
      <c r="X482" s="9" t="str">
        <f t="shared" si="55"/>
        <v>a</v>
      </c>
      <c r="Y482" s="9" t="str">
        <f t="shared" si="55"/>
        <v>a</v>
      </c>
      <c r="Z482" s="31">
        <f t="shared" si="53"/>
        <v>5824656</v>
      </c>
      <c r="AA482" s="31">
        <f t="shared" si="54"/>
        <v>5824656</v>
      </c>
    </row>
    <row r="483" spans="1:27" ht="13">
      <c r="A483" s="9">
        <v>481</v>
      </c>
      <c r="B483" s="3" t="s">
        <v>1835</v>
      </c>
      <c r="C483" s="3"/>
      <c r="D483" s="5">
        <v>545</v>
      </c>
      <c r="E483" s="3">
        <v>500</v>
      </c>
      <c r="F483" s="3">
        <v>500</v>
      </c>
      <c r="G483" s="5">
        <v>40</v>
      </c>
      <c r="H483" s="5">
        <v>40</v>
      </c>
      <c r="I483" s="3">
        <v>69500</v>
      </c>
      <c r="J483" s="3">
        <v>2373590000</v>
      </c>
      <c r="K483" s="3">
        <v>9494000</v>
      </c>
      <c r="L483" s="3">
        <v>11729000</v>
      </c>
      <c r="M483" s="3">
        <v>185</v>
      </c>
      <c r="N483" s="5">
        <f t="shared" si="51"/>
        <v>34750</v>
      </c>
      <c r="O483" s="3">
        <v>2373590000</v>
      </c>
      <c r="P483" s="3">
        <v>9494000</v>
      </c>
      <c r="Q483" s="3">
        <v>11729000</v>
      </c>
      <c r="R483" s="5">
        <v>185</v>
      </c>
      <c r="T483" s="3">
        <v>4041800000</v>
      </c>
      <c r="U483" s="4"/>
      <c r="V483" s="5">
        <f t="shared" si="52"/>
        <v>34750</v>
      </c>
      <c r="W483" s="8"/>
      <c r="X483" s="9" t="str">
        <f t="shared" ref="X483:Y502" si="56">IF(fy=460,"a0","a")</f>
        <v>a</v>
      </c>
      <c r="Y483" s="9" t="str">
        <f t="shared" si="56"/>
        <v>a</v>
      </c>
      <c r="Z483" s="31">
        <f t="shared" si="53"/>
        <v>6364000</v>
      </c>
      <c r="AA483" s="31">
        <f t="shared" si="54"/>
        <v>6364000</v>
      </c>
    </row>
    <row r="484" spans="1:27" ht="13">
      <c r="A484" s="9">
        <v>482</v>
      </c>
      <c r="B484" s="3" t="s">
        <v>1836</v>
      </c>
      <c r="C484" s="3"/>
      <c r="D484" s="5">
        <v>602</v>
      </c>
      <c r="E484" s="3">
        <v>500</v>
      </c>
      <c r="F484" s="3">
        <v>500</v>
      </c>
      <c r="G484" s="5">
        <v>45</v>
      </c>
      <c r="H484" s="5">
        <v>45</v>
      </c>
      <c r="I484" s="3">
        <v>76700</v>
      </c>
      <c r="J484" s="3">
        <v>2550250000</v>
      </c>
      <c r="K484" s="3">
        <v>10201000</v>
      </c>
      <c r="L484" s="3">
        <v>12760000</v>
      </c>
      <c r="M484" s="3">
        <v>182</v>
      </c>
      <c r="N484" s="5">
        <f t="shared" si="51"/>
        <v>38350</v>
      </c>
      <c r="O484" s="3">
        <v>2550250000</v>
      </c>
      <c r="P484" s="3">
        <v>10201000</v>
      </c>
      <c r="Q484" s="3">
        <v>12760000</v>
      </c>
      <c r="R484" s="5">
        <v>182</v>
      </c>
      <c r="T484" s="3">
        <v>4409420000</v>
      </c>
      <c r="U484" s="4"/>
      <c r="V484" s="5">
        <f t="shared" si="52"/>
        <v>38350</v>
      </c>
      <c r="W484" s="8"/>
      <c r="X484" s="9" t="str">
        <f t="shared" si="56"/>
        <v>a</v>
      </c>
      <c r="Y484" s="9" t="str">
        <f t="shared" si="56"/>
        <v>a</v>
      </c>
      <c r="Z484" s="31">
        <f t="shared" si="53"/>
        <v>7009875</v>
      </c>
      <c r="AA484" s="31">
        <f t="shared" si="54"/>
        <v>7009875</v>
      </c>
    </row>
    <row r="485" spans="1:27" ht="13">
      <c r="A485" s="9">
        <v>483</v>
      </c>
      <c r="B485" s="3" t="s">
        <v>1837</v>
      </c>
      <c r="C485" s="3"/>
      <c r="D485" s="5">
        <v>656</v>
      </c>
      <c r="E485" s="3">
        <v>500</v>
      </c>
      <c r="F485" s="3">
        <v>500</v>
      </c>
      <c r="G485" s="5">
        <v>50</v>
      </c>
      <c r="H485" s="5">
        <v>50</v>
      </c>
      <c r="I485" s="3">
        <v>83600</v>
      </c>
      <c r="J485" s="3">
        <v>2703770000</v>
      </c>
      <c r="K485" s="3">
        <v>10815000</v>
      </c>
      <c r="L485" s="3">
        <v>13701000</v>
      </c>
      <c r="M485" s="3">
        <v>180</v>
      </c>
      <c r="N485" s="5">
        <f t="shared" si="51"/>
        <v>41800</v>
      </c>
      <c r="O485" s="3">
        <v>2703770000</v>
      </c>
      <c r="P485" s="3">
        <v>10815000</v>
      </c>
      <c r="Q485" s="3">
        <v>13701000</v>
      </c>
      <c r="R485" s="5">
        <v>180</v>
      </c>
      <c r="T485" s="3">
        <v>4745690000</v>
      </c>
      <c r="U485" s="4"/>
      <c r="V485" s="5">
        <f t="shared" si="52"/>
        <v>41800</v>
      </c>
      <c r="W485" s="8"/>
      <c r="X485" s="9" t="str">
        <f t="shared" si="56"/>
        <v>a</v>
      </c>
      <c r="Y485" s="9" t="str">
        <f t="shared" si="56"/>
        <v>a</v>
      </c>
      <c r="Z485" s="31">
        <f t="shared" si="53"/>
        <v>7625000</v>
      </c>
      <c r="AA485" s="31">
        <f t="shared" si="54"/>
        <v>7625000</v>
      </c>
    </row>
    <row r="486" spans="1:27" ht="13">
      <c r="A486" s="9">
        <v>484</v>
      </c>
      <c r="B486" s="3" t="s">
        <v>1838</v>
      </c>
      <c r="C486" s="3"/>
      <c r="D486" s="5">
        <v>162</v>
      </c>
      <c r="E486" s="3">
        <v>550</v>
      </c>
      <c r="F486" s="3">
        <v>350</v>
      </c>
      <c r="G486" s="5">
        <v>12</v>
      </c>
      <c r="H486" s="5">
        <v>12</v>
      </c>
      <c r="I486" s="3">
        <v>20700</v>
      </c>
      <c r="J486" s="3">
        <v>871420000</v>
      </c>
      <c r="K486" s="3">
        <v>3169000</v>
      </c>
      <c r="L486" s="3">
        <v>3819000</v>
      </c>
      <c r="M486" s="3">
        <v>205</v>
      </c>
      <c r="N486" s="5">
        <f t="shared" si="51"/>
        <v>12650</v>
      </c>
      <c r="O486" s="3">
        <v>435390000</v>
      </c>
      <c r="P486" s="3">
        <v>2488000</v>
      </c>
      <c r="Q486" s="3">
        <v>2804000</v>
      </c>
      <c r="R486" s="5">
        <v>145</v>
      </c>
      <c r="T486" s="3">
        <v>920390000</v>
      </c>
      <c r="U486" s="4"/>
      <c r="V486" s="5">
        <f t="shared" si="52"/>
        <v>8050</v>
      </c>
      <c r="W486" s="8"/>
      <c r="X486" s="9" t="str">
        <f t="shared" si="56"/>
        <v>a</v>
      </c>
      <c r="Y486" s="9" t="str">
        <f t="shared" si="56"/>
        <v>a</v>
      </c>
      <c r="Z486" s="31">
        <f t="shared" si="53"/>
        <v>1959828</v>
      </c>
      <c r="AA486" s="31">
        <f t="shared" si="54"/>
        <v>1434228</v>
      </c>
    </row>
    <row r="487" spans="1:27" ht="13">
      <c r="A487" s="9">
        <v>485</v>
      </c>
      <c r="B487" s="3" t="s">
        <v>1839</v>
      </c>
      <c r="C487" s="3"/>
      <c r="D487" s="5">
        <v>213</v>
      </c>
      <c r="E487" s="3">
        <v>550</v>
      </c>
      <c r="F487" s="3">
        <v>350</v>
      </c>
      <c r="G487" s="5">
        <v>16</v>
      </c>
      <c r="H487" s="5">
        <v>16</v>
      </c>
      <c r="I487" s="3">
        <v>27100</v>
      </c>
      <c r="J487" s="3">
        <v>1120560000</v>
      </c>
      <c r="K487" s="3">
        <v>4075000</v>
      </c>
      <c r="L487" s="3">
        <v>4958000</v>
      </c>
      <c r="M487" s="3">
        <v>203</v>
      </c>
      <c r="N487" s="5">
        <f t="shared" si="51"/>
        <v>16561.111111111109</v>
      </c>
      <c r="O487" s="3">
        <v>557490000</v>
      </c>
      <c r="P487" s="3">
        <v>3186000</v>
      </c>
      <c r="Q487" s="3">
        <v>3635000</v>
      </c>
      <c r="R487" s="5">
        <v>143</v>
      </c>
      <c r="T487" s="3">
        <v>1196930000</v>
      </c>
      <c r="U487" s="4"/>
      <c r="V487" s="5">
        <f t="shared" si="52"/>
        <v>10538.888888888889</v>
      </c>
      <c r="W487" s="8"/>
      <c r="X487" s="9" t="str">
        <f t="shared" si="56"/>
        <v>a</v>
      </c>
      <c r="Y487" s="9" t="str">
        <f t="shared" si="56"/>
        <v>a</v>
      </c>
      <c r="Z487" s="31">
        <f t="shared" si="53"/>
        <v>2568496</v>
      </c>
      <c r="AA487" s="31">
        <f t="shared" si="54"/>
        <v>1874096</v>
      </c>
    </row>
    <row r="488" spans="1:27" ht="13">
      <c r="A488" s="9">
        <v>486</v>
      </c>
      <c r="B488" s="3" t="s">
        <v>1840</v>
      </c>
      <c r="C488" s="3"/>
      <c r="D488" s="5">
        <v>250</v>
      </c>
      <c r="E488" s="3">
        <v>550</v>
      </c>
      <c r="F488" s="3">
        <v>350</v>
      </c>
      <c r="G488" s="5">
        <v>19</v>
      </c>
      <c r="H488" s="5">
        <v>19</v>
      </c>
      <c r="I488" s="3">
        <v>31800</v>
      </c>
      <c r="J488" s="3">
        <v>1294480000</v>
      </c>
      <c r="K488" s="3">
        <v>4707000</v>
      </c>
      <c r="L488" s="3">
        <v>5769000</v>
      </c>
      <c r="M488" s="3">
        <v>202</v>
      </c>
      <c r="N488" s="5">
        <f t="shared" si="51"/>
        <v>19433.333333333332</v>
      </c>
      <c r="O488" s="3">
        <v>641970000</v>
      </c>
      <c r="P488" s="3">
        <v>3668000</v>
      </c>
      <c r="Q488" s="3">
        <v>4224000</v>
      </c>
      <c r="R488" s="5">
        <v>142</v>
      </c>
      <c r="T488" s="3">
        <v>1394340000</v>
      </c>
      <c r="U488" s="4"/>
      <c r="V488" s="5">
        <f t="shared" si="52"/>
        <v>12366.666666666666</v>
      </c>
      <c r="W488" s="8"/>
      <c r="X488" s="9" t="str">
        <f t="shared" si="56"/>
        <v>a</v>
      </c>
      <c r="Y488" s="9" t="str">
        <f t="shared" si="56"/>
        <v>a</v>
      </c>
      <c r="Z488" s="31">
        <f t="shared" si="53"/>
        <v>3010759</v>
      </c>
      <c r="AA488" s="31">
        <f t="shared" si="54"/>
        <v>2191859</v>
      </c>
    </row>
    <row r="489" spans="1:27" ht="13">
      <c r="A489" s="9">
        <v>487</v>
      </c>
      <c r="B489" s="3" t="s">
        <v>1841</v>
      </c>
      <c r="C489" s="3"/>
      <c r="D489" s="5">
        <v>263</v>
      </c>
      <c r="E489" s="3">
        <v>550</v>
      </c>
      <c r="F489" s="3">
        <v>550</v>
      </c>
      <c r="G489" s="5">
        <v>16</v>
      </c>
      <c r="H489" s="5">
        <v>16</v>
      </c>
      <c r="I489" s="3">
        <v>33500</v>
      </c>
      <c r="J489" s="3">
        <v>1576950000</v>
      </c>
      <c r="K489" s="3">
        <v>5734000</v>
      </c>
      <c r="L489" s="3">
        <v>6666000</v>
      </c>
      <c r="M489" s="3">
        <v>217</v>
      </c>
      <c r="N489" s="5">
        <f t="shared" si="51"/>
        <v>16750</v>
      </c>
      <c r="O489" s="3">
        <v>1576950000</v>
      </c>
      <c r="P489" s="3">
        <v>5734000</v>
      </c>
      <c r="Q489" s="3">
        <v>6666000</v>
      </c>
      <c r="R489" s="5">
        <v>217</v>
      </c>
      <c r="T489" s="3">
        <v>2478550000</v>
      </c>
      <c r="U489" s="4"/>
      <c r="V489" s="5">
        <f t="shared" si="52"/>
        <v>16750</v>
      </c>
      <c r="W489" s="8"/>
      <c r="X489" s="9" t="str">
        <f t="shared" si="56"/>
        <v>a</v>
      </c>
      <c r="Y489" s="9" t="str">
        <f t="shared" si="56"/>
        <v>a</v>
      </c>
      <c r="Z489" s="31">
        <f t="shared" si="53"/>
        <v>3422896</v>
      </c>
      <c r="AA489" s="31">
        <f t="shared" si="54"/>
        <v>3422896</v>
      </c>
    </row>
    <row r="490" spans="1:27" ht="13">
      <c r="A490" s="9">
        <v>488</v>
      </c>
      <c r="B490" s="3" t="s">
        <v>1842</v>
      </c>
      <c r="C490" s="3"/>
      <c r="D490" s="5">
        <v>286</v>
      </c>
      <c r="E490" s="3">
        <v>550</v>
      </c>
      <c r="F490" s="3">
        <v>350</v>
      </c>
      <c r="G490" s="5">
        <v>22</v>
      </c>
      <c r="H490" s="5">
        <v>22</v>
      </c>
      <c r="I490" s="3">
        <v>36400</v>
      </c>
      <c r="J490" s="3">
        <v>1457580000</v>
      </c>
      <c r="K490" s="3">
        <v>5300000</v>
      </c>
      <c r="L490" s="3">
        <v>6544000</v>
      </c>
      <c r="M490" s="3">
        <v>200</v>
      </c>
      <c r="N490" s="5">
        <f t="shared" si="51"/>
        <v>22244.444444444445</v>
      </c>
      <c r="O490" s="3">
        <v>720580000</v>
      </c>
      <c r="P490" s="3">
        <v>4118000</v>
      </c>
      <c r="Q490" s="3">
        <v>4786000</v>
      </c>
      <c r="R490" s="5">
        <v>141</v>
      </c>
      <c r="T490" s="3">
        <v>1583150000</v>
      </c>
      <c r="U490" s="4"/>
      <c r="V490" s="5">
        <f t="shared" si="52"/>
        <v>14155.555555555555</v>
      </c>
      <c r="W490" s="8"/>
      <c r="X490" s="9" t="str">
        <f t="shared" si="56"/>
        <v>a</v>
      </c>
      <c r="Y490" s="9" t="str">
        <f t="shared" si="56"/>
        <v>a</v>
      </c>
      <c r="Z490" s="31">
        <f t="shared" si="53"/>
        <v>3440998</v>
      </c>
      <c r="AA490" s="31">
        <f t="shared" si="54"/>
        <v>2499398</v>
      </c>
    </row>
    <row r="491" spans="1:27" ht="13">
      <c r="A491" s="9">
        <v>489</v>
      </c>
      <c r="B491" s="3" t="s">
        <v>1843</v>
      </c>
      <c r="C491" s="3"/>
      <c r="D491" s="5">
        <v>309</v>
      </c>
      <c r="E491" s="3">
        <v>550</v>
      </c>
      <c r="F491" s="3">
        <v>550</v>
      </c>
      <c r="G491" s="5">
        <v>19</v>
      </c>
      <c r="H491" s="5">
        <v>19</v>
      </c>
      <c r="I491" s="3">
        <v>39400</v>
      </c>
      <c r="J491" s="3">
        <v>1830440000</v>
      </c>
      <c r="K491" s="3">
        <v>6656000</v>
      </c>
      <c r="L491" s="3">
        <v>7787000</v>
      </c>
      <c r="M491" s="3">
        <v>215</v>
      </c>
      <c r="N491" s="5">
        <f t="shared" si="51"/>
        <v>19700</v>
      </c>
      <c r="O491" s="3">
        <v>1830440000</v>
      </c>
      <c r="P491" s="3">
        <v>6656000</v>
      </c>
      <c r="Q491" s="3">
        <v>7787000</v>
      </c>
      <c r="R491" s="5">
        <v>215</v>
      </c>
      <c r="T491" s="3">
        <v>2902140000</v>
      </c>
      <c r="U491" s="4"/>
      <c r="V491" s="5">
        <f t="shared" si="52"/>
        <v>19700</v>
      </c>
      <c r="W491" s="8"/>
      <c r="X491" s="9" t="str">
        <f t="shared" si="56"/>
        <v>a</v>
      </c>
      <c r="Y491" s="9" t="str">
        <f t="shared" si="56"/>
        <v>a</v>
      </c>
      <c r="Z491" s="31">
        <f t="shared" si="53"/>
        <v>4019659</v>
      </c>
      <c r="AA491" s="31">
        <f t="shared" si="54"/>
        <v>4019659</v>
      </c>
    </row>
    <row r="492" spans="1:27" ht="13">
      <c r="A492" s="9">
        <v>490</v>
      </c>
      <c r="B492" s="3" t="s">
        <v>1844</v>
      </c>
      <c r="C492" s="3"/>
      <c r="D492" s="5">
        <v>321</v>
      </c>
      <c r="E492" s="3">
        <v>550</v>
      </c>
      <c r="F492" s="3">
        <v>350</v>
      </c>
      <c r="G492" s="5">
        <v>25</v>
      </c>
      <c r="H492" s="5">
        <v>25</v>
      </c>
      <c r="I492" s="3">
        <v>40900</v>
      </c>
      <c r="J492" s="3">
        <v>1610100000</v>
      </c>
      <c r="K492" s="3">
        <v>5855000</v>
      </c>
      <c r="L492" s="3">
        <v>7284000</v>
      </c>
      <c r="M492" s="3">
        <v>198</v>
      </c>
      <c r="N492" s="5">
        <f t="shared" si="51"/>
        <v>24994.444444444445</v>
      </c>
      <c r="O492" s="3">
        <v>793520000</v>
      </c>
      <c r="P492" s="3">
        <v>4534000</v>
      </c>
      <c r="Q492" s="3">
        <v>5320000</v>
      </c>
      <c r="R492" s="5">
        <v>139</v>
      </c>
      <c r="T492" s="3">
        <v>1763350000</v>
      </c>
      <c r="U492" s="4"/>
      <c r="V492" s="5">
        <f t="shared" si="52"/>
        <v>15905.555555555555</v>
      </c>
      <c r="W492" s="8"/>
      <c r="X492" s="9" t="str">
        <f t="shared" si="56"/>
        <v>a</v>
      </c>
      <c r="Y492" s="9" t="str">
        <f t="shared" si="56"/>
        <v>a</v>
      </c>
      <c r="Z492" s="31">
        <f t="shared" si="53"/>
        <v>3859375</v>
      </c>
      <c r="AA492" s="31">
        <f t="shared" si="54"/>
        <v>2796875</v>
      </c>
    </row>
    <row r="493" spans="1:27" ht="13">
      <c r="A493" s="9">
        <v>491</v>
      </c>
      <c r="B493" s="3" t="s">
        <v>1845</v>
      </c>
      <c r="C493" s="3"/>
      <c r="D493" s="5">
        <v>355</v>
      </c>
      <c r="E493" s="3">
        <v>550</v>
      </c>
      <c r="F493" s="3">
        <v>550</v>
      </c>
      <c r="G493" s="5">
        <v>22</v>
      </c>
      <c r="H493" s="5">
        <v>22</v>
      </c>
      <c r="I493" s="3">
        <v>45200</v>
      </c>
      <c r="J493" s="3">
        <v>2071260000</v>
      </c>
      <c r="K493" s="3">
        <v>7532000</v>
      </c>
      <c r="L493" s="3">
        <v>8868000</v>
      </c>
      <c r="M493" s="3">
        <v>214</v>
      </c>
      <c r="N493" s="5">
        <f t="shared" si="51"/>
        <v>22600</v>
      </c>
      <c r="O493" s="3">
        <v>2071260000</v>
      </c>
      <c r="P493" s="3">
        <v>7532000</v>
      </c>
      <c r="Q493" s="3">
        <v>8868000</v>
      </c>
      <c r="R493" s="5">
        <v>214</v>
      </c>
      <c r="T493" s="3">
        <v>3312640000</v>
      </c>
      <c r="U493" s="4"/>
      <c r="V493" s="5">
        <f t="shared" si="52"/>
        <v>22600</v>
      </c>
      <c r="W493" s="8"/>
      <c r="X493" s="9" t="str">
        <f t="shared" si="56"/>
        <v>a</v>
      </c>
      <c r="Y493" s="9" t="str">
        <f t="shared" si="56"/>
        <v>a</v>
      </c>
      <c r="Z493" s="31">
        <f t="shared" si="53"/>
        <v>4602598</v>
      </c>
      <c r="AA493" s="31">
        <f t="shared" si="54"/>
        <v>4602598</v>
      </c>
    </row>
    <row r="494" spans="1:27" ht="13">
      <c r="A494" s="9">
        <v>492</v>
      </c>
      <c r="B494" s="3" t="s">
        <v>1846</v>
      </c>
      <c r="C494" s="3"/>
      <c r="D494" s="5">
        <v>399</v>
      </c>
      <c r="E494" s="3">
        <v>550</v>
      </c>
      <c r="F494" s="3">
        <v>550</v>
      </c>
      <c r="G494" s="5">
        <v>25</v>
      </c>
      <c r="H494" s="5">
        <v>25</v>
      </c>
      <c r="I494" s="3">
        <v>50900</v>
      </c>
      <c r="J494" s="3">
        <v>2299680000</v>
      </c>
      <c r="K494" s="3">
        <v>8362000</v>
      </c>
      <c r="L494" s="3">
        <v>9909000</v>
      </c>
      <c r="M494" s="3">
        <v>213</v>
      </c>
      <c r="N494" s="5">
        <f t="shared" si="51"/>
        <v>25450</v>
      </c>
      <c r="O494" s="3">
        <v>2299680000</v>
      </c>
      <c r="P494" s="3">
        <v>8362000</v>
      </c>
      <c r="Q494" s="3">
        <v>9909000</v>
      </c>
      <c r="R494" s="5">
        <v>213</v>
      </c>
      <c r="T494" s="3">
        <v>3709980000</v>
      </c>
      <c r="U494" s="4"/>
      <c r="V494" s="5">
        <f t="shared" si="52"/>
        <v>25450</v>
      </c>
      <c r="W494" s="8"/>
      <c r="X494" s="9" t="str">
        <f t="shared" si="56"/>
        <v>a</v>
      </c>
      <c r="Y494" s="9" t="str">
        <f t="shared" si="56"/>
        <v>a</v>
      </c>
      <c r="Z494" s="31">
        <f t="shared" si="53"/>
        <v>5171875</v>
      </c>
      <c r="AA494" s="31">
        <f t="shared" si="54"/>
        <v>5171875</v>
      </c>
    </row>
    <row r="495" spans="1:27" ht="13">
      <c r="A495" s="9">
        <v>493</v>
      </c>
      <c r="B495" s="3" t="s">
        <v>1847</v>
      </c>
      <c r="C495" s="3"/>
      <c r="D495" s="5">
        <v>443</v>
      </c>
      <c r="E495" s="3">
        <v>550</v>
      </c>
      <c r="F495" s="3">
        <v>550</v>
      </c>
      <c r="G495" s="5">
        <v>28</v>
      </c>
      <c r="H495" s="5">
        <v>28</v>
      </c>
      <c r="I495" s="3">
        <v>56400</v>
      </c>
      <c r="J495" s="3">
        <v>2515970000</v>
      </c>
      <c r="K495" s="3">
        <v>9149000</v>
      </c>
      <c r="L495" s="3">
        <v>10911000</v>
      </c>
      <c r="M495" s="3">
        <v>211</v>
      </c>
      <c r="N495" s="5">
        <f t="shared" si="51"/>
        <v>28200</v>
      </c>
      <c r="O495" s="3">
        <v>2515970000</v>
      </c>
      <c r="P495" s="3">
        <v>9149000</v>
      </c>
      <c r="Q495" s="3">
        <v>10911000</v>
      </c>
      <c r="R495" s="5">
        <v>211</v>
      </c>
      <c r="T495" s="3">
        <v>4094110000</v>
      </c>
      <c r="U495" s="4"/>
      <c r="V495" s="5">
        <f t="shared" si="52"/>
        <v>28200</v>
      </c>
      <c r="W495" s="8"/>
      <c r="X495" s="9" t="str">
        <f t="shared" si="56"/>
        <v>a</v>
      </c>
      <c r="Y495" s="9" t="str">
        <f t="shared" si="56"/>
        <v>a</v>
      </c>
      <c r="Z495" s="31">
        <f t="shared" si="53"/>
        <v>5727652</v>
      </c>
      <c r="AA495" s="31">
        <f t="shared" si="54"/>
        <v>5727652</v>
      </c>
    </row>
    <row r="496" spans="1:27" ht="13">
      <c r="A496" s="9">
        <v>494</v>
      </c>
      <c r="B496" s="3" t="s">
        <v>1848</v>
      </c>
      <c r="C496" s="3"/>
      <c r="D496" s="5">
        <v>500</v>
      </c>
      <c r="E496" s="3">
        <v>550</v>
      </c>
      <c r="F496" s="3">
        <v>550</v>
      </c>
      <c r="G496" s="5">
        <v>32</v>
      </c>
      <c r="H496" s="5">
        <v>32</v>
      </c>
      <c r="I496" s="3">
        <v>63700</v>
      </c>
      <c r="J496" s="3">
        <v>2785920000</v>
      </c>
      <c r="K496" s="3">
        <v>10131000</v>
      </c>
      <c r="L496" s="3">
        <v>12187000</v>
      </c>
      <c r="M496" s="3">
        <v>209</v>
      </c>
      <c r="N496" s="5">
        <f t="shared" si="51"/>
        <v>31850</v>
      </c>
      <c r="O496" s="3">
        <v>2785920000</v>
      </c>
      <c r="P496" s="3">
        <v>10131000</v>
      </c>
      <c r="Q496" s="3">
        <v>12187000</v>
      </c>
      <c r="R496" s="5">
        <v>209</v>
      </c>
      <c r="T496" s="3">
        <v>4585660000</v>
      </c>
      <c r="U496" s="4"/>
      <c r="V496" s="5">
        <f t="shared" si="52"/>
        <v>31850</v>
      </c>
      <c r="W496" s="8"/>
      <c r="X496" s="9" t="str">
        <f t="shared" si="56"/>
        <v>a</v>
      </c>
      <c r="Y496" s="9" t="str">
        <f t="shared" si="56"/>
        <v>a</v>
      </c>
      <c r="Z496" s="31">
        <f t="shared" si="53"/>
        <v>6447968</v>
      </c>
      <c r="AA496" s="31">
        <f t="shared" si="54"/>
        <v>6447968</v>
      </c>
    </row>
    <row r="497" spans="1:27" ht="13">
      <c r="A497" s="9">
        <v>495</v>
      </c>
      <c r="B497" s="3" t="s">
        <v>1849</v>
      </c>
      <c r="C497" s="3"/>
      <c r="D497" s="5">
        <v>555</v>
      </c>
      <c r="E497" s="3">
        <v>550</v>
      </c>
      <c r="F497" s="3">
        <v>550</v>
      </c>
      <c r="G497" s="5">
        <v>36</v>
      </c>
      <c r="H497" s="5">
        <v>36</v>
      </c>
      <c r="I497" s="3">
        <v>70700</v>
      </c>
      <c r="J497" s="3">
        <v>3035370000</v>
      </c>
      <c r="K497" s="3">
        <v>11038000</v>
      </c>
      <c r="L497" s="3">
        <v>13395000</v>
      </c>
      <c r="M497" s="3">
        <v>207</v>
      </c>
      <c r="N497" s="5">
        <f t="shared" si="51"/>
        <v>35350</v>
      </c>
      <c r="O497" s="3">
        <v>3035370000</v>
      </c>
      <c r="P497" s="3">
        <v>11038000</v>
      </c>
      <c r="Q497" s="3">
        <v>13395000</v>
      </c>
      <c r="R497" s="5">
        <v>207</v>
      </c>
      <c r="T497" s="3">
        <v>5053510000</v>
      </c>
      <c r="U497" s="4"/>
      <c r="V497" s="5">
        <f t="shared" si="52"/>
        <v>35350</v>
      </c>
      <c r="W497" s="8"/>
      <c r="X497" s="9" t="str">
        <f t="shared" si="56"/>
        <v>a</v>
      </c>
      <c r="Y497" s="9" t="str">
        <f t="shared" si="56"/>
        <v>a</v>
      </c>
      <c r="Z497" s="31">
        <f t="shared" si="53"/>
        <v>7144956</v>
      </c>
      <c r="AA497" s="31">
        <f t="shared" si="54"/>
        <v>7144956</v>
      </c>
    </row>
    <row r="498" spans="1:27" ht="13">
      <c r="A498" s="9">
        <v>496</v>
      </c>
      <c r="B498" s="3" t="s">
        <v>1850</v>
      </c>
      <c r="C498" s="3"/>
      <c r="D498" s="5">
        <v>608</v>
      </c>
      <c r="E498" s="3">
        <v>550</v>
      </c>
      <c r="F498" s="3">
        <v>550</v>
      </c>
      <c r="G498" s="5">
        <v>40</v>
      </c>
      <c r="H498" s="5">
        <v>40</v>
      </c>
      <c r="I498" s="3">
        <v>77500</v>
      </c>
      <c r="J498" s="3">
        <v>3264920000</v>
      </c>
      <c r="K498" s="3">
        <v>11872000</v>
      </c>
      <c r="L498" s="3">
        <v>14536000</v>
      </c>
      <c r="M498" s="3">
        <v>205</v>
      </c>
      <c r="N498" s="5">
        <f t="shared" si="51"/>
        <v>38750</v>
      </c>
      <c r="O498" s="3">
        <v>3264920000</v>
      </c>
      <c r="P498" s="3">
        <v>11872000</v>
      </c>
      <c r="Q498" s="3">
        <v>14536000</v>
      </c>
      <c r="R498" s="5">
        <v>205</v>
      </c>
      <c r="T498" s="3">
        <v>5497540000</v>
      </c>
      <c r="U498" s="4"/>
      <c r="V498" s="5">
        <f t="shared" si="52"/>
        <v>38750</v>
      </c>
      <c r="W498" s="8"/>
      <c r="X498" s="9" t="str">
        <f t="shared" si="56"/>
        <v>a</v>
      </c>
      <c r="Y498" s="9" t="str">
        <f t="shared" si="56"/>
        <v>a</v>
      </c>
      <c r="Z498" s="31">
        <f t="shared" si="53"/>
        <v>7819000</v>
      </c>
      <c r="AA498" s="31">
        <f t="shared" si="54"/>
        <v>7819000</v>
      </c>
    </row>
    <row r="499" spans="1:27" ht="13">
      <c r="A499" s="9">
        <v>497</v>
      </c>
      <c r="B499" s="3" t="s">
        <v>1851</v>
      </c>
      <c r="C499" s="3"/>
      <c r="D499" s="5">
        <v>673</v>
      </c>
      <c r="E499" s="3">
        <v>550</v>
      </c>
      <c r="F499" s="3">
        <v>550</v>
      </c>
      <c r="G499" s="5">
        <v>45</v>
      </c>
      <c r="H499" s="5">
        <v>45</v>
      </c>
      <c r="I499" s="3">
        <v>85700</v>
      </c>
      <c r="J499" s="3">
        <v>3524780000</v>
      </c>
      <c r="K499" s="3">
        <v>12817000</v>
      </c>
      <c r="L499" s="3">
        <v>15870000</v>
      </c>
      <c r="M499" s="3">
        <v>203</v>
      </c>
      <c r="N499" s="5">
        <f t="shared" si="51"/>
        <v>42850</v>
      </c>
      <c r="O499" s="3">
        <v>3524780000</v>
      </c>
      <c r="P499" s="3">
        <v>12817000</v>
      </c>
      <c r="Q499" s="3">
        <v>15870000</v>
      </c>
      <c r="R499" s="5">
        <v>203</v>
      </c>
      <c r="T499" s="3">
        <v>6018860000</v>
      </c>
      <c r="U499" s="4"/>
      <c r="V499" s="5">
        <f t="shared" si="52"/>
        <v>42850</v>
      </c>
      <c r="W499" s="8"/>
      <c r="X499" s="9" t="str">
        <f t="shared" si="56"/>
        <v>a</v>
      </c>
      <c r="Y499" s="9" t="str">
        <f t="shared" si="56"/>
        <v>a</v>
      </c>
      <c r="Z499" s="31">
        <f t="shared" si="53"/>
        <v>8629875</v>
      </c>
      <c r="AA499" s="31">
        <f t="shared" si="54"/>
        <v>8629875</v>
      </c>
    </row>
    <row r="500" spans="1:27" ht="13">
      <c r="A500" s="9">
        <v>498</v>
      </c>
      <c r="B500" s="3" t="s">
        <v>1852</v>
      </c>
      <c r="C500" s="3"/>
      <c r="D500" s="5">
        <v>734</v>
      </c>
      <c r="E500" s="3">
        <v>550</v>
      </c>
      <c r="F500" s="3">
        <v>550</v>
      </c>
      <c r="G500" s="5">
        <v>50</v>
      </c>
      <c r="H500" s="5">
        <v>50</v>
      </c>
      <c r="I500" s="3">
        <v>93600</v>
      </c>
      <c r="J500" s="3">
        <v>3755630000</v>
      </c>
      <c r="K500" s="3">
        <v>13657000</v>
      </c>
      <c r="L500" s="3">
        <v>17103000</v>
      </c>
      <c r="M500" s="3">
        <v>200</v>
      </c>
      <c r="N500" s="5">
        <f t="shared" si="51"/>
        <v>46800</v>
      </c>
      <c r="O500" s="3">
        <v>3755630000</v>
      </c>
      <c r="P500" s="3">
        <v>13657000</v>
      </c>
      <c r="Q500" s="3">
        <v>17103000</v>
      </c>
      <c r="R500" s="5">
        <v>200</v>
      </c>
      <c r="T500" s="3">
        <v>6502490000</v>
      </c>
      <c r="U500" s="4"/>
      <c r="V500" s="5">
        <f t="shared" si="52"/>
        <v>46800</v>
      </c>
      <c r="W500" s="8"/>
      <c r="X500" s="9" t="str">
        <f t="shared" si="56"/>
        <v>a</v>
      </c>
      <c r="Y500" s="9" t="str">
        <f t="shared" si="56"/>
        <v>a</v>
      </c>
      <c r="Z500" s="31">
        <f t="shared" si="53"/>
        <v>9406250</v>
      </c>
      <c r="AA500" s="31">
        <f t="shared" si="54"/>
        <v>9406250</v>
      </c>
    </row>
    <row r="501" spans="1:27" ht="13">
      <c r="A501" s="9">
        <v>499</v>
      </c>
      <c r="B501" s="3" t="s">
        <v>1853</v>
      </c>
      <c r="C501" s="3"/>
      <c r="D501" s="5">
        <v>794</v>
      </c>
      <c r="E501" s="3">
        <v>550</v>
      </c>
      <c r="F501" s="3">
        <v>550</v>
      </c>
      <c r="G501" s="5">
        <v>55</v>
      </c>
      <c r="H501" s="5">
        <v>55</v>
      </c>
      <c r="I501" s="3">
        <v>101100</v>
      </c>
      <c r="J501" s="3">
        <v>3958600000</v>
      </c>
      <c r="K501" s="3">
        <v>14395000</v>
      </c>
      <c r="L501" s="3">
        <v>18236000</v>
      </c>
      <c r="M501" s="3">
        <v>198</v>
      </c>
      <c r="N501" s="5">
        <f t="shared" si="51"/>
        <v>50550</v>
      </c>
      <c r="O501" s="3">
        <v>3958600000</v>
      </c>
      <c r="P501" s="3">
        <v>14395000</v>
      </c>
      <c r="Q501" s="3">
        <v>18236000</v>
      </c>
      <c r="R501" s="5">
        <v>198</v>
      </c>
      <c r="T501" s="3">
        <v>6948160000</v>
      </c>
      <c r="U501" s="4"/>
      <c r="V501" s="5">
        <f t="shared" si="52"/>
        <v>50550</v>
      </c>
      <c r="W501" s="8"/>
      <c r="X501" s="9" t="str">
        <f t="shared" si="56"/>
        <v>a</v>
      </c>
      <c r="Y501" s="9" t="str">
        <f t="shared" si="56"/>
        <v>a</v>
      </c>
      <c r="Z501" s="31">
        <f t="shared" si="53"/>
        <v>10148875</v>
      </c>
      <c r="AA501" s="31">
        <f t="shared" si="54"/>
        <v>10148875</v>
      </c>
    </row>
    <row r="502" spans="1:27" ht="13">
      <c r="A502" s="9">
        <v>500</v>
      </c>
      <c r="B502" s="3" t="s">
        <v>1854</v>
      </c>
      <c r="C502" s="3"/>
      <c r="D502" s="5">
        <v>181</v>
      </c>
      <c r="E502" s="3">
        <v>600</v>
      </c>
      <c r="F502" s="3">
        <v>400</v>
      </c>
      <c r="G502" s="5">
        <v>12</v>
      </c>
      <c r="H502" s="5">
        <v>12</v>
      </c>
      <c r="I502" s="3">
        <v>23100</v>
      </c>
      <c r="J502" s="3">
        <v>1179240000</v>
      </c>
      <c r="K502" s="3">
        <v>3931000</v>
      </c>
      <c r="L502" s="3">
        <v>4703000</v>
      </c>
      <c r="M502" s="3">
        <v>226</v>
      </c>
      <c r="N502" s="5">
        <f t="shared" si="51"/>
        <v>13860</v>
      </c>
      <c r="O502" s="3">
        <v>633950000</v>
      </c>
      <c r="P502" s="3">
        <v>3170000</v>
      </c>
      <c r="Q502" s="3">
        <v>3569000</v>
      </c>
      <c r="R502" s="5">
        <v>166</v>
      </c>
      <c r="T502" s="3">
        <v>1298440000</v>
      </c>
      <c r="U502" s="4"/>
      <c r="V502" s="5">
        <f t="shared" si="52"/>
        <v>9240</v>
      </c>
      <c r="W502" s="8"/>
      <c r="X502" s="9" t="str">
        <f t="shared" si="56"/>
        <v>a</v>
      </c>
      <c r="Y502" s="9" t="str">
        <f t="shared" si="56"/>
        <v>a</v>
      </c>
      <c r="Z502" s="31">
        <f t="shared" si="53"/>
        <v>2406528</v>
      </c>
      <c r="AA502" s="31">
        <f t="shared" si="54"/>
        <v>1820928</v>
      </c>
    </row>
    <row r="503" spans="1:27" ht="13">
      <c r="A503" s="9">
        <v>501</v>
      </c>
      <c r="B503" s="3" t="s">
        <v>1855</v>
      </c>
      <c r="C503" s="3"/>
      <c r="D503" s="5">
        <v>238</v>
      </c>
      <c r="E503" s="3">
        <v>600</v>
      </c>
      <c r="F503" s="3">
        <v>400</v>
      </c>
      <c r="G503" s="5">
        <v>16</v>
      </c>
      <c r="H503" s="5">
        <v>16</v>
      </c>
      <c r="I503" s="3">
        <v>30300</v>
      </c>
      <c r="J503" s="3">
        <v>1522190000</v>
      </c>
      <c r="K503" s="3">
        <v>5074000</v>
      </c>
      <c r="L503" s="3">
        <v>6123000</v>
      </c>
      <c r="M503" s="3">
        <v>224</v>
      </c>
      <c r="N503" s="5">
        <f t="shared" si="51"/>
        <v>18180</v>
      </c>
      <c r="O503" s="3">
        <v>815530000</v>
      </c>
      <c r="P503" s="3">
        <v>4078000</v>
      </c>
      <c r="Q503" s="3">
        <v>4640000</v>
      </c>
      <c r="R503" s="5">
        <v>164</v>
      </c>
      <c r="T503" s="3">
        <v>1693760000</v>
      </c>
      <c r="U503" s="4"/>
      <c r="V503" s="5">
        <f t="shared" si="52"/>
        <v>12120</v>
      </c>
      <c r="W503" s="8"/>
      <c r="X503" s="9" t="str">
        <f t="shared" ref="X503:Y522" si="57">IF(fy=460,"a0","a")</f>
        <v>a</v>
      </c>
      <c r="Y503" s="9" t="str">
        <f t="shared" si="57"/>
        <v>a</v>
      </c>
      <c r="Z503" s="31">
        <f t="shared" si="53"/>
        <v>3159296</v>
      </c>
      <c r="AA503" s="31">
        <f t="shared" si="54"/>
        <v>2384896</v>
      </c>
    </row>
    <row r="504" spans="1:27" ht="13">
      <c r="A504" s="9">
        <v>502</v>
      </c>
      <c r="B504" s="3" t="s">
        <v>1856</v>
      </c>
      <c r="C504" s="3"/>
      <c r="D504" s="5">
        <v>280</v>
      </c>
      <c r="E504" s="3">
        <v>600</v>
      </c>
      <c r="F504" s="3">
        <v>400</v>
      </c>
      <c r="G504" s="5">
        <v>19</v>
      </c>
      <c r="H504" s="5">
        <v>19</v>
      </c>
      <c r="I504" s="3">
        <v>35600</v>
      </c>
      <c r="J504" s="3">
        <v>1763630000</v>
      </c>
      <c r="K504" s="3">
        <v>5879000</v>
      </c>
      <c r="L504" s="3">
        <v>7141000</v>
      </c>
      <c r="M504" s="3">
        <v>222</v>
      </c>
      <c r="N504" s="5">
        <f t="shared" si="51"/>
        <v>21360</v>
      </c>
      <c r="O504" s="3">
        <v>942480000</v>
      </c>
      <c r="P504" s="3">
        <v>4712000</v>
      </c>
      <c r="Q504" s="3">
        <v>5406000</v>
      </c>
      <c r="R504" s="5">
        <v>163</v>
      </c>
      <c r="T504" s="3">
        <v>1977880000</v>
      </c>
      <c r="U504" s="4"/>
      <c r="V504" s="5">
        <f t="shared" si="52"/>
        <v>14240</v>
      </c>
      <c r="W504" s="8"/>
      <c r="X504" s="9" t="str">
        <f t="shared" si="57"/>
        <v>a</v>
      </c>
      <c r="Y504" s="9" t="str">
        <f t="shared" si="57"/>
        <v>a</v>
      </c>
      <c r="Z504" s="31">
        <f t="shared" si="53"/>
        <v>3708059</v>
      </c>
      <c r="AA504" s="31">
        <f t="shared" si="54"/>
        <v>2794159</v>
      </c>
    </row>
    <row r="505" spans="1:27" ht="13">
      <c r="A505" s="9">
        <v>503</v>
      </c>
      <c r="B505" s="3" t="s">
        <v>1857</v>
      </c>
      <c r="C505" s="3"/>
      <c r="D505" s="5">
        <v>288</v>
      </c>
      <c r="E505" s="3">
        <v>600</v>
      </c>
      <c r="F505" s="3">
        <v>600</v>
      </c>
      <c r="G505" s="5">
        <v>16</v>
      </c>
      <c r="H505" s="5">
        <v>16</v>
      </c>
      <c r="I505" s="3">
        <v>36700</v>
      </c>
      <c r="J505" s="3">
        <v>2068010000</v>
      </c>
      <c r="K505" s="3">
        <v>6893000</v>
      </c>
      <c r="L505" s="3">
        <v>7992000</v>
      </c>
      <c r="M505" s="3">
        <v>237</v>
      </c>
      <c r="N505" s="5">
        <f t="shared" si="51"/>
        <v>18350</v>
      </c>
      <c r="O505" s="3">
        <v>2068010000</v>
      </c>
      <c r="P505" s="3">
        <v>6893000</v>
      </c>
      <c r="Q505" s="3">
        <v>7992000</v>
      </c>
      <c r="R505" s="5">
        <v>237</v>
      </c>
      <c r="T505" s="3">
        <v>3237780000</v>
      </c>
      <c r="U505" s="4"/>
      <c r="V505" s="5">
        <f t="shared" si="52"/>
        <v>18350</v>
      </c>
      <c r="W505" s="8"/>
      <c r="X505" s="9" t="str">
        <f t="shared" si="57"/>
        <v>a</v>
      </c>
      <c r="Y505" s="9" t="str">
        <f t="shared" si="57"/>
        <v>a</v>
      </c>
      <c r="Z505" s="31">
        <f t="shared" si="53"/>
        <v>4093696</v>
      </c>
      <c r="AA505" s="31">
        <f t="shared" si="54"/>
        <v>4093696</v>
      </c>
    </row>
    <row r="506" spans="1:27" ht="13">
      <c r="A506" s="9">
        <v>504</v>
      </c>
      <c r="B506" s="3" t="s">
        <v>1858</v>
      </c>
      <c r="C506" s="3"/>
      <c r="D506" s="5">
        <v>320</v>
      </c>
      <c r="E506" s="3">
        <v>600</v>
      </c>
      <c r="F506" s="3">
        <v>400</v>
      </c>
      <c r="G506" s="5">
        <v>22</v>
      </c>
      <c r="H506" s="5">
        <v>22</v>
      </c>
      <c r="I506" s="3">
        <v>40800</v>
      </c>
      <c r="J506" s="3">
        <v>1991850000</v>
      </c>
      <c r="K506" s="3">
        <v>6640000</v>
      </c>
      <c r="L506" s="3">
        <v>8118000</v>
      </c>
      <c r="M506" s="3">
        <v>221</v>
      </c>
      <c r="N506" s="5">
        <f t="shared" si="51"/>
        <v>24480</v>
      </c>
      <c r="O506" s="3">
        <v>1061770000</v>
      </c>
      <c r="P506" s="3">
        <v>5309000</v>
      </c>
      <c r="Q506" s="3">
        <v>6140000</v>
      </c>
      <c r="R506" s="5">
        <v>161</v>
      </c>
      <c r="T506" s="3">
        <v>2251360000</v>
      </c>
      <c r="U506" s="4"/>
      <c r="V506" s="5">
        <f t="shared" si="52"/>
        <v>16320</v>
      </c>
      <c r="W506" s="8"/>
      <c r="X506" s="9" t="str">
        <f t="shared" si="57"/>
        <v>a</v>
      </c>
      <c r="Y506" s="9" t="str">
        <f t="shared" si="57"/>
        <v>a</v>
      </c>
      <c r="Z506" s="31">
        <f t="shared" si="53"/>
        <v>4243448</v>
      </c>
      <c r="AA506" s="31">
        <f t="shared" si="54"/>
        <v>3191848</v>
      </c>
    </row>
    <row r="507" spans="1:27" ht="13">
      <c r="A507" s="9">
        <v>505</v>
      </c>
      <c r="B507" s="3" t="s">
        <v>1859</v>
      </c>
      <c r="C507" s="3"/>
      <c r="D507" s="5">
        <v>339</v>
      </c>
      <c r="E507" s="3">
        <v>600</v>
      </c>
      <c r="F507" s="3">
        <v>600</v>
      </c>
      <c r="G507" s="5">
        <v>19</v>
      </c>
      <c r="H507" s="5">
        <v>19</v>
      </c>
      <c r="I507" s="3">
        <v>43200</v>
      </c>
      <c r="J507" s="3">
        <v>2405220000</v>
      </c>
      <c r="K507" s="3">
        <v>8017000</v>
      </c>
      <c r="L507" s="3">
        <v>9348000</v>
      </c>
      <c r="M507" s="3">
        <v>236</v>
      </c>
      <c r="N507" s="5">
        <f t="shared" si="51"/>
        <v>21600</v>
      </c>
      <c r="O507" s="3">
        <v>2405220000</v>
      </c>
      <c r="P507" s="3">
        <v>8017000</v>
      </c>
      <c r="Q507" s="3">
        <v>9348000</v>
      </c>
      <c r="R507" s="5">
        <v>236</v>
      </c>
      <c r="T507" s="3">
        <v>3795970000</v>
      </c>
      <c r="U507" s="4"/>
      <c r="V507" s="5">
        <f t="shared" si="52"/>
        <v>21600</v>
      </c>
      <c r="W507" s="8"/>
      <c r="X507" s="9" t="str">
        <f t="shared" si="57"/>
        <v>a</v>
      </c>
      <c r="Y507" s="9" t="str">
        <f t="shared" si="57"/>
        <v>a</v>
      </c>
      <c r="Z507" s="31">
        <f t="shared" si="53"/>
        <v>4811959</v>
      </c>
      <c r="AA507" s="31">
        <f t="shared" si="54"/>
        <v>4811959</v>
      </c>
    </row>
    <row r="508" spans="1:27" ht="13">
      <c r="A508" s="9">
        <v>506</v>
      </c>
      <c r="B508" s="3" t="s">
        <v>1860</v>
      </c>
      <c r="C508" s="3"/>
      <c r="D508" s="5">
        <v>360</v>
      </c>
      <c r="E508" s="3">
        <v>600</v>
      </c>
      <c r="F508" s="3">
        <v>400</v>
      </c>
      <c r="G508" s="5">
        <v>25</v>
      </c>
      <c r="H508" s="5">
        <v>25</v>
      </c>
      <c r="I508" s="3">
        <v>45900</v>
      </c>
      <c r="J508" s="3">
        <v>2207130000</v>
      </c>
      <c r="K508" s="3">
        <v>7357000</v>
      </c>
      <c r="L508" s="3">
        <v>9056000</v>
      </c>
      <c r="M508" s="3">
        <v>219</v>
      </c>
      <c r="N508" s="5">
        <f t="shared" si="51"/>
        <v>27540</v>
      </c>
      <c r="O508" s="3">
        <v>1173600000</v>
      </c>
      <c r="P508" s="3">
        <v>5868000</v>
      </c>
      <c r="Q508" s="3">
        <v>6842000</v>
      </c>
      <c r="R508" s="5">
        <v>160</v>
      </c>
      <c r="T508" s="3">
        <v>2514170000</v>
      </c>
      <c r="U508" s="4"/>
      <c r="V508" s="5">
        <f t="shared" si="52"/>
        <v>18360</v>
      </c>
      <c r="W508" s="8"/>
      <c r="X508" s="9" t="str">
        <f t="shared" si="57"/>
        <v>a</v>
      </c>
      <c r="Y508" s="9" t="str">
        <f t="shared" si="57"/>
        <v>a</v>
      </c>
      <c r="Z508" s="31">
        <f t="shared" si="53"/>
        <v>4765625</v>
      </c>
      <c r="AA508" s="31">
        <f t="shared" si="54"/>
        <v>3578125</v>
      </c>
    </row>
    <row r="509" spans="1:27" ht="13">
      <c r="A509" s="9">
        <v>507</v>
      </c>
      <c r="B509" s="3" t="s">
        <v>1861</v>
      </c>
      <c r="C509" s="3"/>
      <c r="D509" s="5">
        <v>389</v>
      </c>
      <c r="E509" s="3">
        <v>600</v>
      </c>
      <c r="F509" s="3">
        <v>600</v>
      </c>
      <c r="G509" s="5">
        <v>22</v>
      </c>
      <c r="H509" s="5">
        <v>22</v>
      </c>
      <c r="I509" s="3">
        <v>49600</v>
      </c>
      <c r="J509" s="3">
        <v>2727190000</v>
      </c>
      <c r="K509" s="3">
        <v>9091000</v>
      </c>
      <c r="L509" s="3">
        <v>10661000</v>
      </c>
      <c r="M509" s="3">
        <v>234</v>
      </c>
      <c r="N509" s="5">
        <f t="shared" si="51"/>
        <v>24800</v>
      </c>
      <c r="O509" s="3">
        <v>2727190000</v>
      </c>
      <c r="P509" s="3">
        <v>9091000</v>
      </c>
      <c r="Q509" s="3">
        <v>10661000</v>
      </c>
      <c r="R509" s="5">
        <v>234</v>
      </c>
      <c r="T509" s="3">
        <v>4338600000</v>
      </c>
      <c r="U509" s="4"/>
      <c r="V509" s="5">
        <f t="shared" si="52"/>
        <v>24800</v>
      </c>
      <c r="W509" s="8"/>
      <c r="X509" s="9" t="str">
        <f t="shared" si="57"/>
        <v>a</v>
      </c>
      <c r="Y509" s="9" t="str">
        <f t="shared" si="57"/>
        <v>a</v>
      </c>
      <c r="Z509" s="31">
        <f t="shared" si="53"/>
        <v>5515048</v>
      </c>
      <c r="AA509" s="31">
        <f t="shared" si="54"/>
        <v>5515048</v>
      </c>
    </row>
    <row r="510" spans="1:27" ht="13">
      <c r="A510" s="9">
        <v>508</v>
      </c>
      <c r="B510" s="3" t="s">
        <v>1862</v>
      </c>
      <c r="C510" s="3"/>
      <c r="D510" s="5">
        <v>399</v>
      </c>
      <c r="E510" s="3">
        <v>600</v>
      </c>
      <c r="F510" s="3">
        <v>400</v>
      </c>
      <c r="G510" s="5">
        <v>28</v>
      </c>
      <c r="H510" s="5">
        <v>28</v>
      </c>
      <c r="I510" s="3">
        <v>50800</v>
      </c>
      <c r="J510" s="3">
        <v>2409730000</v>
      </c>
      <c r="K510" s="3">
        <v>8032000</v>
      </c>
      <c r="L510" s="3">
        <v>9954000</v>
      </c>
      <c r="M510" s="3">
        <v>218</v>
      </c>
      <c r="N510" s="5">
        <f t="shared" si="51"/>
        <v>30480</v>
      </c>
      <c r="O510" s="3">
        <v>1278170000</v>
      </c>
      <c r="P510" s="3">
        <v>6391000</v>
      </c>
      <c r="Q510" s="3">
        <v>7513000</v>
      </c>
      <c r="R510" s="5">
        <v>159</v>
      </c>
      <c r="T510" s="3">
        <v>2766260000</v>
      </c>
      <c r="U510" s="4"/>
      <c r="V510" s="5">
        <f t="shared" si="52"/>
        <v>20320</v>
      </c>
      <c r="W510" s="8"/>
      <c r="X510" s="9" t="str">
        <f t="shared" si="57"/>
        <v>a</v>
      </c>
      <c r="Y510" s="9" t="str">
        <f t="shared" si="57"/>
        <v>a</v>
      </c>
      <c r="Z510" s="31">
        <f t="shared" si="53"/>
        <v>5274752</v>
      </c>
      <c r="AA510" s="31">
        <f t="shared" si="54"/>
        <v>3953152</v>
      </c>
    </row>
    <row r="511" spans="1:27" ht="13">
      <c r="A511" s="9">
        <v>509</v>
      </c>
      <c r="B511" s="3" t="s">
        <v>1863</v>
      </c>
      <c r="C511" s="3"/>
      <c r="D511" s="5">
        <v>439</v>
      </c>
      <c r="E511" s="3">
        <v>600</v>
      </c>
      <c r="F511" s="3">
        <v>600</v>
      </c>
      <c r="G511" s="5">
        <v>25</v>
      </c>
      <c r="H511" s="5">
        <v>25</v>
      </c>
      <c r="I511" s="3">
        <v>55900</v>
      </c>
      <c r="J511" s="3">
        <v>3034220000</v>
      </c>
      <c r="K511" s="3">
        <v>10114000</v>
      </c>
      <c r="L511" s="3">
        <v>11931000</v>
      </c>
      <c r="M511" s="3">
        <v>233</v>
      </c>
      <c r="N511" s="5">
        <f t="shared" si="51"/>
        <v>27950</v>
      </c>
      <c r="O511" s="3">
        <v>3034220000</v>
      </c>
      <c r="P511" s="3">
        <v>10114000</v>
      </c>
      <c r="Q511" s="3">
        <v>11931000</v>
      </c>
      <c r="R511" s="5">
        <v>233</v>
      </c>
      <c r="T511" s="3">
        <v>4865610000</v>
      </c>
      <c r="U511" s="4"/>
      <c r="V511" s="5">
        <f t="shared" si="52"/>
        <v>27950</v>
      </c>
      <c r="W511" s="8"/>
      <c r="X511" s="9" t="str">
        <f t="shared" si="57"/>
        <v>a</v>
      </c>
      <c r="Y511" s="9" t="str">
        <f t="shared" si="57"/>
        <v>a</v>
      </c>
      <c r="Z511" s="31">
        <f t="shared" si="53"/>
        <v>6203125</v>
      </c>
      <c r="AA511" s="31">
        <f t="shared" si="54"/>
        <v>6203125</v>
      </c>
    </row>
    <row r="512" spans="1:27" ht="13">
      <c r="A512" s="9">
        <v>510</v>
      </c>
      <c r="B512" s="3" t="s">
        <v>1864</v>
      </c>
      <c r="C512" s="3"/>
      <c r="D512" s="5">
        <v>450</v>
      </c>
      <c r="E512" s="3">
        <v>600</v>
      </c>
      <c r="F512" s="3">
        <v>400</v>
      </c>
      <c r="G512" s="5">
        <v>32</v>
      </c>
      <c r="H512" s="5">
        <v>32</v>
      </c>
      <c r="I512" s="3">
        <v>57300</v>
      </c>
      <c r="J512" s="3">
        <v>2660590000</v>
      </c>
      <c r="K512" s="3">
        <v>8869000</v>
      </c>
      <c r="L512" s="3">
        <v>11092000</v>
      </c>
      <c r="M512" s="3">
        <v>216</v>
      </c>
      <c r="N512" s="5">
        <f t="shared" si="51"/>
        <v>34380</v>
      </c>
      <c r="O512" s="3">
        <v>1406670000</v>
      </c>
      <c r="P512" s="3">
        <v>7033000</v>
      </c>
      <c r="Q512" s="3">
        <v>8360000</v>
      </c>
      <c r="R512" s="5">
        <v>157</v>
      </c>
      <c r="T512" s="3">
        <v>3085680000</v>
      </c>
      <c r="U512" s="4"/>
      <c r="V512" s="5">
        <f t="shared" si="52"/>
        <v>22920</v>
      </c>
      <c r="W512" s="8"/>
      <c r="X512" s="9" t="str">
        <f t="shared" si="57"/>
        <v>a</v>
      </c>
      <c r="Y512" s="9" t="str">
        <f t="shared" si="57"/>
        <v>a</v>
      </c>
      <c r="Z512" s="31">
        <f t="shared" si="53"/>
        <v>5933568</v>
      </c>
      <c r="AA512" s="31">
        <f t="shared" si="54"/>
        <v>4435968</v>
      </c>
    </row>
    <row r="513" spans="1:27" ht="13">
      <c r="A513" s="9">
        <v>511</v>
      </c>
      <c r="B513" s="3" t="s">
        <v>1865</v>
      </c>
      <c r="C513" s="3"/>
      <c r="D513" s="5">
        <v>487</v>
      </c>
      <c r="E513" s="3">
        <v>600</v>
      </c>
      <c r="F513" s="3">
        <v>600</v>
      </c>
      <c r="G513" s="5">
        <v>28</v>
      </c>
      <c r="H513" s="5">
        <v>28</v>
      </c>
      <c r="I513" s="3">
        <v>62000</v>
      </c>
      <c r="J513" s="3">
        <v>3326580000</v>
      </c>
      <c r="K513" s="3">
        <v>11089000</v>
      </c>
      <c r="L513" s="3">
        <v>13158000</v>
      </c>
      <c r="M513" s="3">
        <v>232</v>
      </c>
      <c r="N513" s="5">
        <f t="shared" si="51"/>
        <v>31000</v>
      </c>
      <c r="O513" s="3">
        <v>3326580000</v>
      </c>
      <c r="P513" s="3">
        <v>11089000</v>
      </c>
      <c r="Q513" s="3">
        <v>13158000</v>
      </c>
      <c r="R513" s="5">
        <v>232</v>
      </c>
      <c r="T513" s="3">
        <v>5376940000</v>
      </c>
      <c r="U513" s="4"/>
      <c r="V513" s="5">
        <f t="shared" si="52"/>
        <v>31000</v>
      </c>
      <c r="W513" s="8"/>
      <c r="X513" s="9" t="str">
        <f t="shared" si="57"/>
        <v>a</v>
      </c>
      <c r="Y513" s="9" t="str">
        <f t="shared" si="57"/>
        <v>a</v>
      </c>
      <c r="Z513" s="31">
        <f t="shared" si="53"/>
        <v>6876352</v>
      </c>
      <c r="AA513" s="31">
        <f t="shared" si="54"/>
        <v>6876352</v>
      </c>
    </row>
    <row r="514" spans="1:27" ht="13">
      <c r="A514" s="9">
        <v>512</v>
      </c>
      <c r="B514" s="3" t="s">
        <v>1866</v>
      </c>
      <c r="C514" s="3"/>
      <c r="D514" s="5">
        <v>498</v>
      </c>
      <c r="E514" s="3">
        <v>600</v>
      </c>
      <c r="F514" s="3">
        <v>400</v>
      </c>
      <c r="G514" s="5">
        <v>36</v>
      </c>
      <c r="H514" s="5">
        <v>36</v>
      </c>
      <c r="I514" s="3">
        <v>63500</v>
      </c>
      <c r="J514" s="3">
        <v>2890000000</v>
      </c>
      <c r="K514" s="3">
        <v>9633000</v>
      </c>
      <c r="L514" s="3">
        <v>12161000</v>
      </c>
      <c r="M514" s="3">
        <v>213</v>
      </c>
      <c r="N514" s="5">
        <f t="shared" si="51"/>
        <v>38100</v>
      </c>
      <c r="O514" s="3">
        <v>1523120000</v>
      </c>
      <c r="P514" s="3">
        <v>7616000</v>
      </c>
      <c r="Q514" s="3">
        <v>9154000</v>
      </c>
      <c r="R514" s="5">
        <v>155</v>
      </c>
      <c r="T514" s="3">
        <v>3385910000</v>
      </c>
      <c r="U514" s="4"/>
      <c r="V514" s="5">
        <f t="shared" si="52"/>
        <v>25400</v>
      </c>
      <c r="W514" s="8"/>
      <c r="X514" s="9" t="str">
        <f t="shared" si="57"/>
        <v>a</v>
      </c>
      <c r="Y514" s="9" t="str">
        <f t="shared" si="57"/>
        <v>a</v>
      </c>
      <c r="Z514" s="31">
        <f t="shared" si="53"/>
        <v>6569856</v>
      </c>
      <c r="AA514" s="31">
        <f t="shared" si="54"/>
        <v>4899456</v>
      </c>
    </row>
    <row r="515" spans="1:27" ht="13">
      <c r="A515" s="9">
        <v>513</v>
      </c>
      <c r="B515" s="3" t="s">
        <v>1867</v>
      </c>
      <c r="C515" s="3"/>
      <c r="D515" s="5">
        <v>545</v>
      </c>
      <c r="E515" s="3">
        <v>600</v>
      </c>
      <c r="F515" s="3">
        <v>400</v>
      </c>
      <c r="G515" s="5">
        <v>40</v>
      </c>
      <c r="H515" s="5">
        <v>40</v>
      </c>
      <c r="I515" s="3">
        <v>69500</v>
      </c>
      <c r="J515" s="3">
        <v>3098570000</v>
      </c>
      <c r="K515" s="3">
        <v>10329000</v>
      </c>
      <c r="L515" s="3">
        <v>13163000</v>
      </c>
      <c r="M515" s="3">
        <v>211</v>
      </c>
      <c r="N515" s="5">
        <f t="shared" ref="N515:N578" si="58">I515*E515/(F515+E515)</f>
        <v>41700</v>
      </c>
      <c r="O515" s="3">
        <v>1628000000</v>
      </c>
      <c r="P515" s="3">
        <v>8140000</v>
      </c>
      <c r="Q515" s="3">
        <v>9895000</v>
      </c>
      <c r="R515" s="5">
        <v>153</v>
      </c>
      <c r="T515" s="3">
        <v>3666880000</v>
      </c>
      <c r="U515" s="4"/>
      <c r="V515" s="5">
        <f t="shared" ref="V515:V578" si="59">I515*F515/(E515+F515)</f>
        <v>27800</v>
      </c>
      <c r="W515" s="8"/>
      <c r="X515" s="9" t="str">
        <f t="shared" si="57"/>
        <v>a</v>
      </c>
      <c r="Y515" s="9" t="str">
        <f t="shared" si="57"/>
        <v>a</v>
      </c>
      <c r="Z515" s="31">
        <f t="shared" ref="Z515:Z578" si="60">(H515*(0.5*E515-G515)^2)+(F515*G515)*(0.5*E515-0.5*G515)</f>
        <v>7184000</v>
      </c>
      <c r="AA515" s="31">
        <f t="shared" ref="AA515:AA578" si="61">(H515*(0.5*F515-G515)^2)+(E515*G515)*(0.5*F515-0.5*G515)</f>
        <v>5344000</v>
      </c>
    </row>
    <row r="516" spans="1:27" ht="13">
      <c r="A516" s="9">
        <v>514</v>
      </c>
      <c r="B516" s="3" t="s">
        <v>1868</v>
      </c>
      <c r="C516" s="3"/>
      <c r="D516" s="5">
        <v>550</v>
      </c>
      <c r="E516" s="3">
        <v>600</v>
      </c>
      <c r="F516" s="3">
        <v>600</v>
      </c>
      <c r="G516" s="5">
        <v>32</v>
      </c>
      <c r="H516" s="5">
        <v>32</v>
      </c>
      <c r="I516" s="3">
        <v>70100</v>
      </c>
      <c r="J516" s="3">
        <v>3694080000</v>
      </c>
      <c r="K516" s="3">
        <v>12314000</v>
      </c>
      <c r="L516" s="3">
        <v>14727000</v>
      </c>
      <c r="M516" s="3">
        <v>230</v>
      </c>
      <c r="N516" s="5">
        <f t="shared" si="58"/>
        <v>35050</v>
      </c>
      <c r="O516" s="3">
        <v>3694080000</v>
      </c>
      <c r="P516" s="3">
        <v>12314000</v>
      </c>
      <c r="Q516" s="3">
        <v>14727000</v>
      </c>
      <c r="R516" s="5">
        <v>230</v>
      </c>
      <c r="T516" s="3">
        <v>6034250000</v>
      </c>
      <c r="U516" s="4"/>
      <c r="V516" s="5">
        <f t="shared" si="59"/>
        <v>35050</v>
      </c>
      <c r="W516" s="8"/>
      <c r="X516" s="9" t="str">
        <f t="shared" si="57"/>
        <v>a</v>
      </c>
      <c r="Y516" s="9" t="str">
        <f t="shared" si="57"/>
        <v>a</v>
      </c>
      <c r="Z516" s="31">
        <f t="shared" si="60"/>
        <v>7751168</v>
      </c>
      <c r="AA516" s="31">
        <f t="shared" si="61"/>
        <v>7751168</v>
      </c>
    </row>
    <row r="517" spans="1:27" ht="13">
      <c r="A517" s="9">
        <v>515</v>
      </c>
      <c r="B517" s="3" t="s">
        <v>1869</v>
      </c>
      <c r="C517" s="3"/>
      <c r="D517" s="5">
        <v>611</v>
      </c>
      <c r="E517" s="3">
        <v>600</v>
      </c>
      <c r="F517" s="3">
        <v>600</v>
      </c>
      <c r="G517" s="5">
        <v>36</v>
      </c>
      <c r="H517" s="5">
        <v>36</v>
      </c>
      <c r="I517" s="3">
        <v>77900</v>
      </c>
      <c r="J517" s="3">
        <v>4036710000</v>
      </c>
      <c r="K517" s="3">
        <v>13456000</v>
      </c>
      <c r="L517" s="3">
        <v>16222000</v>
      </c>
      <c r="M517" s="3">
        <v>228</v>
      </c>
      <c r="N517" s="5">
        <f t="shared" si="58"/>
        <v>38950</v>
      </c>
      <c r="O517" s="3">
        <v>4036710000</v>
      </c>
      <c r="P517" s="3">
        <v>13456000</v>
      </c>
      <c r="Q517" s="3">
        <v>16222000</v>
      </c>
      <c r="R517" s="5">
        <v>228</v>
      </c>
      <c r="T517" s="3">
        <v>6663459999.999999</v>
      </c>
      <c r="U517" s="4"/>
      <c r="V517" s="5">
        <f t="shared" si="59"/>
        <v>38950</v>
      </c>
      <c r="W517" s="8"/>
      <c r="X517" s="9" t="str">
        <f t="shared" si="57"/>
        <v>a</v>
      </c>
      <c r="Y517" s="9" t="str">
        <f t="shared" si="57"/>
        <v>a</v>
      </c>
      <c r="Z517" s="31">
        <f t="shared" si="60"/>
        <v>8600256</v>
      </c>
      <c r="AA517" s="31">
        <f t="shared" si="61"/>
        <v>8600256</v>
      </c>
    </row>
    <row r="518" spans="1:27" ht="13">
      <c r="A518" s="9">
        <v>516</v>
      </c>
      <c r="B518" s="3" t="s">
        <v>1870</v>
      </c>
      <c r="C518" s="3"/>
      <c r="D518" s="5">
        <v>671</v>
      </c>
      <c r="E518" s="3">
        <v>600</v>
      </c>
      <c r="F518" s="3">
        <v>600</v>
      </c>
      <c r="G518" s="5">
        <v>40</v>
      </c>
      <c r="H518" s="5">
        <v>40</v>
      </c>
      <c r="I518" s="3">
        <v>85500</v>
      </c>
      <c r="J518" s="3">
        <v>4355110000</v>
      </c>
      <c r="K518" s="3">
        <v>14517000</v>
      </c>
      <c r="L518" s="3">
        <v>17643000</v>
      </c>
      <c r="M518" s="3">
        <v>226</v>
      </c>
      <c r="N518" s="5">
        <f t="shared" si="58"/>
        <v>42750</v>
      </c>
      <c r="O518" s="3">
        <v>4355110000</v>
      </c>
      <c r="P518" s="3">
        <v>14517000</v>
      </c>
      <c r="Q518" s="3">
        <v>17643000</v>
      </c>
      <c r="R518" s="5">
        <v>226</v>
      </c>
      <c r="T518" s="3">
        <v>7264430000</v>
      </c>
      <c r="U518" s="4"/>
      <c r="V518" s="5">
        <f t="shared" si="59"/>
        <v>42750</v>
      </c>
      <c r="W518" s="8"/>
      <c r="X518" s="9" t="str">
        <f t="shared" si="57"/>
        <v>a</v>
      </c>
      <c r="Y518" s="9" t="str">
        <f t="shared" si="57"/>
        <v>a</v>
      </c>
      <c r="Z518" s="31">
        <f t="shared" si="60"/>
        <v>9424000</v>
      </c>
      <c r="AA518" s="31">
        <f t="shared" si="61"/>
        <v>9424000</v>
      </c>
    </row>
    <row r="519" spans="1:27" ht="13">
      <c r="A519" s="9">
        <v>517</v>
      </c>
      <c r="B519" s="3" t="s">
        <v>1871</v>
      </c>
      <c r="C519" s="3"/>
      <c r="D519" s="5">
        <v>743</v>
      </c>
      <c r="E519" s="3">
        <v>600</v>
      </c>
      <c r="F519" s="3">
        <v>600</v>
      </c>
      <c r="G519" s="5">
        <v>45</v>
      </c>
      <c r="H519" s="5">
        <v>45</v>
      </c>
      <c r="I519" s="3">
        <v>94700</v>
      </c>
      <c r="J519" s="3">
        <v>4720050000</v>
      </c>
      <c r="K519" s="3">
        <v>15734000</v>
      </c>
      <c r="L519" s="3">
        <v>19317000</v>
      </c>
      <c r="M519" s="3">
        <v>223</v>
      </c>
      <c r="N519" s="5">
        <f t="shared" si="58"/>
        <v>47350</v>
      </c>
      <c r="O519" s="3">
        <v>4720050000</v>
      </c>
      <c r="P519" s="3">
        <v>15734000</v>
      </c>
      <c r="Q519" s="3">
        <v>19317000</v>
      </c>
      <c r="R519" s="5">
        <v>223</v>
      </c>
      <c r="T519" s="3">
        <v>7975720000</v>
      </c>
      <c r="U519" s="4"/>
      <c r="V519" s="5">
        <f t="shared" si="59"/>
        <v>47350</v>
      </c>
      <c r="W519" s="8"/>
      <c r="X519" s="9" t="str">
        <f t="shared" si="57"/>
        <v>a</v>
      </c>
      <c r="Y519" s="9" t="str">
        <f t="shared" si="57"/>
        <v>a</v>
      </c>
      <c r="Z519" s="31">
        <f t="shared" si="60"/>
        <v>10418625</v>
      </c>
      <c r="AA519" s="31">
        <f t="shared" si="61"/>
        <v>10418625</v>
      </c>
    </row>
    <row r="520" spans="1:27" ht="13">
      <c r="A520" s="9">
        <v>518</v>
      </c>
      <c r="B520" s="3" t="s">
        <v>1872</v>
      </c>
      <c r="C520" s="3"/>
      <c r="D520" s="5">
        <v>813</v>
      </c>
      <c r="E520" s="3">
        <v>600</v>
      </c>
      <c r="F520" s="3">
        <v>600</v>
      </c>
      <c r="G520" s="5">
        <v>50</v>
      </c>
      <c r="H520" s="5">
        <v>50</v>
      </c>
      <c r="I520" s="3">
        <v>103600</v>
      </c>
      <c r="J520" s="3">
        <v>5049440000</v>
      </c>
      <c r="K520" s="3">
        <v>16831000</v>
      </c>
      <c r="L520" s="3">
        <v>20879000</v>
      </c>
      <c r="M520" s="3">
        <v>221</v>
      </c>
      <c r="N520" s="5">
        <f t="shared" si="58"/>
        <v>51800</v>
      </c>
      <c r="O520" s="3">
        <v>5049440000</v>
      </c>
      <c r="P520" s="3">
        <v>16831000</v>
      </c>
      <c r="Q520" s="3">
        <v>20879000</v>
      </c>
      <c r="R520" s="5">
        <v>221</v>
      </c>
      <c r="T520" s="3">
        <v>8642370000</v>
      </c>
      <c r="U520" s="4"/>
      <c r="V520" s="5">
        <f t="shared" si="59"/>
        <v>51800</v>
      </c>
      <c r="W520" s="8"/>
      <c r="X520" s="9" t="str">
        <f t="shared" si="57"/>
        <v>a</v>
      </c>
      <c r="Y520" s="9" t="str">
        <f t="shared" si="57"/>
        <v>a</v>
      </c>
      <c r="Z520" s="31">
        <f t="shared" si="60"/>
        <v>11375000</v>
      </c>
      <c r="AA520" s="31">
        <f t="shared" si="61"/>
        <v>11375000</v>
      </c>
    </row>
    <row r="521" spans="1:27" ht="13">
      <c r="A521" s="9">
        <v>519</v>
      </c>
      <c r="B521" s="3" t="s">
        <v>1873</v>
      </c>
      <c r="C521" s="3"/>
      <c r="D521" s="5">
        <v>880</v>
      </c>
      <c r="E521" s="3">
        <v>600</v>
      </c>
      <c r="F521" s="3">
        <v>600</v>
      </c>
      <c r="G521" s="5">
        <v>55</v>
      </c>
      <c r="H521" s="5">
        <v>55</v>
      </c>
      <c r="I521" s="3">
        <v>112100</v>
      </c>
      <c r="J521" s="3">
        <v>5344530000</v>
      </c>
      <c r="K521" s="3">
        <v>17815000</v>
      </c>
      <c r="L521" s="3">
        <v>22331000</v>
      </c>
      <c r="M521" s="3">
        <v>218</v>
      </c>
      <c r="N521" s="5">
        <f t="shared" si="58"/>
        <v>56050</v>
      </c>
      <c r="O521" s="3">
        <v>5344530000</v>
      </c>
      <c r="P521" s="3">
        <v>17815000</v>
      </c>
      <c r="Q521" s="3">
        <v>22331000</v>
      </c>
      <c r="R521" s="5">
        <v>218</v>
      </c>
      <c r="T521" s="3">
        <v>9264109999.9999981</v>
      </c>
      <c r="U521" s="4"/>
      <c r="V521" s="5">
        <f t="shared" si="59"/>
        <v>56050</v>
      </c>
      <c r="W521" s="8"/>
      <c r="X521" s="9" t="str">
        <f t="shared" si="57"/>
        <v>a</v>
      </c>
      <c r="Y521" s="9" t="str">
        <f t="shared" si="57"/>
        <v>a</v>
      </c>
      <c r="Z521" s="31">
        <f t="shared" si="60"/>
        <v>12293875</v>
      </c>
      <c r="AA521" s="31">
        <f t="shared" si="61"/>
        <v>12293875</v>
      </c>
    </row>
    <row r="522" spans="1:27" ht="13">
      <c r="A522" s="9">
        <v>520</v>
      </c>
      <c r="B522" s="3" t="s">
        <v>1874</v>
      </c>
      <c r="C522" s="3"/>
      <c r="D522" s="5">
        <v>945</v>
      </c>
      <c r="E522" s="3">
        <v>600</v>
      </c>
      <c r="F522" s="3">
        <v>600</v>
      </c>
      <c r="G522" s="5">
        <v>60</v>
      </c>
      <c r="H522" s="5">
        <v>60</v>
      </c>
      <c r="I522" s="3">
        <v>120300</v>
      </c>
      <c r="J522" s="3">
        <v>5606550000</v>
      </c>
      <c r="K522" s="3">
        <v>18688000</v>
      </c>
      <c r="L522" s="3">
        <v>23675000</v>
      </c>
      <c r="M522" s="3">
        <v>216</v>
      </c>
      <c r="N522" s="5">
        <f t="shared" si="58"/>
        <v>60150</v>
      </c>
      <c r="O522" s="3">
        <v>5606550000</v>
      </c>
      <c r="P522" s="3">
        <v>18688000</v>
      </c>
      <c r="Q522" s="3">
        <v>23675000</v>
      </c>
      <c r="R522" s="5">
        <v>216</v>
      </c>
      <c r="T522" s="3">
        <v>9840660000</v>
      </c>
      <c r="U522" s="4"/>
      <c r="V522" s="5">
        <f t="shared" si="59"/>
        <v>60150</v>
      </c>
      <c r="W522" s="8"/>
      <c r="X522" s="9" t="str">
        <f t="shared" si="57"/>
        <v>a</v>
      </c>
      <c r="Y522" s="9" t="str">
        <f t="shared" si="57"/>
        <v>a</v>
      </c>
      <c r="Z522" s="31">
        <f t="shared" si="60"/>
        <v>13176000</v>
      </c>
      <c r="AA522" s="31">
        <f t="shared" si="61"/>
        <v>13176000</v>
      </c>
    </row>
    <row r="523" spans="1:27" ht="13">
      <c r="A523" s="9">
        <v>521</v>
      </c>
      <c r="B523" s="3" t="s">
        <v>1875</v>
      </c>
      <c r="C523" s="3"/>
      <c r="D523" s="5">
        <v>200</v>
      </c>
      <c r="E523" s="3">
        <v>650</v>
      </c>
      <c r="F523" s="3">
        <v>450</v>
      </c>
      <c r="G523" s="5">
        <v>12</v>
      </c>
      <c r="H523" s="5">
        <v>12</v>
      </c>
      <c r="I523" s="3">
        <v>25500</v>
      </c>
      <c r="J523" s="3">
        <v>1551150000</v>
      </c>
      <c r="K523" s="3">
        <v>4773000</v>
      </c>
      <c r="L523" s="3">
        <v>5677000</v>
      </c>
      <c r="M523" s="3">
        <v>247</v>
      </c>
      <c r="N523" s="5">
        <f t="shared" si="58"/>
        <v>15068.181818181818</v>
      </c>
      <c r="O523" s="3">
        <v>884600000</v>
      </c>
      <c r="P523" s="3">
        <v>3932000</v>
      </c>
      <c r="Q523" s="3">
        <v>4423000</v>
      </c>
      <c r="R523" s="5">
        <v>186</v>
      </c>
      <c r="T523" s="3">
        <v>1764840000</v>
      </c>
      <c r="U523" s="4"/>
      <c r="V523" s="5">
        <f t="shared" si="59"/>
        <v>10431.818181818182</v>
      </c>
      <c r="W523" s="8"/>
      <c r="X523" s="9" t="str">
        <f t="shared" ref="X523:Y542" si="62">IF(fy=460,"a0","a")</f>
        <v>a</v>
      </c>
      <c r="Y523" s="9" t="str">
        <f t="shared" si="62"/>
        <v>a</v>
      </c>
      <c r="Z523" s="31">
        <f t="shared" si="60"/>
        <v>2898228</v>
      </c>
      <c r="AA523" s="31">
        <f t="shared" si="61"/>
        <v>2252628</v>
      </c>
    </row>
    <row r="524" spans="1:27" ht="13">
      <c r="A524" s="9">
        <v>522</v>
      </c>
      <c r="B524" s="3" t="s">
        <v>1876</v>
      </c>
      <c r="C524" s="3"/>
      <c r="D524" s="5">
        <v>263</v>
      </c>
      <c r="E524" s="3">
        <v>650</v>
      </c>
      <c r="F524" s="3">
        <v>450</v>
      </c>
      <c r="G524" s="5">
        <v>16</v>
      </c>
      <c r="H524" s="5">
        <v>16</v>
      </c>
      <c r="I524" s="3">
        <v>33500</v>
      </c>
      <c r="J524" s="3">
        <v>2008420000</v>
      </c>
      <c r="K524" s="3">
        <v>6180000</v>
      </c>
      <c r="L524" s="3">
        <v>7408000</v>
      </c>
      <c r="M524" s="3">
        <v>245</v>
      </c>
      <c r="N524" s="5">
        <f t="shared" si="58"/>
        <v>19795.454545454544</v>
      </c>
      <c r="O524" s="3">
        <v>1142180000</v>
      </c>
      <c r="P524" s="3">
        <v>5076000</v>
      </c>
      <c r="Q524" s="3">
        <v>5765000</v>
      </c>
      <c r="R524" s="5">
        <v>185</v>
      </c>
      <c r="T524" s="3">
        <v>2307660000</v>
      </c>
      <c r="U524" s="4"/>
      <c r="V524" s="5">
        <f t="shared" si="59"/>
        <v>13704.545454545454</v>
      </c>
      <c r="W524" s="8"/>
      <c r="X524" s="9" t="str">
        <f t="shared" si="62"/>
        <v>a</v>
      </c>
      <c r="Y524" s="9" t="str">
        <f t="shared" si="62"/>
        <v>a</v>
      </c>
      <c r="Z524" s="31">
        <f t="shared" si="60"/>
        <v>3810096</v>
      </c>
      <c r="AA524" s="31">
        <f t="shared" si="61"/>
        <v>2955696</v>
      </c>
    </row>
    <row r="525" spans="1:27" ht="13">
      <c r="A525" s="9">
        <v>523</v>
      </c>
      <c r="B525" s="3" t="s">
        <v>1877</v>
      </c>
      <c r="C525" s="3"/>
      <c r="D525" s="5">
        <v>309</v>
      </c>
      <c r="E525" s="3">
        <v>650</v>
      </c>
      <c r="F525" s="3">
        <v>450</v>
      </c>
      <c r="G525" s="5">
        <v>19</v>
      </c>
      <c r="H525" s="5">
        <v>19</v>
      </c>
      <c r="I525" s="3">
        <v>39400</v>
      </c>
      <c r="J525" s="3">
        <v>2332500000</v>
      </c>
      <c r="K525" s="3">
        <v>7177000</v>
      </c>
      <c r="L525" s="3">
        <v>8654000</v>
      </c>
      <c r="M525" s="3">
        <v>243</v>
      </c>
      <c r="N525" s="5">
        <f t="shared" si="58"/>
        <v>23281.81818181818</v>
      </c>
      <c r="O525" s="3">
        <v>1323730000</v>
      </c>
      <c r="P525" s="3">
        <v>5883000</v>
      </c>
      <c r="Q525" s="3">
        <v>6730000</v>
      </c>
      <c r="R525" s="5">
        <v>183</v>
      </c>
      <c r="T525" s="3">
        <v>2699780000</v>
      </c>
      <c r="U525" s="4"/>
      <c r="V525" s="5">
        <f t="shared" si="59"/>
        <v>16118.181818181818</v>
      </c>
      <c r="W525" s="8"/>
      <c r="X525" s="9" t="str">
        <f t="shared" si="62"/>
        <v>a</v>
      </c>
      <c r="Y525" s="9" t="str">
        <f t="shared" si="62"/>
        <v>a</v>
      </c>
      <c r="Z525" s="31">
        <f t="shared" si="60"/>
        <v>4476609</v>
      </c>
      <c r="AA525" s="31">
        <f t="shared" si="61"/>
        <v>3467709</v>
      </c>
    </row>
    <row r="526" spans="1:27" ht="13">
      <c r="A526" s="9">
        <v>524</v>
      </c>
      <c r="B526" s="3" t="s">
        <v>1878</v>
      </c>
      <c r="C526" s="3"/>
      <c r="D526" s="5">
        <v>313</v>
      </c>
      <c r="E526" s="3">
        <v>650</v>
      </c>
      <c r="F526" s="3">
        <v>650</v>
      </c>
      <c r="G526" s="5">
        <v>16</v>
      </c>
      <c r="H526" s="5">
        <v>16</v>
      </c>
      <c r="I526" s="3">
        <v>39900</v>
      </c>
      <c r="J526" s="3">
        <v>2651690000</v>
      </c>
      <c r="K526" s="3">
        <v>8159000</v>
      </c>
      <c r="L526" s="3">
        <v>9437000</v>
      </c>
      <c r="M526" s="3">
        <v>258</v>
      </c>
      <c r="N526" s="5">
        <f t="shared" si="58"/>
        <v>19950</v>
      </c>
      <c r="O526" s="3">
        <v>2651690000</v>
      </c>
      <c r="P526" s="3">
        <v>8159000</v>
      </c>
      <c r="Q526" s="3">
        <v>9437000</v>
      </c>
      <c r="R526" s="5">
        <v>258</v>
      </c>
      <c r="T526" s="3">
        <v>4138000000</v>
      </c>
      <c r="U526" s="4"/>
      <c r="V526" s="5">
        <f t="shared" si="59"/>
        <v>19950</v>
      </c>
      <c r="W526" s="8"/>
      <c r="X526" s="9" t="str">
        <f t="shared" si="62"/>
        <v>a</v>
      </c>
      <c r="Y526" s="9" t="str">
        <f t="shared" si="62"/>
        <v>a</v>
      </c>
      <c r="Z526" s="31">
        <f t="shared" si="60"/>
        <v>4824496</v>
      </c>
      <c r="AA526" s="31">
        <f t="shared" si="61"/>
        <v>4824496</v>
      </c>
    </row>
    <row r="527" spans="1:27" ht="13">
      <c r="A527" s="9">
        <v>525</v>
      </c>
      <c r="B527" s="3" t="s">
        <v>1879</v>
      </c>
      <c r="C527" s="3"/>
      <c r="D527" s="5">
        <v>355</v>
      </c>
      <c r="E527" s="3">
        <v>650</v>
      </c>
      <c r="F527" s="3">
        <v>450</v>
      </c>
      <c r="G527" s="5">
        <v>22</v>
      </c>
      <c r="H527" s="5">
        <v>22</v>
      </c>
      <c r="I527" s="3">
        <v>45200</v>
      </c>
      <c r="J527" s="3">
        <v>2640730000</v>
      </c>
      <c r="K527" s="3">
        <v>8125000</v>
      </c>
      <c r="L527" s="3">
        <v>9857000</v>
      </c>
      <c r="M527" s="3">
        <v>242</v>
      </c>
      <c r="N527" s="5">
        <f t="shared" si="58"/>
        <v>26709.090909090908</v>
      </c>
      <c r="O527" s="3">
        <v>1495560000</v>
      </c>
      <c r="P527" s="3">
        <v>6647000</v>
      </c>
      <c r="Q527" s="3">
        <v>7658000</v>
      </c>
      <c r="R527" s="5">
        <v>182</v>
      </c>
      <c r="T527" s="3">
        <v>3078990000</v>
      </c>
      <c r="U527" s="4"/>
      <c r="V527" s="5">
        <f t="shared" si="59"/>
        <v>18490.909090909092</v>
      </c>
      <c r="W527" s="8"/>
      <c r="X527" s="9" t="str">
        <f t="shared" si="62"/>
        <v>a</v>
      </c>
      <c r="Y527" s="9" t="str">
        <f t="shared" si="62"/>
        <v>a</v>
      </c>
      <c r="Z527" s="31">
        <f t="shared" si="60"/>
        <v>5128398</v>
      </c>
      <c r="AA527" s="31">
        <f t="shared" si="61"/>
        <v>3966798</v>
      </c>
    </row>
    <row r="528" spans="1:27" ht="13">
      <c r="A528" s="9">
        <v>526</v>
      </c>
      <c r="B528" s="3" t="s">
        <v>1880</v>
      </c>
      <c r="C528" s="3"/>
      <c r="D528" s="5">
        <v>369</v>
      </c>
      <c r="E528" s="3">
        <v>650</v>
      </c>
      <c r="F528" s="3">
        <v>650</v>
      </c>
      <c r="G528" s="5">
        <v>19</v>
      </c>
      <c r="H528" s="5">
        <v>19</v>
      </c>
      <c r="I528" s="3">
        <v>47000</v>
      </c>
      <c r="J528" s="3">
        <v>3089230000</v>
      </c>
      <c r="K528" s="3">
        <v>9505000</v>
      </c>
      <c r="L528" s="3">
        <v>11052000</v>
      </c>
      <c r="M528" s="3">
        <v>256</v>
      </c>
      <c r="N528" s="5">
        <f t="shared" si="58"/>
        <v>23500</v>
      </c>
      <c r="O528" s="3">
        <v>3089230000</v>
      </c>
      <c r="P528" s="3">
        <v>9505000</v>
      </c>
      <c r="Q528" s="3">
        <v>11052000</v>
      </c>
      <c r="R528" s="5">
        <v>256</v>
      </c>
      <c r="T528" s="3">
        <v>4856540000</v>
      </c>
      <c r="U528" s="4"/>
      <c r="V528" s="5">
        <f t="shared" si="59"/>
        <v>23500</v>
      </c>
      <c r="W528" s="8"/>
      <c r="X528" s="9" t="str">
        <f t="shared" si="62"/>
        <v>a</v>
      </c>
      <c r="Y528" s="9" t="str">
        <f t="shared" si="62"/>
        <v>a</v>
      </c>
      <c r="Z528" s="31">
        <f t="shared" si="60"/>
        <v>5675509</v>
      </c>
      <c r="AA528" s="31">
        <f t="shared" si="61"/>
        <v>5675509</v>
      </c>
    </row>
    <row r="529" spans="1:27" ht="13">
      <c r="A529" s="9">
        <v>527</v>
      </c>
      <c r="B529" s="3" t="s">
        <v>1881</v>
      </c>
      <c r="C529" s="3"/>
      <c r="D529" s="5">
        <v>399</v>
      </c>
      <c r="E529" s="3">
        <v>650</v>
      </c>
      <c r="F529" s="3">
        <v>450</v>
      </c>
      <c r="G529" s="5">
        <v>25</v>
      </c>
      <c r="H529" s="5">
        <v>25</v>
      </c>
      <c r="I529" s="3">
        <v>50900</v>
      </c>
      <c r="J529" s="3">
        <v>2933400000</v>
      </c>
      <c r="K529" s="3">
        <v>9026000</v>
      </c>
      <c r="L529" s="3">
        <v>11016000</v>
      </c>
      <c r="M529" s="3">
        <v>240</v>
      </c>
      <c r="N529" s="5">
        <f t="shared" si="58"/>
        <v>30077.272727272728</v>
      </c>
      <c r="O529" s="3">
        <v>1657910000</v>
      </c>
      <c r="P529" s="3">
        <v>7369000</v>
      </c>
      <c r="Q529" s="3">
        <v>8552000</v>
      </c>
      <c r="R529" s="5">
        <v>180</v>
      </c>
      <c r="T529" s="3">
        <v>3445270000</v>
      </c>
      <c r="U529" s="4"/>
      <c r="V529" s="5">
        <f t="shared" si="59"/>
        <v>20822.727272727272</v>
      </c>
      <c r="W529" s="8"/>
      <c r="X529" s="9" t="str">
        <f t="shared" si="62"/>
        <v>a</v>
      </c>
      <c r="Y529" s="9" t="str">
        <f t="shared" si="62"/>
        <v>a</v>
      </c>
      <c r="Z529" s="31">
        <f t="shared" si="60"/>
        <v>5765625</v>
      </c>
      <c r="AA529" s="31">
        <f t="shared" si="61"/>
        <v>4453125</v>
      </c>
    </row>
    <row r="530" spans="1:27" ht="13">
      <c r="A530" s="9">
        <v>528</v>
      </c>
      <c r="B530" s="3" t="s">
        <v>1882</v>
      </c>
      <c r="C530" s="3"/>
      <c r="D530" s="5">
        <v>424</v>
      </c>
      <c r="E530" s="3">
        <v>650</v>
      </c>
      <c r="F530" s="3">
        <v>650</v>
      </c>
      <c r="G530" s="5">
        <v>22</v>
      </c>
      <c r="H530" s="5">
        <v>22</v>
      </c>
      <c r="I530" s="3">
        <v>54000</v>
      </c>
      <c r="J530" s="3">
        <v>3508730000</v>
      </c>
      <c r="K530" s="3">
        <v>10796000</v>
      </c>
      <c r="L530" s="3">
        <v>12620000</v>
      </c>
      <c r="M530" s="3">
        <v>255</v>
      </c>
      <c r="N530" s="5">
        <f t="shared" si="58"/>
        <v>27000</v>
      </c>
      <c r="O530" s="3">
        <v>3508730000</v>
      </c>
      <c r="P530" s="3">
        <v>10796000</v>
      </c>
      <c r="Q530" s="3">
        <v>12620000</v>
      </c>
      <c r="R530" s="5">
        <v>255</v>
      </c>
      <c r="T530" s="3">
        <v>5556860000</v>
      </c>
      <c r="U530" s="4"/>
      <c r="V530" s="5">
        <f t="shared" si="59"/>
        <v>27000</v>
      </c>
      <c r="W530" s="8"/>
      <c r="X530" s="9" t="str">
        <f t="shared" si="62"/>
        <v>a</v>
      </c>
      <c r="Y530" s="9" t="str">
        <f t="shared" si="62"/>
        <v>a</v>
      </c>
      <c r="Z530" s="31">
        <f t="shared" si="60"/>
        <v>6509998</v>
      </c>
      <c r="AA530" s="31">
        <f t="shared" si="61"/>
        <v>6509998</v>
      </c>
    </row>
    <row r="531" spans="1:27" ht="13">
      <c r="A531" s="9">
        <v>529</v>
      </c>
      <c r="B531" s="3" t="s">
        <v>1883</v>
      </c>
      <c r="C531" s="3"/>
      <c r="D531" s="5">
        <v>443</v>
      </c>
      <c r="E531" s="3">
        <v>650</v>
      </c>
      <c r="F531" s="3">
        <v>450</v>
      </c>
      <c r="G531" s="5">
        <v>28</v>
      </c>
      <c r="H531" s="5">
        <v>28</v>
      </c>
      <c r="I531" s="3">
        <v>56400</v>
      </c>
      <c r="J531" s="3">
        <v>3210820000</v>
      </c>
      <c r="K531" s="3">
        <v>9879000</v>
      </c>
      <c r="L531" s="3">
        <v>12131000</v>
      </c>
      <c r="M531" s="3">
        <v>239</v>
      </c>
      <c r="N531" s="5">
        <f t="shared" si="58"/>
        <v>33327.272727272728</v>
      </c>
      <c r="O531" s="3">
        <v>1811030000</v>
      </c>
      <c r="P531" s="3">
        <v>8049000</v>
      </c>
      <c r="Q531" s="3">
        <v>9410000</v>
      </c>
      <c r="R531" s="5">
        <v>179</v>
      </c>
      <c r="T531" s="3">
        <v>3798570000</v>
      </c>
      <c r="U531" s="4"/>
      <c r="V531" s="5">
        <f t="shared" si="59"/>
        <v>23072.727272727272</v>
      </c>
      <c r="W531" s="8"/>
      <c r="X531" s="9" t="str">
        <f t="shared" si="62"/>
        <v>a</v>
      </c>
      <c r="Y531" s="9" t="str">
        <f t="shared" si="62"/>
        <v>a</v>
      </c>
      <c r="Z531" s="31">
        <f t="shared" si="60"/>
        <v>6388452</v>
      </c>
      <c r="AA531" s="31">
        <f t="shared" si="61"/>
        <v>4926852</v>
      </c>
    </row>
    <row r="532" spans="1:27" ht="13">
      <c r="A532" s="9">
        <v>530</v>
      </c>
      <c r="B532" s="3" t="s">
        <v>1884</v>
      </c>
      <c r="C532" s="3"/>
      <c r="D532" s="5">
        <v>478</v>
      </c>
      <c r="E532" s="3">
        <v>650</v>
      </c>
      <c r="F532" s="3">
        <v>650</v>
      </c>
      <c r="G532" s="5">
        <v>25</v>
      </c>
      <c r="H532" s="5">
        <v>25</v>
      </c>
      <c r="I532" s="3">
        <v>60900</v>
      </c>
      <c r="J532" s="3">
        <v>3910490000</v>
      </c>
      <c r="K532" s="3">
        <v>12032000</v>
      </c>
      <c r="L532" s="3">
        <v>14141000</v>
      </c>
      <c r="M532" s="3">
        <v>253</v>
      </c>
      <c r="N532" s="5">
        <f t="shared" si="58"/>
        <v>30450</v>
      </c>
      <c r="O532" s="3">
        <v>3910490000</v>
      </c>
      <c r="P532" s="3">
        <v>12032000</v>
      </c>
      <c r="Q532" s="3">
        <v>14141000</v>
      </c>
      <c r="R532" s="5">
        <v>253</v>
      </c>
      <c r="T532" s="3">
        <v>6238870000</v>
      </c>
      <c r="U532" s="4"/>
      <c r="V532" s="5">
        <f t="shared" si="59"/>
        <v>30450</v>
      </c>
      <c r="W532" s="8"/>
      <c r="X532" s="9" t="str">
        <f t="shared" si="62"/>
        <v>a</v>
      </c>
      <c r="Y532" s="9" t="str">
        <f t="shared" si="62"/>
        <v>a</v>
      </c>
      <c r="Z532" s="31">
        <f t="shared" si="60"/>
        <v>7328125</v>
      </c>
      <c r="AA532" s="31">
        <f t="shared" si="61"/>
        <v>7328125</v>
      </c>
    </row>
    <row r="533" spans="1:27" ht="13">
      <c r="A533" s="9">
        <v>531</v>
      </c>
      <c r="B533" s="3" t="s">
        <v>1885</v>
      </c>
      <c r="C533" s="3"/>
      <c r="D533" s="5">
        <v>500</v>
      </c>
      <c r="E533" s="3">
        <v>650</v>
      </c>
      <c r="F533" s="3">
        <v>450</v>
      </c>
      <c r="G533" s="5">
        <v>32</v>
      </c>
      <c r="H533" s="5">
        <v>32</v>
      </c>
      <c r="I533" s="3">
        <v>63700</v>
      </c>
      <c r="J533" s="3">
        <v>3557460000</v>
      </c>
      <c r="K533" s="3">
        <v>10946000</v>
      </c>
      <c r="L533" s="3">
        <v>13552000</v>
      </c>
      <c r="M533" s="3">
        <v>236</v>
      </c>
      <c r="N533" s="5">
        <f t="shared" si="58"/>
        <v>37640.909090909088</v>
      </c>
      <c r="O533" s="3">
        <v>2001200000</v>
      </c>
      <c r="P533" s="3">
        <v>8894000</v>
      </c>
      <c r="Q533" s="3">
        <v>10501000</v>
      </c>
      <c r="R533" s="5">
        <v>177</v>
      </c>
      <c r="T533" s="3">
        <v>4249390000</v>
      </c>
      <c r="U533" s="4"/>
      <c r="V533" s="5">
        <f t="shared" si="59"/>
        <v>26059.090909090908</v>
      </c>
      <c r="W533" s="8"/>
      <c r="X533" s="9" t="str">
        <f t="shared" si="62"/>
        <v>a</v>
      </c>
      <c r="Y533" s="9" t="str">
        <f t="shared" si="62"/>
        <v>a</v>
      </c>
      <c r="Z533" s="31">
        <f t="shared" si="60"/>
        <v>7196768</v>
      </c>
      <c r="AA533" s="31">
        <f t="shared" si="61"/>
        <v>5539168</v>
      </c>
    </row>
    <row r="534" spans="1:27" ht="13">
      <c r="A534" s="9">
        <v>532</v>
      </c>
      <c r="B534" s="3" t="s">
        <v>1886</v>
      </c>
      <c r="C534" s="3"/>
      <c r="D534" s="5">
        <v>531</v>
      </c>
      <c r="E534" s="3">
        <v>650</v>
      </c>
      <c r="F534" s="3">
        <v>650</v>
      </c>
      <c r="G534" s="5">
        <v>28</v>
      </c>
      <c r="H534" s="5">
        <v>28</v>
      </c>
      <c r="I534" s="3">
        <v>67600</v>
      </c>
      <c r="J534" s="3">
        <v>4294820000</v>
      </c>
      <c r="K534" s="3">
        <v>13215000</v>
      </c>
      <c r="L534" s="3">
        <v>15615000</v>
      </c>
      <c r="M534" s="3">
        <v>252</v>
      </c>
      <c r="N534" s="5">
        <f t="shared" si="58"/>
        <v>33800</v>
      </c>
      <c r="O534" s="3">
        <v>4294820000</v>
      </c>
      <c r="P534" s="3">
        <v>13215000</v>
      </c>
      <c r="Q534" s="3">
        <v>15615000</v>
      </c>
      <c r="R534" s="5">
        <v>252</v>
      </c>
      <c r="T534" s="3">
        <v>6902540000</v>
      </c>
      <c r="U534" s="4"/>
      <c r="V534" s="5">
        <f t="shared" si="59"/>
        <v>33800</v>
      </c>
      <c r="W534" s="8"/>
      <c r="X534" s="9" t="str">
        <f t="shared" si="62"/>
        <v>a</v>
      </c>
      <c r="Y534" s="9" t="str">
        <f t="shared" si="62"/>
        <v>a</v>
      </c>
      <c r="Z534" s="31">
        <f t="shared" si="60"/>
        <v>8130052</v>
      </c>
      <c r="AA534" s="31">
        <f t="shared" si="61"/>
        <v>8130052</v>
      </c>
    </row>
    <row r="535" spans="1:27" ht="13">
      <c r="A535" s="9">
        <v>533</v>
      </c>
      <c r="B535" s="3" t="s">
        <v>1887</v>
      </c>
      <c r="C535" s="3"/>
      <c r="D535" s="5">
        <v>555</v>
      </c>
      <c r="E535" s="3">
        <v>650</v>
      </c>
      <c r="F535" s="3">
        <v>450</v>
      </c>
      <c r="G535" s="5">
        <v>36</v>
      </c>
      <c r="H535" s="5">
        <v>36</v>
      </c>
      <c r="I535" s="3">
        <v>70700</v>
      </c>
      <c r="J535" s="3">
        <v>3878170000</v>
      </c>
      <c r="K535" s="3">
        <v>11933000</v>
      </c>
      <c r="L535" s="3">
        <v>14898000</v>
      </c>
      <c r="M535" s="3">
        <v>234</v>
      </c>
      <c r="N535" s="5">
        <f t="shared" si="58"/>
        <v>41777.272727272728</v>
      </c>
      <c r="O535" s="3">
        <v>2175890000</v>
      </c>
      <c r="P535" s="3">
        <v>9671000</v>
      </c>
      <c r="Q535" s="3">
        <v>11531000</v>
      </c>
      <c r="R535" s="5">
        <v>175</v>
      </c>
      <c r="T535" s="3">
        <v>4676960000</v>
      </c>
      <c r="U535" s="4"/>
      <c r="V535" s="5">
        <f t="shared" si="59"/>
        <v>28922.727272727272</v>
      </c>
      <c r="W535" s="8"/>
      <c r="X535" s="9" t="str">
        <f t="shared" si="62"/>
        <v>a</v>
      </c>
      <c r="Y535" s="9" t="str">
        <f t="shared" si="62"/>
        <v>a</v>
      </c>
      <c r="Z535" s="31">
        <f t="shared" si="60"/>
        <v>7980156</v>
      </c>
      <c r="AA535" s="31">
        <f t="shared" si="61"/>
        <v>6129756</v>
      </c>
    </row>
    <row r="536" spans="1:27" ht="13">
      <c r="A536" s="9">
        <v>534</v>
      </c>
      <c r="B536" s="3" t="s">
        <v>1888</v>
      </c>
      <c r="C536" s="3"/>
      <c r="D536" s="5">
        <v>600</v>
      </c>
      <c r="E536" s="3">
        <v>650</v>
      </c>
      <c r="F536" s="3">
        <v>650</v>
      </c>
      <c r="G536" s="5">
        <v>32</v>
      </c>
      <c r="H536" s="5">
        <v>32</v>
      </c>
      <c r="I536" s="3">
        <v>76500</v>
      </c>
      <c r="J536" s="3">
        <v>4780710000</v>
      </c>
      <c r="K536" s="3">
        <v>14710000</v>
      </c>
      <c r="L536" s="3">
        <v>17508000</v>
      </c>
      <c r="M536" s="3">
        <v>250</v>
      </c>
      <c r="N536" s="5">
        <f t="shared" si="58"/>
        <v>38250</v>
      </c>
      <c r="O536" s="3">
        <v>4780710000</v>
      </c>
      <c r="P536" s="3">
        <v>14710000</v>
      </c>
      <c r="Q536" s="3">
        <v>17508000</v>
      </c>
      <c r="R536" s="5">
        <v>250</v>
      </c>
      <c r="T536" s="3">
        <v>7758790000</v>
      </c>
      <c r="U536" s="4"/>
      <c r="V536" s="5">
        <f t="shared" si="59"/>
        <v>38250</v>
      </c>
      <c r="W536" s="8"/>
      <c r="X536" s="9" t="str">
        <f t="shared" si="62"/>
        <v>a</v>
      </c>
      <c r="Y536" s="9" t="str">
        <f t="shared" si="62"/>
        <v>a</v>
      </c>
      <c r="Z536" s="31">
        <f t="shared" si="60"/>
        <v>9174368</v>
      </c>
      <c r="AA536" s="31">
        <f t="shared" si="61"/>
        <v>9174368</v>
      </c>
    </row>
    <row r="537" spans="1:27" ht="13">
      <c r="A537" s="9">
        <v>535</v>
      </c>
      <c r="B537" s="3" t="s">
        <v>1889</v>
      </c>
      <c r="C537" s="3"/>
      <c r="D537" s="5">
        <v>608</v>
      </c>
      <c r="E537" s="3">
        <v>650</v>
      </c>
      <c r="F537" s="3">
        <v>450</v>
      </c>
      <c r="G537" s="5">
        <v>40</v>
      </c>
      <c r="H537" s="5">
        <v>40</v>
      </c>
      <c r="I537" s="3">
        <v>77500</v>
      </c>
      <c r="J537" s="3">
        <v>4173610000</v>
      </c>
      <c r="K537" s="3">
        <v>12842000</v>
      </c>
      <c r="L537" s="3">
        <v>16170000</v>
      </c>
      <c r="M537" s="3">
        <v>232</v>
      </c>
      <c r="N537" s="5">
        <f t="shared" si="58"/>
        <v>45795.454545454544</v>
      </c>
      <c r="O537" s="3">
        <v>2335640000</v>
      </c>
      <c r="P537" s="3">
        <v>10381000</v>
      </c>
      <c r="Q537" s="3">
        <v>12502000</v>
      </c>
      <c r="R537" s="5">
        <v>174</v>
      </c>
      <c r="T537" s="3">
        <v>5081210000</v>
      </c>
      <c r="U537" s="4"/>
      <c r="V537" s="5">
        <f t="shared" si="59"/>
        <v>31704.545454545456</v>
      </c>
      <c r="W537" s="8"/>
      <c r="X537" s="9" t="str">
        <f t="shared" si="62"/>
        <v>a</v>
      </c>
      <c r="Y537" s="9" t="str">
        <f t="shared" si="62"/>
        <v>a</v>
      </c>
      <c r="Z537" s="31">
        <f t="shared" si="60"/>
        <v>8739000</v>
      </c>
      <c r="AA537" s="31">
        <f t="shared" si="61"/>
        <v>6699000</v>
      </c>
    </row>
    <row r="538" spans="1:27" ht="13">
      <c r="A538" s="9">
        <v>536</v>
      </c>
      <c r="B538" s="3" t="s">
        <v>1890</v>
      </c>
      <c r="C538" s="3"/>
      <c r="D538" s="5">
        <v>668</v>
      </c>
      <c r="E538" s="3">
        <v>650</v>
      </c>
      <c r="F538" s="3">
        <v>650</v>
      </c>
      <c r="G538" s="5">
        <v>36</v>
      </c>
      <c r="H538" s="5">
        <v>36</v>
      </c>
      <c r="I538" s="3">
        <v>85100</v>
      </c>
      <c r="J538" s="3">
        <v>5236910000</v>
      </c>
      <c r="K538" s="3">
        <v>16114000</v>
      </c>
      <c r="L538" s="3">
        <v>19319000</v>
      </c>
      <c r="M538" s="3">
        <v>248</v>
      </c>
      <c r="N538" s="5">
        <f t="shared" si="58"/>
        <v>42550</v>
      </c>
      <c r="O538" s="3">
        <v>5236910000</v>
      </c>
      <c r="P538" s="3">
        <v>16114000</v>
      </c>
      <c r="Q538" s="3">
        <v>19319000</v>
      </c>
      <c r="R538" s="5">
        <v>248</v>
      </c>
      <c r="T538" s="3">
        <v>8582150000</v>
      </c>
      <c r="U538" s="4"/>
      <c r="V538" s="5">
        <f t="shared" si="59"/>
        <v>42550</v>
      </c>
      <c r="W538" s="8"/>
      <c r="X538" s="9" t="str">
        <f t="shared" si="62"/>
        <v>a</v>
      </c>
      <c r="Y538" s="9" t="str">
        <f t="shared" si="62"/>
        <v>a</v>
      </c>
      <c r="Z538" s="31">
        <f t="shared" si="60"/>
        <v>10190556</v>
      </c>
      <c r="AA538" s="31">
        <f t="shared" si="61"/>
        <v>10190556</v>
      </c>
    </row>
    <row r="539" spans="1:27" ht="13">
      <c r="A539" s="9">
        <v>537</v>
      </c>
      <c r="B539" s="3" t="s">
        <v>1891</v>
      </c>
      <c r="C539" s="3"/>
      <c r="D539" s="5">
        <v>673</v>
      </c>
      <c r="E539" s="3">
        <v>650</v>
      </c>
      <c r="F539" s="3">
        <v>450</v>
      </c>
      <c r="G539" s="5">
        <v>45</v>
      </c>
      <c r="H539" s="5">
        <v>45</v>
      </c>
      <c r="I539" s="3">
        <v>85700</v>
      </c>
      <c r="J539" s="3">
        <v>4508400000</v>
      </c>
      <c r="K539" s="3">
        <v>13872000</v>
      </c>
      <c r="L539" s="3">
        <v>17657000</v>
      </c>
      <c r="M539" s="3">
        <v>229</v>
      </c>
      <c r="N539" s="5">
        <f t="shared" si="58"/>
        <v>50640.909090909088</v>
      </c>
      <c r="O539" s="3">
        <v>2515100000</v>
      </c>
      <c r="P539" s="3">
        <v>11178000</v>
      </c>
      <c r="Q539" s="3">
        <v>13633000</v>
      </c>
      <c r="R539" s="5">
        <v>171</v>
      </c>
      <c r="T539" s="3">
        <v>5553550000</v>
      </c>
      <c r="U539" s="4"/>
      <c r="V539" s="5">
        <f t="shared" si="59"/>
        <v>35059.090909090912</v>
      </c>
      <c r="W539" s="8"/>
      <c r="X539" s="9" t="str">
        <f t="shared" si="62"/>
        <v>a</v>
      </c>
      <c r="Y539" s="9" t="str">
        <f t="shared" si="62"/>
        <v>a</v>
      </c>
      <c r="Z539" s="31">
        <f t="shared" si="60"/>
        <v>9653625</v>
      </c>
      <c r="AA539" s="31">
        <f t="shared" si="61"/>
        <v>7381125</v>
      </c>
    </row>
    <row r="540" spans="1:27" ht="13">
      <c r="A540" s="9">
        <v>538</v>
      </c>
      <c r="B540" s="3" t="s">
        <v>1892</v>
      </c>
      <c r="C540" s="3"/>
      <c r="D540" s="5">
        <v>734</v>
      </c>
      <c r="E540" s="3">
        <v>650</v>
      </c>
      <c r="F540" s="3">
        <v>650</v>
      </c>
      <c r="G540" s="5">
        <v>40</v>
      </c>
      <c r="H540" s="5">
        <v>40</v>
      </c>
      <c r="I540" s="3">
        <v>93500</v>
      </c>
      <c r="J540" s="3">
        <v>5664140000</v>
      </c>
      <c r="K540" s="3">
        <v>17428000</v>
      </c>
      <c r="L540" s="3">
        <v>21050000</v>
      </c>
      <c r="M540" s="3">
        <v>246</v>
      </c>
      <c r="N540" s="5">
        <f t="shared" si="58"/>
        <v>46750</v>
      </c>
      <c r="O540" s="3">
        <v>5664140000</v>
      </c>
      <c r="P540" s="3">
        <v>17428000</v>
      </c>
      <c r="Q540" s="3">
        <v>21050000</v>
      </c>
      <c r="R540" s="5">
        <v>246</v>
      </c>
      <c r="T540" s="3">
        <v>9372489999.9999981</v>
      </c>
      <c r="U540" s="4"/>
      <c r="V540" s="5">
        <f t="shared" si="59"/>
        <v>46750</v>
      </c>
      <c r="W540" s="8"/>
      <c r="X540" s="9" t="str">
        <f t="shared" si="62"/>
        <v>a</v>
      </c>
      <c r="Y540" s="9" t="str">
        <f t="shared" si="62"/>
        <v>a</v>
      </c>
      <c r="Z540" s="31">
        <f t="shared" si="60"/>
        <v>11179000</v>
      </c>
      <c r="AA540" s="31">
        <f t="shared" si="61"/>
        <v>11179000</v>
      </c>
    </row>
    <row r="541" spans="1:27" ht="13">
      <c r="A541" s="9">
        <v>539</v>
      </c>
      <c r="B541" s="3" t="s">
        <v>1893</v>
      </c>
      <c r="C541" s="3"/>
      <c r="D541" s="5">
        <v>814</v>
      </c>
      <c r="E541" s="3">
        <v>650</v>
      </c>
      <c r="F541" s="3">
        <v>650</v>
      </c>
      <c r="G541" s="5">
        <v>45</v>
      </c>
      <c r="H541" s="5">
        <v>45</v>
      </c>
      <c r="I541" s="3">
        <v>103700</v>
      </c>
      <c r="J541" s="3">
        <v>6158550000</v>
      </c>
      <c r="K541" s="3">
        <v>18949000</v>
      </c>
      <c r="L541" s="3">
        <v>23102000</v>
      </c>
      <c r="M541" s="3">
        <v>244</v>
      </c>
      <c r="N541" s="5">
        <f t="shared" si="58"/>
        <v>51850</v>
      </c>
      <c r="O541" s="3">
        <v>6158550000</v>
      </c>
      <c r="P541" s="3">
        <v>18949000</v>
      </c>
      <c r="Q541" s="3">
        <v>23102000</v>
      </c>
      <c r="R541" s="5">
        <v>244</v>
      </c>
      <c r="T541" s="3">
        <v>10313730000</v>
      </c>
      <c r="U541" s="4"/>
      <c r="V541" s="5">
        <f t="shared" si="59"/>
        <v>51850</v>
      </c>
      <c r="W541" s="8"/>
      <c r="X541" s="9" t="str">
        <f t="shared" si="62"/>
        <v>a</v>
      </c>
      <c r="Y541" s="9" t="str">
        <f t="shared" si="62"/>
        <v>a</v>
      </c>
      <c r="Z541" s="31">
        <f t="shared" si="60"/>
        <v>12376125</v>
      </c>
      <c r="AA541" s="31">
        <f t="shared" si="61"/>
        <v>12376125</v>
      </c>
    </row>
    <row r="542" spans="1:27" ht="13">
      <c r="A542" s="9">
        <v>540</v>
      </c>
      <c r="B542" s="3" t="s">
        <v>1894</v>
      </c>
      <c r="C542" s="3"/>
      <c r="D542" s="5">
        <v>891</v>
      </c>
      <c r="E542" s="3">
        <v>650</v>
      </c>
      <c r="F542" s="3">
        <v>650</v>
      </c>
      <c r="G542" s="5">
        <v>50</v>
      </c>
      <c r="H542" s="5">
        <v>50</v>
      </c>
      <c r="I542" s="3">
        <v>113600</v>
      </c>
      <c r="J542" s="3">
        <v>6610200000</v>
      </c>
      <c r="K542" s="3">
        <v>20339000</v>
      </c>
      <c r="L542" s="3">
        <v>25031000</v>
      </c>
      <c r="M542" s="3">
        <v>241</v>
      </c>
      <c r="N542" s="5">
        <f t="shared" si="58"/>
        <v>56800</v>
      </c>
      <c r="O542" s="3">
        <v>6610200000</v>
      </c>
      <c r="P542" s="3">
        <v>20339000</v>
      </c>
      <c r="Q542" s="3">
        <v>25031000</v>
      </c>
      <c r="R542" s="5">
        <v>241</v>
      </c>
      <c r="T542" s="3">
        <v>11202820000</v>
      </c>
      <c r="U542" s="4"/>
      <c r="V542" s="5">
        <f t="shared" si="59"/>
        <v>56800</v>
      </c>
      <c r="W542" s="8"/>
      <c r="X542" s="9" t="str">
        <f t="shared" si="62"/>
        <v>a</v>
      </c>
      <c r="Y542" s="9" t="str">
        <f t="shared" si="62"/>
        <v>a</v>
      </c>
      <c r="Z542" s="31">
        <f t="shared" si="60"/>
        <v>13531250</v>
      </c>
      <c r="AA542" s="31">
        <f t="shared" si="61"/>
        <v>13531250</v>
      </c>
    </row>
    <row r="543" spans="1:27" ht="13">
      <c r="A543" s="9">
        <v>541</v>
      </c>
      <c r="B543" s="3" t="s">
        <v>1895</v>
      </c>
      <c r="C543" s="3"/>
      <c r="D543" s="5">
        <v>966</v>
      </c>
      <c r="E543" s="3">
        <v>650</v>
      </c>
      <c r="F543" s="3">
        <v>650</v>
      </c>
      <c r="G543" s="5">
        <v>55</v>
      </c>
      <c r="H543" s="5">
        <v>55</v>
      </c>
      <c r="I543" s="3">
        <v>123100</v>
      </c>
      <c r="J543" s="3">
        <v>7020480000</v>
      </c>
      <c r="K543" s="3">
        <v>21601000</v>
      </c>
      <c r="L543" s="3">
        <v>26839000</v>
      </c>
      <c r="M543" s="3">
        <v>239</v>
      </c>
      <c r="N543" s="5">
        <f t="shared" si="58"/>
        <v>61550</v>
      </c>
      <c r="O543" s="3">
        <v>7020480000</v>
      </c>
      <c r="P543" s="3">
        <v>21601000</v>
      </c>
      <c r="Q543" s="3">
        <v>26839000</v>
      </c>
      <c r="R543" s="5">
        <v>239</v>
      </c>
      <c r="T543" s="3">
        <v>12039460000</v>
      </c>
      <c r="U543" s="4"/>
      <c r="V543" s="5">
        <f t="shared" si="59"/>
        <v>61550</v>
      </c>
      <c r="W543" s="8"/>
      <c r="X543" s="9" t="str">
        <f t="shared" ref="X543:Y562" si="63">IF(fy=460,"a0","a")</f>
        <v>a</v>
      </c>
      <c r="Y543" s="9" t="str">
        <f t="shared" si="63"/>
        <v>a</v>
      </c>
      <c r="Z543" s="31">
        <f t="shared" si="60"/>
        <v>14645125</v>
      </c>
      <c r="AA543" s="31">
        <f t="shared" si="61"/>
        <v>14645125</v>
      </c>
    </row>
    <row r="544" spans="1:27" ht="13">
      <c r="A544" s="9">
        <v>542</v>
      </c>
      <c r="B544" s="3" t="s">
        <v>1896</v>
      </c>
      <c r="C544" s="3"/>
      <c r="D544" s="5">
        <v>1039</v>
      </c>
      <c r="E544" s="3">
        <v>650</v>
      </c>
      <c r="F544" s="3">
        <v>650</v>
      </c>
      <c r="G544" s="5">
        <v>60</v>
      </c>
      <c r="H544" s="5">
        <v>60</v>
      </c>
      <c r="I544" s="3">
        <v>132300</v>
      </c>
      <c r="J544" s="3">
        <v>7390720000</v>
      </c>
      <c r="K544" s="3">
        <v>22741000</v>
      </c>
      <c r="L544" s="3">
        <v>28528000</v>
      </c>
      <c r="M544" s="3">
        <v>236</v>
      </c>
      <c r="N544" s="5">
        <f t="shared" si="58"/>
        <v>66150</v>
      </c>
      <c r="O544" s="3">
        <v>7390720000</v>
      </c>
      <c r="P544" s="3">
        <v>22741000</v>
      </c>
      <c r="Q544" s="3">
        <v>28528000</v>
      </c>
      <c r="R544" s="5">
        <v>236</v>
      </c>
      <c r="T544" s="3">
        <v>12823339999.999998</v>
      </c>
      <c r="U544" s="4"/>
      <c r="V544" s="5">
        <f t="shared" si="59"/>
        <v>66150</v>
      </c>
      <c r="W544" s="8"/>
      <c r="X544" s="9" t="str">
        <f t="shared" si="63"/>
        <v>a</v>
      </c>
      <c r="Y544" s="9" t="str">
        <f t="shared" si="63"/>
        <v>a</v>
      </c>
      <c r="Z544" s="31">
        <f t="shared" si="60"/>
        <v>15718500</v>
      </c>
      <c r="AA544" s="31">
        <f t="shared" si="61"/>
        <v>15718500</v>
      </c>
    </row>
    <row r="545" spans="1:27" ht="13">
      <c r="A545" s="9">
        <v>543</v>
      </c>
      <c r="B545" s="3" t="s">
        <v>1897</v>
      </c>
      <c r="C545" s="3"/>
      <c r="D545" s="5">
        <v>1109</v>
      </c>
      <c r="E545" s="3">
        <v>650</v>
      </c>
      <c r="F545" s="3">
        <v>650</v>
      </c>
      <c r="G545" s="5">
        <v>65</v>
      </c>
      <c r="H545" s="5">
        <v>65</v>
      </c>
      <c r="I545" s="3">
        <v>141200</v>
      </c>
      <c r="J545" s="3">
        <v>7722250000</v>
      </c>
      <c r="K545" s="3">
        <v>23761000</v>
      </c>
      <c r="L545" s="3">
        <v>30101000</v>
      </c>
      <c r="M545" s="3">
        <v>234</v>
      </c>
      <c r="N545" s="5">
        <f t="shared" si="58"/>
        <v>70600</v>
      </c>
      <c r="O545" s="3">
        <v>7722250000</v>
      </c>
      <c r="P545" s="3">
        <v>23761000</v>
      </c>
      <c r="Q545" s="3">
        <v>30101000</v>
      </c>
      <c r="R545" s="5">
        <v>234</v>
      </c>
      <c r="T545" s="3">
        <v>13554160000</v>
      </c>
      <c r="U545" s="4"/>
      <c r="V545" s="5">
        <f t="shared" si="59"/>
        <v>70600</v>
      </c>
      <c r="W545" s="8"/>
      <c r="X545" s="9" t="str">
        <f t="shared" si="63"/>
        <v>a</v>
      </c>
      <c r="Y545" s="9" t="str">
        <f t="shared" si="63"/>
        <v>a</v>
      </c>
      <c r="Z545" s="31">
        <f t="shared" si="60"/>
        <v>16752125</v>
      </c>
      <c r="AA545" s="31">
        <f t="shared" si="61"/>
        <v>16752125</v>
      </c>
    </row>
    <row r="546" spans="1:27" ht="13">
      <c r="A546" s="9">
        <v>544</v>
      </c>
      <c r="B546" s="3" t="s">
        <v>1898</v>
      </c>
      <c r="C546" s="3"/>
      <c r="D546" s="5">
        <v>338</v>
      </c>
      <c r="E546" s="3">
        <v>700</v>
      </c>
      <c r="F546" s="3">
        <v>700</v>
      </c>
      <c r="G546" s="5">
        <v>16</v>
      </c>
      <c r="H546" s="5">
        <v>16</v>
      </c>
      <c r="I546" s="3">
        <v>43100</v>
      </c>
      <c r="J546" s="3">
        <v>3335980000</v>
      </c>
      <c r="K546" s="3">
        <v>9531000</v>
      </c>
      <c r="L546" s="3">
        <v>11002000</v>
      </c>
      <c r="M546" s="3">
        <v>278</v>
      </c>
      <c r="N546" s="5">
        <f t="shared" si="58"/>
        <v>21550</v>
      </c>
      <c r="O546" s="3">
        <v>3335980000</v>
      </c>
      <c r="P546" s="3">
        <v>9531000</v>
      </c>
      <c r="Q546" s="3">
        <v>11002000</v>
      </c>
      <c r="R546" s="5">
        <v>278</v>
      </c>
      <c r="T546" s="3">
        <v>5191200000</v>
      </c>
      <c r="U546" s="4"/>
      <c r="V546" s="5">
        <f t="shared" si="59"/>
        <v>21550</v>
      </c>
      <c r="W546" s="8"/>
      <c r="X546" s="9" t="str">
        <f t="shared" si="63"/>
        <v>a</v>
      </c>
      <c r="Y546" s="9" t="str">
        <f t="shared" si="63"/>
        <v>a</v>
      </c>
      <c r="Z546" s="31">
        <f t="shared" si="60"/>
        <v>5615296</v>
      </c>
      <c r="AA546" s="31">
        <f t="shared" si="61"/>
        <v>5615296</v>
      </c>
    </row>
    <row r="547" spans="1:27" ht="13">
      <c r="A547" s="9">
        <v>545</v>
      </c>
      <c r="B547" s="3" t="s">
        <v>1899</v>
      </c>
      <c r="C547" s="3"/>
      <c r="D547" s="5">
        <v>399</v>
      </c>
      <c r="E547" s="3">
        <v>700</v>
      </c>
      <c r="F547" s="3">
        <v>700</v>
      </c>
      <c r="G547" s="5">
        <v>19</v>
      </c>
      <c r="H547" s="5">
        <v>19</v>
      </c>
      <c r="I547" s="3">
        <v>50800</v>
      </c>
      <c r="J547" s="3">
        <v>3891980000</v>
      </c>
      <c r="K547" s="3">
        <v>11120000</v>
      </c>
      <c r="L547" s="3">
        <v>12899000</v>
      </c>
      <c r="M547" s="3">
        <v>277</v>
      </c>
      <c r="N547" s="5">
        <f t="shared" si="58"/>
        <v>25400</v>
      </c>
      <c r="O547" s="3">
        <v>3891980000</v>
      </c>
      <c r="P547" s="3">
        <v>11120000</v>
      </c>
      <c r="Q547" s="3">
        <v>12899000</v>
      </c>
      <c r="R547" s="5">
        <v>277</v>
      </c>
      <c r="T547" s="3">
        <v>6098120000</v>
      </c>
      <c r="U547" s="4"/>
      <c r="V547" s="5">
        <f t="shared" si="59"/>
        <v>25400</v>
      </c>
      <c r="W547" s="8"/>
      <c r="X547" s="9" t="str">
        <f t="shared" si="63"/>
        <v>a</v>
      </c>
      <c r="Y547" s="9" t="str">
        <f t="shared" si="63"/>
        <v>a</v>
      </c>
      <c r="Z547" s="31">
        <f t="shared" si="60"/>
        <v>6610309</v>
      </c>
      <c r="AA547" s="31">
        <f t="shared" si="61"/>
        <v>6610309</v>
      </c>
    </row>
    <row r="548" spans="1:27" ht="13">
      <c r="A548" s="9">
        <v>546</v>
      </c>
      <c r="B548" s="3" t="s">
        <v>1900</v>
      </c>
      <c r="C548" s="3"/>
      <c r="D548" s="5">
        <v>459</v>
      </c>
      <c r="E548" s="3">
        <v>700</v>
      </c>
      <c r="F548" s="3">
        <v>700</v>
      </c>
      <c r="G548" s="5">
        <v>22</v>
      </c>
      <c r="H548" s="5">
        <v>22</v>
      </c>
      <c r="I548" s="3">
        <v>58400</v>
      </c>
      <c r="J548" s="3">
        <v>4426870000</v>
      </c>
      <c r="K548" s="3">
        <v>12648000</v>
      </c>
      <c r="L548" s="3">
        <v>14744000</v>
      </c>
      <c r="M548" s="3">
        <v>275</v>
      </c>
      <c r="N548" s="5">
        <f t="shared" si="58"/>
        <v>29200</v>
      </c>
      <c r="O548" s="3">
        <v>4426870000</v>
      </c>
      <c r="P548" s="3">
        <v>12648000</v>
      </c>
      <c r="Q548" s="3">
        <v>14744000</v>
      </c>
      <c r="R548" s="5">
        <v>275</v>
      </c>
      <c r="T548" s="3">
        <v>6983910000</v>
      </c>
      <c r="U548" s="4"/>
      <c r="V548" s="5">
        <f t="shared" si="59"/>
        <v>29200</v>
      </c>
      <c r="W548" s="8"/>
      <c r="X548" s="9" t="str">
        <f t="shared" si="63"/>
        <v>a</v>
      </c>
      <c r="Y548" s="9" t="str">
        <f t="shared" si="63"/>
        <v>a</v>
      </c>
      <c r="Z548" s="31">
        <f t="shared" si="60"/>
        <v>7587448</v>
      </c>
      <c r="AA548" s="31">
        <f t="shared" si="61"/>
        <v>7587448</v>
      </c>
    </row>
    <row r="549" spans="1:27" ht="13">
      <c r="A549" s="9">
        <v>547</v>
      </c>
      <c r="B549" s="3" t="s">
        <v>1901</v>
      </c>
      <c r="C549" s="3"/>
      <c r="D549" s="5">
        <v>517</v>
      </c>
      <c r="E549" s="3">
        <v>700</v>
      </c>
      <c r="F549" s="3">
        <v>700</v>
      </c>
      <c r="G549" s="5">
        <v>25</v>
      </c>
      <c r="H549" s="5">
        <v>25</v>
      </c>
      <c r="I549" s="3">
        <v>65900</v>
      </c>
      <c r="J549" s="3">
        <v>4941000000</v>
      </c>
      <c r="K549" s="3">
        <v>14117000</v>
      </c>
      <c r="L549" s="3">
        <v>16538000</v>
      </c>
      <c r="M549" s="3">
        <v>274</v>
      </c>
      <c r="N549" s="5">
        <f t="shared" si="58"/>
        <v>32950</v>
      </c>
      <c r="O549" s="3">
        <v>4941000000</v>
      </c>
      <c r="P549" s="3">
        <v>14117000</v>
      </c>
      <c r="Q549" s="3">
        <v>16538000</v>
      </c>
      <c r="R549" s="5">
        <v>274</v>
      </c>
      <c r="T549" s="3">
        <v>7848529999.999999</v>
      </c>
      <c r="U549" s="4"/>
      <c r="V549" s="5">
        <f t="shared" si="59"/>
        <v>32950</v>
      </c>
      <c r="W549" s="8"/>
      <c r="X549" s="9" t="str">
        <f t="shared" si="63"/>
        <v>a</v>
      </c>
      <c r="Y549" s="9" t="str">
        <f t="shared" si="63"/>
        <v>a</v>
      </c>
      <c r="Z549" s="31">
        <f t="shared" si="60"/>
        <v>8546875</v>
      </c>
      <c r="AA549" s="31">
        <f t="shared" si="61"/>
        <v>8546875</v>
      </c>
    </row>
    <row r="550" spans="1:27" ht="13">
      <c r="A550" s="9">
        <v>548</v>
      </c>
      <c r="B550" s="3" t="s">
        <v>1902</v>
      </c>
      <c r="C550" s="3"/>
      <c r="D550" s="5">
        <v>575</v>
      </c>
      <c r="E550" s="3">
        <v>700</v>
      </c>
      <c r="F550" s="3">
        <v>700</v>
      </c>
      <c r="G550" s="5">
        <v>28</v>
      </c>
      <c r="H550" s="5">
        <v>28</v>
      </c>
      <c r="I550" s="3">
        <v>73200</v>
      </c>
      <c r="J550" s="3">
        <v>5434700000</v>
      </c>
      <c r="K550" s="3">
        <v>15528000</v>
      </c>
      <c r="L550" s="3">
        <v>18281000</v>
      </c>
      <c r="M550" s="3">
        <v>272</v>
      </c>
      <c r="N550" s="5">
        <f t="shared" si="58"/>
        <v>36600</v>
      </c>
      <c r="O550" s="3">
        <v>5434700000</v>
      </c>
      <c r="P550" s="3">
        <v>15528000</v>
      </c>
      <c r="Q550" s="3">
        <v>18281000</v>
      </c>
      <c r="R550" s="5">
        <v>272</v>
      </c>
      <c r="T550" s="3">
        <v>8691910000</v>
      </c>
      <c r="U550" s="4"/>
      <c r="V550" s="5">
        <f t="shared" si="59"/>
        <v>36600</v>
      </c>
      <c r="W550" s="8"/>
      <c r="X550" s="9" t="str">
        <f t="shared" si="63"/>
        <v>a</v>
      </c>
      <c r="Y550" s="9" t="str">
        <f t="shared" si="63"/>
        <v>a</v>
      </c>
      <c r="Z550" s="31">
        <f t="shared" si="60"/>
        <v>9488752</v>
      </c>
      <c r="AA550" s="31">
        <f t="shared" si="61"/>
        <v>9488752</v>
      </c>
    </row>
    <row r="551" spans="1:27" ht="13">
      <c r="A551" s="9">
        <v>549</v>
      </c>
      <c r="B551" s="3" t="s">
        <v>1903</v>
      </c>
      <c r="C551" s="3"/>
      <c r="D551" s="5">
        <v>651</v>
      </c>
      <c r="E551" s="3">
        <v>700</v>
      </c>
      <c r="F551" s="3">
        <v>700</v>
      </c>
      <c r="G551" s="5">
        <v>32</v>
      </c>
      <c r="H551" s="5">
        <v>32</v>
      </c>
      <c r="I551" s="3">
        <v>82900</v>
      </c>
      <c r="J551" s="3">
        <v>6061800000</v>
      </c>
      <c r="K551" s="3">
        <v>17319000</v>
      </c>
      <c r="L551" s="3">
        <v>20528000</v>
      </c>
      <c r="M551" s="3">
        <v>270</v>
      </c>
      <c r="N551" s="5">
        <f t="shared" si="58"/>
        <v>41450</v>
      </c>
      <c r="O551" s="3">
        <v>6061800000</v>
      </c>
      <c r="P551" s="3">
        <v>17319000</v>
      </c>
      <c r="Q551" s="3">
        <v>20528000</v>
      </c>
      <c r="R551" s="5">
        <v>270</v>
      </c>
      <c r="T551" s="3">
        <v>9783260000</v>
      </c>
      <c r="U551" s="4"/>
      <c r="V551" s="5">
        <f t="shared" si="59"/>
        <v>41450</v>
      </c>
      <c r="W551" s="8"/>
      <c r="X551" s="9" t="str">
        <f t="shared" si="63"/>
        <v>a</v>
      </c>
      <c r="Y551" s="9" t="str">
        <f t="shared" si="63"/>
        <v>a</v>
      </c>
      <c r="Z551" s="31">
        <f t="shared" si="60"/>
        <v>10717568</v>
      </c>
      <c r="AA551" s="31">
        <f t="shared" si="61"/>
        <v>10717568</v>
      </c>
    </row>
    <row r="552" spans="1:27" ht="13">
      <c r="A552" s="9">
        <v>550</v>
      </c>
      <c r="B552" s="3" t="s">
        <v>1904</v>
      </c>
      <c r="C552" s="3"/>
      <c r="D552" s="5">
        <v>724</v>
      </c>
      <c r="E552" s="3">
        <v>700</v>
      </c>
      <c r="F552" s="3">
        <v>700</v>
      </c>
      <c r="G552" s="5">
        <v>36</v>
      </c>
      <c r="H552" s="5">
        <v>36</v>
      </c>
      <c r="I552" s="3">
        <v>92300</v>
      </c>
      <c r="J552" s="3">
        <v>6653979999.999999</v>
      </c>
      <c r="K552" s="3">
        <v>19011000</v>
      </c>
      <c r="L552" s="3">
        <v>22686000</v>
      </c>
      <c r="M552" s="3">
        <v>269</v>
      </c>
      <c r="N552" s="5">
        <f t="shared" si="58"/>
        <v>46150</v>
      </c>
      <c r="O552" s="3">
        <v>6653979999.999999</v>
      </c>
      <c r="P552" s="3">
        <v>19011000</v>
      </c>
      <c r="Q552" s="3">
        <v>22686000</v>
      </c>
      <c r="R552" s="5">
        <v>269</v>
      </c>
      <c r="T552" s="3">
        <v>10836570000</v>
      </c>
      <c r="U552" s="4"/>
      <c r="V552" s="5">
        <f t="shared" si="59"/>
        <v>46150</v>
      </c>
      <c r="W552" s="8"/>
      <c r="X552" s="9" t="str">
        <f t="shared" si="63"/>
        <v>a</v>
      </c>
      <c r="Y552" s="9" t="str">
        <f t="shared" si="63"/>
        <v>a</v>
      </c>
      <c r="Z552" s="31">
        <f t="shared" si="60"/>
        <v>11915856</v>
      </c>
      <c r="AA552" s="31">
        <f t="shared" si="61"/>
        <v>11915856</v>
      </c>
    </row>
    <row r="553" spans="1:27" ht="13">
      <c r="A553" s="9">
        <v>551</v>
      </c>
      <c r="B553" s="3" t="s">
        <v>1905</v>
      </c>
      <c r="C553" s="3"/>
      <c r="D553" s="5">
        <v>797</v>
      </c>
      <c r="E553" s="3">
        <v>700</v>
      </c>
      <c r="F553" s="3">
        <v>700</v>
      </c>
      <c r="G553" s="5">
        <v>40</v>
      </c>
      <c r="H553" s="5">
        <v>40</v>
      </c>
      <c r="I553" s="3">
        <v>101500</v>
      </c>
      <c r="J553" s="3">
        <v>7212029999.999999</v>
      </c>
      <c r="K553" s="3">
        <v>20606000</v>
      </c>
      <c r="L553" s="3">
        <v>24757000</v>
      </c>
      <c r="M553" s="3">
        <v>267</v>
      </c>
      <c r="N553" s="5">
        <f t="shared" si="58"/>
        <v>50750</v>
      </c>
      <c r="O553" s="3">
        <v>7212029999.999999</v>
      </c>
      <c r="P553" s="3">
        <v>20606000</v>
      </c>
      <c r="Q553" s="3">
        <v>24757000</v>
      </c>
      <c r="R553" s="5">
        <v>267</v>
      </c>
      <c r="T553" s="3">
        <v>11851700000</v>
      </c>
      <c r="U553" s="4"/>
      <c r="V553" s="5">
        <f t="shared" si="59"/>
        <v>50750</v>
      </c>
      <c r="W553" s="8"/>
      <c r="X553" s="9" t="str">
        <f t="shared" si="63"/>
        <v>a</v>
      </c>
      <c r="Y553" s="9" t="str">
        <f t="shared" si="63"/>
        <v>a</v>
      </c>
      <c r="Z553" s="31">
        <f t="shared" si="60"/>
        <v>13084000</v>
      </c>
      <c r="AA553" s="31">
        <f t="shared" si="61"/>
        <v>13084000</v>
      </c>
    </row>
    <row r="554" spans="1:27" ht="13">
      <c r="A554" s="9">
        <v>552</v>
      </c>
      <c r="B554" s="3" t="s">
        <v>1906</v>
      </c>
      <c r="C554" s="3"/>
      <c r="D554" s="5">
        <v>885</v>
      </c>
      <c r="E554" s="3">
        <v>700</v>
      </c>
      <c r="F554" s="3">
        <v>700</v>
      </c>
      <c r="G554" s="5">
        <v>45</v>
      </c>
      <c r="H554" s="5">
        <v>45</v>
      </c>
      <c r="I554" s="3">
        <v>112700</v>
      </c>
      <c r="J554" s="3">
        <v>7862780000</v>
      </c>
      <c r="K554" s="3">
        <v>22465000</v>
      </c>
      <c r="L554" s="3">
        <v>27224000</v>
      </c>
      <c r="M554" s="3">
        <v>264</v>
      </c>
      <c r="N554" s="5">
        <f t="shared" si="58"/>
        <v>56350</v>
      </c>
      <c r="O554" s="3">
        <v>7862780000</v>
      </c>
      <c r="P554" s="3">
        <v>22465000</v>
      </c>
      <c r="Q554" s="3">
        <v>27224000</v>
      </c>
      <c r="R554" s="5">
        <v>264</v>
      </c>
      <c r="T554" s="3">
        <v>13066650000</v>
      </c>
      <c r="U554" s="4"/>
      <c r="V554" s="5">
        <f t="shared" si="59"/>
        <v>56350</v>
      </c>
      <c r="W554" s="8"/>
      <c r="X554" s="9" t="str">
        <f t="shared" si="63"/>
        <v>a</v>
      </c>
      <c r="Y554" s="9" t="str">
        <f t="shared" si="63"/>
        <v>a</v>
      </c>
      <c r="Z554" s="31">
        <f t="shared" si="60"/>
        <v>14502375</v>
      </c>
      <c r="AA554" s="31">
        <f t="shared" si="61"/>
        <v>14502375</v>
      </c>
    </row>
    <row r="555" spans="1:27" ht="13">
      <c r="A555" s="9">
        <v>553</v>
      </c>
      <c r="B555" s="3" t="s">
        <v>1907</v>
      </c>
      <c r="C555" s="3"/>
      <c r="D555" s="5">
        <v>970</v>
      </c>
      <c r="E555" s="3">
        <v>700</v>
      </c>
      <c r="F555" s="3">
        <v>700</v>
      </c>
      <c r="G555" s="5">
        <v>50</v>
      </c>
      <c r="H555" s="5">
        <v>50</v>
      </c>
      <c r="I555" s="3">
        <v>123600</v>
      </c>
      <c r="J555" s="3">
        <v>8462920000.000001</v>
      </c>
      <c r="K555" s="3">
        <v>24180000</v>
      </c>
      <c r="L555" s="3">
        <v>29557000</v>
      </c>
      <c r="M555" s="3">
        <v>262</v>
      </c>
      <c r="N555" s="5">
        <f t="shared" si="58"/>
        <v>61800</v>
      </c>
      <c r="O555" s="3">
        <v>8462920000.000001</v>
      </c>
      <c r="P555" s="3">
        <v>24180000</v>
      </c>
      <c r="Q555" s="3">
        <v>29557000</v>
      </c>
      <c r="R555" s="5">
        <v>262</v>
      </c>
      <c r="T555" s="3">
        <v>14221349999.999998</v>
      </c>
      <c r="U555" s="4"/>
      <c r="V555" s="5">
        <f t="shared" si="59"/>
        <v>61800</v>
      </c>
      <c r="W555" s="8"/>
      <c r="X555" s="9" t="str">
        <f t="shared" si="63"/>
        <v>a</v>
      </c>
      <c r="Y555" s="9" t="str">
        <f t="shared" si="63"/>
        <v>a</v>
      </c>
      <c r="Z555" s="31">
        <f t="shared" si="60"/>
        <v>15875000</v>
      </c>
      <c r="AA555" s="31">
        <f t="shared" si="61"/>
        <v>15875000</v>
      </c>
    </row>
    <row r="556" spans="1:27" ht="13">
      <c r="A556" s="9">
        <v>554</v>
      </c>
      <c r="B556" s="3" t="s">
        <v>1908</v>
      </c>
      <c r="C556" s="3"/>
      <c r="D556" s="5">
        <v>1053</v>
      </c>
      <c r="E556" s="3">
        <v>700</v>
      </c>
      <c r="F556" s="3">
        <v>700</v>
      </c>
      <c r="G556" s="5">
        <v>55</v>
      </c>
      <c r="H556" s="5">
        <v>55</v>
      </c>
      <c r="I556" s="3">
        <v>134100</v>
      </c>
      <c r="J556" s="3">
        <v>9013940000</v>
      </c>
      <c r="K556" s="3">
        <v>25754000</v>
      </c>
      <c r="L556" s="3">
        <v>31759000</v>
      </c>
      <c r="M556" s="3">
        <v>259</v>
      </c>
      <c r="N556" s="5">
        <f t="shared" si="58"/>
        <v>67050</v>
      </c>
      <c r="O556" s="3">
        <v>9013940000</v>
      </c>
      <c r="P556" s="3">
        <v>25754000</v>
      </c>
      <c r="Q556" s="3">
        <v>31759000</v>
      </c>
      <c r="R556" s="5">
        <v>259</v>
      </c>
      <c r="T556" s="3">
        <v>15315460000</v>
      </c>
      <c r="U556" s="4"/>
      <c r="V556" s="5">
        <f t="shared" si="59"/>
        <v>67050</v>
      </c>
      <c r="W556" s="8"/>
      <c r="X556" s="9" t="str">
        <f t="shared" si="63"/>
        <v>a</v>
      </c>
      <c r="Y556" s="9" t="str">
        <f t="shared" si="63"/>
        <v>a</v>
      </c>
      <c r="Z556" s="31">
        <f t="shared" si="60"/>
        <v>17202625</v>
      </c>
      <c r="AA556" s="31">
        <f t="shared" si="61"/>
        <v>17202625</v>
      </c>
    </row>
    <row r="557" spans="1:27" ht="13">
      <c r="A557" s="9">
        <v>555</v>
      </c>
      <c r="B557" s="3" t="s">
        <v>1909</v>
      </c>
      <c r="C557" s="3"/>
      <c r="D557" s="5">
        <v>1133</v>
      </c>
      <c r="E557" s="3">
        <v>700</v>
      </c>
      <c r="F557" s="3">
        <v>700</v>
      </c>
      <c r="G557" s="5">
        <v>60</v>
      </c>
      <c r="H557" s="5">
        <v>60</v>
      </c>
      <c r="I557" s="3">
        <v>144300</v>
      </c>
      <c r="J557" s="3">
        <v>9517300000</v>
      </c>
      <c r="K557" s="3">
        <v>27192000</v>
      </c>
      <c r="L557" s="3">
        <v>33832000</v>
      </c>
      <c r="M557" s="3">
        <v>257</v>
      </c>
      <c r="N557" s="5">
        <f t="shared" si="58"/>
        <v>72150</v>
      </c>
      <c r="O557" s="3">
        <v>9517300000</v>
      </c>
      <c r="P557" s="3">
        <v>27192000</v>
      </c>
      <c r="Q557" s="3">
        <v>33832000</v>
      </c>
      <c r="R557" s="5">
        <v>257</v>
      </c>
      <c r="T557" s="3">
        <v>16348670000</v>
      </c>
      <c r="U557" s="4"/>
      <c r="V557" s="5">
        <f t="shared" si="59"/>
        <v>72150</v>
      </c>
      <c r="W557" s="8"/>
      <c r="X557" s="9" t="str">
        <f t="shared" si="63"/>
        <v>a</v>
      </c>
      <c r="Y557" s="9" t="str">
        <f t="shared" si="63"/>
        <v>a</v>
      </c>
      <c r="Z557" s="31">
        <f t="shared" si="60"/>
        <v>18486000</v>
      </c>
      <c r="AA557" s="31">
        <f t="shared" si="61"/>
        <v>18486000</v>
      </c>
    </row>
    <row r="558" spans="1:27" ht="13">
      <c r="A558" s="9">
        <v>556</v>
      </c>
      <c r="B558" s="3" t="s">
        <v>1910</v>
      </c>
      <c r="C558" s="3"/>
      <c r="D558" s="5">
        <v>1211</v>
      </c>
      <c r="E558" s="3">
        <v>700</v>
      </c>
      <c r="F558" s="3">
        <v>700</v>
      </c>
      <c r="G558" s="5">
        <v>65</v>
      </c>
      <c r="H558" s="5">
        <v>65</v>
      </c>
      <c r="I558" s="3">
        <v>154200</v>
      </c>
      <c r="J558" s="3">
        <v>9974450000</v>
      </c>
      <c r="K558" s="3">
        <v>26498000</v>
      </c>
      <c r="L558" s="3">
        <v>35776000</v>
      </c>
      <c r="M558" s="3">
        <v>254</v>
      </c>
      <c r="N558" s="5">
        <f t="shared" si="58"/>
        <v>77100</v>
      </c>
      <c r="O558" s="3">
        <v>9974450000</v>
      </c>
      <c r="P558" s="3">
        <v>26498000</v>
      </c>
      <c r="Q558" s="3">
        <v>35776000</v>
      </c>
      <c r="R558" s="5">
        <v>254</v>
      </c>
      <c r="T558" s="3">
        <v>17320630000</v>
      </c>
      <c r="U558" s="4"/>
      <c r="V558" s="5">
        <f t="shared" si="59"/>
        <v>77100</v>
      </c>
      <c r="W558" s="8"/>
      <c r="X558" s="9" t="str">
        <f t="shared" si="63"/>
        <v>a</v>
      </c>
      <c r="Y558" s="9" t="str">
        <f t="shared" si="63"/>
        <v>a</v>
      </c>
      <c r="Z558" s="31">
        <f t="shared" si="60"/>
        <v>19725875</v>
      </c>
      <c r="AA558" s="31">
        <f t="shared" si="61"/>
        <v>19725875</v>
      </c>
    </row>
    <row r="559" spans="1:27" ht="13">
      <c r="A559" s="9">
        <v>557</v>
      </c>
      <c r="B559" s="3" t="s">
        <v>1911</v>
      </c>
      <c r="C559" s="3"/>
      <c r="D559" s="5">
        <v>1266</v>
      </c>
      <c r="E559" s="3">
        <v>700</v>
      </c>
      <c r="F559" s="3">
        <v>700</v>
      </c>
      <c r="G559" s="5">
        <v>70</v>
      </c>
      <c r="H559" s="5">
        <v>70</v>
      </c>
      <c r="I559" s="3">
        <v>163800</v>
      </c>
      <c r="J559" s="3">
        <v>10386820000</v>
      </c>
      <c r="K559" s="3">
        <v>29677000</v>
      </c>
      <c r="L559" s="3">
        <v>37595000</v>
      </c>
      <c r="M559" s="3">
        <v>252</v>
      </c>
      <c r="N559" s="5">
        <f t="shared" si="58"/>
        <v>81900</v>
      </c>
      <c r="O559" s="3">
        <v>10386820000</v>
      </c>
      <c r="P559" s="3">
        <v>29677000</v>
      </c>
      <c r="Q559" s="3">
        <v>37595000</v>
      </c>
      <c r="R559" s="5">
        <v>252</v>
      </c>
      <c r="T559" s="3">
        <v>18231030000</v>
      </c>
      <c r="U559" s="4"/>
      <c r="V559" s="5">
        <f t="shared" si="59"/>
        <v>81900</v>
      </c>
      <c r="W559" s="8"/>
      <c r="X559" s="9" t="str">
        <f t="shared" si="63"/>
        <v>a</v>
      </c>
      <c r="Y559" s="9" t="str">
        <f t="shared" si="63"/>
        <v>a</v>
      </c>
      <c r="Z559" s="31">
        <f t="shared" si="60"/>
        <v>20923000</v>
      </c>
      <c r="AA559" s="31">
        <f t="shared" si="61"/>
        <v>20923000</v>
      </c>
    </row>
    <row r="560" spans="1:27" ht="13">
      <c r="A560" s="9">
        <v>558</v>
      </c>
      <c r="B560" s="3" t="s">
        <v>1912</v>
      </c>
      <c r="C560" s="3"/>
      <c r="D560" s="5">
        <v>228</v>
      </c>
      <c r="E560" s="3">
        <v>750</v>
      </c>
      <c r="F560" s="3">
        <v>500</v>
      </c>
      <c r="G560" s="5">
        <v>12</v>
      </c>
      <c r="H560" s="5">
        <v>12</v>
      </c>
      <c r="I560" s="3">
        <v>29100</v>
      </c>
      <c r="J560" s="3">
        <v>2347870000</v>
      </c>
      <c r="K560" s="3">
        <v>6261000</v>
      </c>
      <c r="L560" s="3">
        <v>7452000</v>
      </c>
      <c r="M560" s="3">
        <v>284</v>
      </c>
      <c r="N560" s="5">
        <f t="shared" si="58"/>
        <v>17460</v>
      </c>
      <c r="O560" s="3">
        <v>1264810000</v>
      </c>
      <c r="P560" s="3">
        <v>5059000</v>
      </c>
      <c r="Q560" s="3">
        <v>5660000</v>
      </c>
      <c r="R560" s="5">
        <v>209</v>
      </c>
      <c r="T560" s="3">
        <v>2568890000</v>
      </c>
      <c r="U560" s="4"/>
      <c r="V560" s="5">
        <f t="shared" si="59"/>
        <v>11640</v>
      </c>
      <c r="W560" s="8"/>
      <c r="X560" s="9" t="str">
        <f t="shared" si="63"/>
        <v>a</v>
      </c>
      <c r="Y560" s="9" t="str">
        <f t="shared" si="63"/>
        <v>a</v>
      </c>
      <c r="Z560" s="31">
        <f t="shared" si="60"/>
        <v>3795228</v>
      </c>
      <c r="AA560" s="31">
        <f t="shared" si="61"/>
        <v>2875728</v>
      </c>
    </row>
    <row r="561" spans="1:27" ht="13">
      <c r="A561" s="9">
        <v>559</v>
      </c>
      <c r="B561" s="3" t="s">
        <v>1913</v>
      </c>
      <c r="C561" s="3"/>
      <c r="D561" s="5">
        <v>301</v>
      </c>
      <c r="E561" s="3">
        <v>750</v>
      </c>
      <c r="F561" s="3">
        <v>500</v>
      </c>
      <c r="G561" s="5">
        <v>16</v>
      </c>
      <c r="H561" s="5">
        <v>16</v>
      </c>
      <c r="I561" s="3">
        <v>38300</v>
      </c>
      <c r="J561" s="3">
        <v>3051210000</v>
      </c>
      <c r="K561" s="3">
        <v>8137000</v>
      </c>
      <c r="L561" s="3">
        <v>9751000</v>
      </c>
      <c r="M561" s="3">
        <v>282</v>
      </c>
      <c r="N561" s="5">
        <f t="shared" si="58"/>
        <v>22980</v>
      </c>
      <c r="O561" s="3">
        <v>1639190000</v>
      </c>
      <c r="P561" s="3">
        <v>6557000</v>
      </c>
      <c r="Q561" s="3">
        <v>7397000</v>
      </c>
      <c r="R561" s="5">
        <v>207</v>
      </c>
      <c r="T561" s="3">
        <v>3366720000</v>
      </c>
      <c r="U561" s="4"/>
      <c r="V561" s="5">
        <f t="shared" si="59"/>
        <v>15320</v>
      </c>
      <c r="W561" s="8"/>
      <c r="X561" s="9" t="str">
        <f t="shared" si="63"/>
        <v>a</v>
      </c>
      <c r="Y561" s="9" t="str">
        <f t="shared" si="63"/>
        <v>a</v>
      </c>
      <c r="Z561" s="31">
        <f t="shared" si="60"/>
        <v>4998096</v>
      </c>
      <c r="AA561" s="31">
        <f t="shared" si="61"/>
        <v>3780096</v>
      </c>
    </row>
    <row r="562" spans="1:27" ht="13">
      <c r="A562" s="9">
        <v>560</v>
      </c>
      <c r="B562" s="3" t="s">
        <v>1914</v>
      </c>
      <c r="C562" s="3"/>
      <c r="D562" s="5">
        <v>354</v>
      </c>
      <c r="E562" s="3">
        <v>750</v>
      </c>
      <c r="F562" s="3">
        <v>500</v>
      </c>
      <c r="G562" s="5">
        <v>19</v>
      </c>
      <c r="H562" s="5">
        <v>19</v>
      </c>
      <c r="I562" s="3">
        <v>45100</v>
      </c>
      <c r="J562" s="3">
        <v>3553550000</v>
      </c>
      <c r="K562" s="3">
        <v>9476000</v>
      </c>
      <c r="L562" s="3">
        <v>11415000</v>
      </c>
      <c r="M562" s="3">
        <v>281</v>
      </c>
      <c r="N562" s="5">
        <f t="shared" si="58"/>
        <v>27060</v>
      </c>
      <c r="O562" s="3">
        <v>1905150000</v>
      </c>
      <c r="P562" s="3">
        <v>7621000</v>
      </c>
      <c r="Q562" s="3">
        <v>8653000</v>
      </c>
      <c r="R562" s="5">
        <v>205</v>
      </c>
      <c r="T562" s="3">
        <v>3945810000</v>
      </c>
      <c r="U562" s="4"/>
      <c r="V562" s="5">
        <f t="shared" si="59"/>
        <v>18040</v>
      </c>
      <c r="W562" s="8"/>
      <c r="X562" s="9" t="str">
        <f t="shared" si="63"/>
        <v>a</v>
      </c>
      <c r="Y562" s="9" t="str">
        <f t="shared" si="63"/>
        <v>a</v>
      </c>
      <c r="Z562" s="31">
        <f t="shared" si="60"/>
        <v>5880234</v>
      </c>
      <c r="AA562" s="31">
        <f t="shared" si="61"/>
        <v>4440984</v>
      </c>
    </row>
    <row r="563" spans="1:27" ht="13">
      <c r="A563" s="9">
        <v>561</v>
      </c>
      <c r="B563" s="3" t="s">
        <v>1915</v>
      </c>
      <c r="C563" s="3"/>
      <c r="D563" s="5">
        <v>364</v>
      </c>
      <c r="E563" s="3">
        <v>750</v>
      </c>
      <c r="F563" s="3">
        <v>750</v>
      </c>
      <c r="G563" s="5">
        <v>16</v>
      </c>
      <c r="H563" s="5">
        <v>16</v>
      </c>
      <c r="I563" s="3">
        <v>46300</v>
      </c>
      <c r="J563" s="3">
        <v>4128890000</v>
      </c>
      <c r="K563" s="3">
        <v>11010000</v>
      </c>
      <c r="L563" s="3">
        <v>12687000</v>
      </c>
      <c r="M563" s="3">
        <v>299</v>
      </c>
      <c r="N563" s="5">
        <f t="shared" si="58"/>
        <v>23150</v>
      </c>
      <c r="O563" s="3">
        <v>4128890000</v>
      </c>
      <c r="P563" s="3">
        <v>11010000</v>
      </c>
      <c r="Q563" s="3">
        <v>12687000</v>
      </c>
      <c r="R563" s="5">
        <v>299</v>
      </c>
      <c r="T563" s="3">
        <v>6409390000</v>
      </c>
      <c r="U563" s="4"/>
      <c r="V563" s="5">
        <f t="shared" si="59"/>
        <v>23150</v>
      </c>
      <c r="W563" s="8"/>
      <c r="X563" s="9" t="str">
        <f t="shared" ref="X563:Y584" si="64">IF(fy=460,"a0","a")</f>
        <v>a</v>
      </c>
      <c r="Y563" s="9" t="str">
        <f t="shared" si="64"/>
        <v>a</v>
      </c>
      <c r="Z563" s="31">
        <f t="shared" si="60"/>
        <v>6466096</v>
      </c>
      <c r="AA563" s="31">
        <f t="shared" si="61"/>
        <v>6466096</v>
      </c>
    </row>
    <row r="564" spans="1:27" ht="13">
      <c r="A564" s="9">
        <v>562</v>
      </c>
      <c r="B564" s="3" t="s">
        <v>1916</v>
      </c>
      <c r="C564" s="3"/>
      <c r="D564" s="5">
        <v>407</v>
      </c>
      <c r="E564" s="3">
        <v>750</v>
      </c>
      <c r="F564" s="3">
        <v>500</v>
      </c>
      <c r="G564" s="5">
        <v>22</v>
      </c>
      <c r="H564" s="5">
        <v>22</v>
      </c>
      <c r="I564" s="3">
        <v>51800</v>
      </c>
      <c r="J564" s="3">
        <v>4034710000</v>
      </c>
      <c r="K564" s="3">
        <v>10759000</v>
      </c>
      <c r="L564" s="3">
        <v>13029000</v>
      </c>
      <c r="M564" s="3">
        <v>279</v>
      </c>
      <c r="N564" s="5">
        <f t="shared" si="58"/>
        <v>31080</v>
      </c>
      <c r="O564" s="3">
        <v>2158700000</v>
      </c>
      <c r="P564" s="3">
        <v>8635000</v>
      </c>
      <c r="Q564" s="3">
        <v>9868000</v>
      </c>
      <c r="R564" s="5">
        <v>204</v>
      </c>
      <c r="T564" s="3">
        <v>4508340000</v>
      </c>
      <c r="U564" s="4"/>
      <c r="V564" s="5">
        <f t="shared" si="59"/>
        <v>20720</v>
      </c>
      <c r="W564" s="8"/>
      <c r="X564" s="9" t="str">
        <f t="shared" si="64"/>
        <v>a</v>
      </c>
      <c r="Y564" s="9" t="str">
        <f t="shared" si="64"/>
        <v>a</v>
      </c>
      <c r="Z564" s="31">
        <f t="shared" si="60"/>
        <v>6745398</v>
      </c>
      <c r="AA564" s="31">
        <f t="shared" si="61"/>
        <v>5087148</v>
      </c>
    </row>
    <row r="565" spans="1:27" ht="13">
      <c r="A565" s="9">
        <v>563</v>
      </c>
      <c r="B565" s="3" t="s">
        <v>1917</v>
      </c>
      <c r="C565" s="3"/>
      <c r="D565" s="5">
        <v>429</v>
      </c>
      <c r="E565" s="3">
        <v>750</v>
      </c>
      <c r="F565" s="3">
        <v>750</v>
      </c>
      <c r="G565" s="5">
        <v>19</v>
      </c>
      <c r="H565" s="5">
        <v>19</v>
      </c>
      <c r="I565" s="3">
        <v>54600</v>
      </c>
      <c r="J565" s="3">
        <v>4822939999.999999</v>
      </c>
      <c r="K565" s="3">
        <v>12861000</v>
      </c>
      <c r="L565" s="3">
        <v>14887000</v>
      </c>
      <c r="M565" s="3">
        <v>297</v>
      </c>
      <c r="N565" s="5">
        <f t="shared" si="58"/>
        <v>27300</v>
      </c>
      <c r="O565" s="3">
        <v>4822939999.999999</v>
      </c>
      <c r="P565" s="3">
        <v>12861000</v>
      </c>
      <c r="Q565" s="3">
        <v>14887000</v>
      </c>
      <c r="R565" s="5">
        <v>297</v>
      </c>
      <c r="T565" s="3">
        <v>7534939999.999999</v>
      </c>
      <c r="U565" s="4"/>
      <c r="V565" s="5">
        <f t="shared" si="59"/>
        <v>27300</v>
      </c>
      <c r="W565" s="8"/>
      <c r="X565" s="9" t="str">
        <f t="shared" si="64"/>
        <v>a</v>
      </c>
      <c r="Y565" s="9" t="str">
        <f t="shared" si="64"/>
        <v>a</v>
      </c>
      <c r="Z565" s="31">
        <f t="shared" si="60"/>
        <v>7616359</v>
      </c>
      <c r="AA565" s="31">
        <f t="shared" si="61"/>
        <v>7616359</v>
      </c>
    </row>
    <row r="566" spans="1:27" ht="13">
      <c r="A566" s="9">
        <v>564</v>
      </c>
      <c r="B566" s="3" t="s">
        <v>1918</v>
      </c>
      <c r="C566" s="3"/>
      <c r="D566" s="5">
        <v>458</v>
      </c>
      <c r="E566" s="3">
        <v>750</v>
      </c>
      <c r="F566" s="3">
        <v>500</v>
      </c>
      <c r="G566" s="5">
        <v>25</v>
      </c>
      <c r="H566" s="5">
        <v>25</v>
      </c>
      <c r="I566" s="3">
        <v>58400</v>
      </c>
      <c r="J566" s="3">
        <v>4495010000</v>
      </c>
      <c r="K566" s="3">
        <v>11987000</v>
      </c>
      <c r="L566" s="3">
        <v>14591000</v>
      </c>
      <c r="M566" s="3">
        <v>277</v>
      </c>
      <c r="N566" s="5">
        <f t="shared" si="58"/>
        <v>35040</v>
      </c>
      <c r="O566" s="3">
        <v>2400120000</v>
      </c>
      <c r="P566" s="3">
        <v>9600000</v>
      </c>
      <c r="Q566" s="3">
        <v>11043000</v>
      </c>
      <c r="R566" s="5">
        <v>203</v>
      </c>
      <c r="T566" s="3">
        <v>5054260000</v>
      </c>
      <c r="U566" s="4"/>
      <c r="V566" s="5">
        <f t="shared" si="59"/>
        <v>23360</v>
      </c>
      <c r="W566" s="8"/>
      <c r="X566" s="9" t="str">
        <f t="shared" si="64"/>
        <v>a</v>
      </c>
      <c r="Y566" s="9" t="str">
        <f t="shared" si="64"/>
        <v>a</v>
      </c>
      <c r="Z566" s="31">
        <f t="shared" si="60"/>
        <v>7593750</v>
      </c>
      <c r="AA566" s="31">
        <f t="shared" si="61"/>
        <v>5718750</v>
      </c>
    </row>
    <row r="567" spans="1:27" ht="13">
      <c r="A567" s="9">
        <v>565</v>
      </c>
      <c r="B567" s="3" t="s">
        <v>1919</v>
      </c>
      <c r="C567" s="3"/>
      <c r="D567" s="5">
        <v>493</v>
      </c>
      <c r="E567" s="3">
        <v>750</v>
      </c>
      <c r="F567" s="3">
        <v>750</v>
      </c>
      <c r="G567" s="5">
        <v>22</v>
      </c>
      <c r="H567" s="5">
        <v>22</v>
      </c>
      <c r="I567" s="3">
        <v>62800</v>
      </c>
      <c r="J567" s="3">
        <v>5492610000</v>
      </c>
      <c r="K567" s="3">
        <v>14647000</v>
      </c>
      <c r="L567" s="3">
        <v>17033000</v>
      </c>
      <c r="M567" s="3">
        <v>296</v>
      </c>
      <c r="N567" s="5">
        <f t="shared" si="58"/>
        <v>31400</v>
      </c>
      <c r="O567" s="3">
        <v>5492610000</v>
      </c>
      <c r="P567" s="3">
        <v>14647000</v>
      </c>
      <c r="Q567" s="3">
        <v>17033000</v>
      </c>
      <c r="R567" s="5">
        <v>296</v>
      </c>
      <c r="T567" s="3">
        <v>8636270000</v>
      </c>
      <c r="U567" s="4"/>
      <c r="V567" s="5">
        <f t="shared" si="59"/>
        <v>31400</v>
      </c>
      <c r="W567" s="8"/>
      <c r="X567" s="9" t="str">
        <f t="shared" si="64"/>
        <v>a</v>
      </c>
      <c r="Y567" s="9" t="str">
        <f t="shared" si="64"/>
        <v>a</v>
      </c>
      <c r="Z567" s="31">
        <f t="shared" si="60"/>
        <v>8747398</v>
      </c>
      <c r="AA567" s="31">
        <f t="shared" si="61"/>
        <v>8747398</v>
      </c>
    </row>
    <row r="568" spans="1:27" ht="13">
      <c r="A568" s="9">
        <v>566</v>
      </c>
      <c r="B568" s="3" t="s">
        <v>1920</v>
      </c>
      <c r="C568" s="3"/>
      <c r="D568" s="5">
        <v>509</v>
      </c>
      <c r="E568" s="3">
        <v>750</v>
      </c>
      <c r="F568" s="3">
        <v>500</v>
      </c>
      <c r="G568" s="5">
        <v>28</v>
      </c>
      <c r="H568" s="5">
        <v>28</v>
      </c>
      <c r="I568" s="3">
        <v>64800</v>
      </c>
      <c r="J568" s="3">
        <v>4934810000</v>
      </c>
      <c r="K568" s="3">
        <v>13160000</v>
      </c>
      <c r="L568" s="3">
        <v>16104000</v>
      </c>
      <c r="M568" s="3">
        <v>276</v>
      </c>
      <c r="N568" s="5">
        <f t="shared" si="58"/>
        <v>38880</v>
      </c>
      <c r="O568" s="3">
        <v>2629660000</v>
      </c>
      <c r="P568" s="3">
        <v>10519000</v>
      </c>
      <c r="Q568" s="3">
        <v>12178000</v>
      </c>
      <c r="R568" s="5">
        <v>201</v>
      </c>
      <c r="T568" s="3">
        <v>5583540000</v>
      </c>
      <c r="U568" s="4"/>
      <c r="V568" s="5">
        <f t="shared" si="59"/>
        <v>25920</v>
      </c>
      <c r="W568" s="8"/>
      <c r="X568" s="9" t="str">
        <f t="shared" si="64"/>
        <v>a</v>
      </c>
      <c r="Y568" s="9" t="str">
        <f t="shared" si="64"/>
        <v>a</v>
      </c>
      <c r="Z568" s="31">
        <f t="shared" si="60"/>
        <v>8425452</v>
      </c>
      <c r="AA568" s="31">
        <f t="shared" si="61"/>
        <v>6335952</v>
      </c>
    </row>
    <row r="569" spans="1:27" ht="13">
      <c r="A569" s="9">
        <v>567</v>
      </c>
      <c r="B569" s="3" t="s">
        <v>1921</v>
      </c>
      <c r="C569" s="3"/>
      <c r="D569" s="5">
        <v>556</v>
      </c>
      <c r="E569" s="3">
        <v>750</v>
      </c>
      <c r="F569" s="3">
        <v>750</v>
      </c>
      <c r="G569" s="5">
        <v>25</v>
      </c>
      <c r="H569" s="5">
        <v>25</v>
      </c>
      <c r="I569" s="3">
        <v>70900</v>
      </c>
      <c r="J569" s="3">
        <v>6138240000</v>
      </c>
      <c r="K569" s="3">
        <v>16369000</v>
      </c>
      <c r="L569" s="3">
        <v>19123000</v>
      </c>
      <c r="M569" s="3">
        <v>294</v>
      </c>
      <c r="N569" s="5">
        <f t="shared" si="58"/>
        <v>35450</v>
      </c>
      <c r="O569" s="3">
        <v>6138240000</v>
      </c>
      <c r="P569" s="3">
        <v>16369000</v>
      </c>
      <c r="Q569" s="3">
        <v>19123000</v>
      </c>
      <c r="R569" s="5">
        <v>294</v>
      </c>
      <c r="T569" s="3">
        <v>9713320000</v>
      </c>
      <c r="U569" s="4"/>
      <c r="V569" s="5">
        <f t="shared" si="59"/>
        <v>35450</v>
      </c>
      <c r="W569" s="8"/>
      <c r="X569" s="9" t="str">
        <f t="shared" si="64"/>
        <v>a</v>
      </c>
      <c r="Y569" s="9" t="str">
        <f t="shared" si="64"/>
        <v>a</v>
      </c>
      <c r="Z569" s="31">
        <f t="shared" si="60"/>
        <v>9859375</v>
      </c>
      <c r="AA569" s="31">
        <f t="shared" si="61"/>
        <v>9859375</v>
      </c>
    </row>
    <row r="570" spans="1:27" ht="13">
      <c r="A570" s="9">
        <v>568</v>
      </c>
      <c r="B570" s="3" t="s">
        <v>1922</v>
      </c>
      <c r="C570" s="3"/>
      <c r="D570" s="5">
        <v>575</v>
      </c>
      <c r="E570" s="3">
        <v>750</v>
      </c>
      <c r="F570" s="3">
        <v>500</v>
      </c>
      <c r="G570" s="5">
        <v>32</v>
      </c>
      <c r="H570" s="5">
        <v>32</v>
      </c>
      <c r="I570" s="3">
        <v>73300</v>
      </c>
      <c r="J570" s="3">
        <v>5489890000</v>
      </c>
      <c r="K570" s="3">
        <v>14640000</v>
      </c>
      <c r="L570" s="3">
        <v>18045000</v>
      </c>
      <c r="M570" s="3">
        <v>274</v>
      </c>
      <c r="N570" s="5">
        <f t="shared" si="58"/>
        <v>43980</v>
      </c>
      <c r="O570" s="3">
        <v>2917690000</v>
      </c>
      <c r="P570" s="3">
        <v>11671000</v>
      </c>
      <c r="Q570" s="3">
        <v>13630000</v>
      </c>
      <c r="R570" s="5">
        <v>200</v>
      </c>
      <c r="T570" s="3">
        <v>6263289999.999999</v>
      </c>
      <c r="U570" s="4"/>
      <c r="V570" s="5">
        <f t="shared" si="59"/>
        <v>29320</v>
      </c>
      <c r="W570" s="8"/>
      <c r="X570" s="9" t="str">
        <f t="shared" si="64"/>
        <v>a</v>
      </c>
      <c r="Y570" s="9" t="str">
        <f t="shared" si="64"/>
        <v>a</v>
      </c>
      <c r="Z570" s="31">
        <f t="shared" si="60"/>
        <v>9508768</v>
      </c>
      <c r="AA570" s="31">
        <f t="shared" si="61"/>
        <v>7136768</v>
      </c>
    </row>
    <row r="571" spans="1:27" ht="13">
      <c r="A571" s="9">
        <v>569</v>
      </c>
      <c r="B571" s="3" t="s">
        <v>1923</v>
      </c>
      <c r="C571" s="3"/>
      <c r="D571" s="5">
        <v>619</v>
      </c>
      <c r="E571" s="3">
        <v>750</v>
      </c>
      <c r="F571" s="3">
        <v>750</v>
      </c>
      <c r="G571" s="5">
        <v>28</v>
      </c>
      <c r="H571" s="5">
        <v>28</v>
      </c>
      <c r="I571" s="3">
        <v>78800</v>
      </c>
      <c r="J571" s="3">
        <v>6760220000</v>
      </c>
      <c r="K571" s="3">
        <v>18027000</v>
      </c>
      <c r="L571" s="3">
        <v>21158000</v>
      </c>
      <c r="M571" s="3">
        <v>293</v>
      </c>
      <c r="N571" s="5">
        <f t="shared" si="58"/>
        <v>39400</v>
      </c>
      <c r="O571" s="3">
        <v>6760220000</v>
      </c>
      <c r="P571" s="3">
        <v>18027000</v>
      </c>
      <c r="Q571" s="3">
        <v>21158000</v>
      </c>
      <c r="R571" s="5">
        <v>293</v>
      </c>
      <c r="T571" s="3">
        <v>10766030000</v>
      </c>
      <c r="U571" s="4"/>
      <c r="V571" s="5">
        <f t="shared" si="59"/>
        <v>39400</v>
      </c>
      <c r="W571" s="8"/>
      <c r="X571" s="9" t="str">
        <f t="shared" si="64"/>
        <v>a</v>
      </c>
      <c r="Y571" s="9" t="str">
        <f t="shared" si="64"/>
        <v>a</v>
      </c>
      <c r="Z571" s="31">
        <f t="shared" si="60"/>
        <v>10952452</v>
      </c>
      <c r="AA571" s="31">
        <f t="shared" si="61"/>
        <v>10952452</v>
      </c>
    </row>
    <row r="572" spans="1:27" ht="13">
      <c r="A572" s="9">
        <v>570</v>
      </c>
      <c r="B572" s="3" t="s">
        <v>1924</v>
      </c>
      <c r="C572" s="3"/>
      <c r="D572" s="5">
        <v>640</v>
      </c>
      <c r="E572" s="3">
        <v>750</v>
      </c>
      <c r="F572" s="3">
        <v>500</v>
      </c>
      <c r="G572" s="5">
        <v>36</v>
      </c>
      <c r="H572" s="5">
        <v>36</v>
      </c>
      <c r="I572" s="3">
        <v>81500</v>
      </c>
      <c r="J572" s="3">
        <v>6009889999.999999</v>
      </c>
      <c r="K572" s="3">
        <v>16026000</v>
      </c>
      <c r="L572" s="3">
        <v>19897000</v>
      </c>
      <c r="M572" s="3">
        <v>272</v>
      </c>
      <c r="N572" s="5">
        <f t="shared" si="58"/>
        <v>48900</v>
      </c>
      <c r="O572" s="3">
        <v>3185680000</v>
      </c>
      <c r="P572" s="3">
        <v>12743000</v>
      </c>
      <c r="Q572" s="3">
        <v>15014000</v>
      </c>
      <c r="R572" s="5">
        <v>198</v>
      </c>
      <c r="T572" s="3">
        <v>6913270000</v>
      </c>
      <c r="U572" s="4"/>
      <c r="V572" s="5">
        <f t="shared" si="59"/>
        <v>32600</v>
      </c>
      <c r="W572" s="8"/>
      <c r="X572" s="9" t="str">
        <f t="shared" si="64"/>
        <v>a</v>
      </c>
      <c r="Y572" s="9" t="str">
        <f t="shared" si="64"/>
        <v>a</v>
      </c>
      <c r="Z572" s="31">
        <f t="shared" si="60"/>
        <v>10563156</v>
      </c>
      <c r="AA572" s="31">
        <f t="shared" si="61"/>
        <v>7912656</v>
      </c>
    </row>
    <row r="573" spans="1:27" ht="13">
      <c r="A573" s="9">
        <v>571</v>
      </c>
      <c r="B573" s="3" t="s">
        <v>1925</v>
      </c>
      <c r="C573" s="3"/>
      <c r="D573" s="5">
        <v>701</v>
      </c>
      <c r="E573" s="3">
        <v>750</v>
      </c>
      <c r="F573" s="3">
        <v>750</v>
      </c>
      <c r="G573" s="5">
        <v>32</v>
      </c>
      <c r="H573" s="5">
        <v>32</v>
      </c>
      <c r="I573" s="3">
        <v>89300</v>
      </c>
      <c r="J573" s="3">
        <v>7553349999.999999</v>
      </c>
      <c r="K573" s="3">
        <v>20142000</v>
      </c>
      <c r="L573" s="3">
        <v>23789000</v>
      </c>
      <c r="M573" s="3">
        <v>291</v>
      </c>
      <c r="N573" s="5">
        <f t="shared" si="58"/>
        <v>44650</v>
      </c>
      <c r="O573" s="3">
        <v>7553349999.999999</v>
      </c>
      <c r="P573" s="3">
        <v>20142000</v>
      </c>
      <c r="Q573" s="3">
        <v>23789000</v>
      </c>
      <c r="R573" s="5">
        <v>291</v>
      </c>
      <c r="T573" s="3">
        <v>12131659999.999998</v>
      </c>
      <c r="U573" s="4"/>
      <c r="V573" s="5">
        <f t="shared" si="59"/>
        <v>44650</v>
      </c>
      <c r="W573" s="8"/>
      <c r="X573" s="9" t="str">
        <f t="shared" si="64"/>
        <v>a</v>
      </c>
      <c r="Y573" s="9" t="str">
        <f t="shared" si="64"/>
        <v>a</v>
      </c>
      <c r="Z573" s="31">
        <f t="shared" si="60"/>
        <v>12380768</v>
      </c>
      <c r="AA573" s="31">
        <f t="shared" si="61"/>
        <v>12380768</v>
      </c>
    </row>
    <row r="574" spans="1:27" ht="13">
      <c r="A574" s="9">
        <v>572</v>
      </c>
      <c r="B574" s="3" t="s">
        <v>1926</v>
      </c>
      <c r="C574" s="3"/>
      <c r="D574" s="5">
        <v>702</v>
      </c>
      <c r="E574" s="3">
        <v>750</v>
      </c>
      <c r="F574" s="3">
        <v>500</v>
      </c>
      <c r="G574" s="5">
        <v>40</v>
      </c>
      <c r="H574" s="5">
        <v>40</v>
      </c>
      <c r="I574" s="3">
        <v>89500</v>
      </c>
      <c r="J574" s="3">
        <v>6495590000</v>
      </c>
      <c r="K574" s="3">
        <v>17322000</v>
      </c>
      <c r="L574" s="3">
        <v>21664000</v>
      </c>
      <c r="M574" s="3">
        <v>269</v>
      </c>
      <c r="N574" s="5">
        <f t="shared" si="58"/>
        <v>53700</v>
      </c>
      <c r="O574" s="3">
        <v>3434250000</v>
      </c>
      <c r="P574" s="3">
        <v>13737000</v>
      </c>
      <c r="Q574" s="3">
        <v>16329000</v>
      </c>
      <c r="R574" s="5">
        <v>196</v>
      </c>
      <c r="T574" s="3">
        <v>7533390000</v>
      </c>
      <c r="U574" s="4"/>
      <c r="V574" s="5">
        <f t="shared" si="59"/>
        <v>35800</v>
      </c>
      <c r="W574" s="8"/>
      <c r="X574" s="9" t="str">
        <f t="shared" si="64"/>
        <v>a</v>
      </c>
      <c r="Y574" s="9" t="str">
        <f t="shared" si="64"/>
        <v>a</v>
      </c>
      <c r="Z574" s="31">
        <f t="shared" si="60"/>
        <v>11589000</v>
      </c>
      <c r="AA574" s="31">
        <f t="shared" si="61"/>
        <v>8664000</v>
      </c>
    </row>
    <row r="575" spans="1:27" ht="13">
      <c r="A575" s="9">
        <v>573</v>
      </c>
      <c r="B575" s="3" t="s">
        <v>1927</v>
      </c>
      <c r="C575" s="3"/>
      <c r="D575" s="5">
        <v>779</v>
      </c>
      <c r="E575" s="3">
        <v>750</v>
      </c>
      <c r="F575" s="3">
        <v>500</v>
      </c>
      <c r="G575" s="5">
        <v>45</v>
      </c>
      <c r="H575" s="5">
        <v>45</v>
      </c>
      <c r="I575" s="3">
        <v>99200</v>
      </c>
      <c r="J575" s="3">
        <v>7055680000</v>
      </c>
      <c r="K575" s="3">
        <v>18815000</v>
      </c>
      <c r="L575" s="3">
        <v>23752000</v>
      </c>
      <c r="M575" s="3">
        <v>267</v>
      </c>
      <c r="N575" s="5">
        <f t="shared" si="58"/>
        <v>59520</v>
      </c>
      <c r="O575" s="3">
        <v>3718560000</v>
      </c>
      <c r="P575" s="3">
        <v>14874000</v>
      </c>
      <c r="Q575" s="3">
        <v>17879000</v>
      </c>
      <c r="R575" s="5">
        <v>194</v>
      </c>
      <c r="T575" s="3">
        <v>8266380000</v>
      </c>
      <c r="U575" s="4"/>
      <c r="V575" s="5">
        <f t="shared" si="59"/>
        <v>39680</v>
      </c>
      <c r="W575" s="8"/>
      <c r="X575" s="9" t="str">
        <f t="shared" si="64"/>
        <v>a</v>
      </c>
      <c r="Y575" s="9" t="str">
        <f t="shared" si="64"/>
        <v>a</v>
      </c>
      <c r="Z575" s="31">
        <f t="shared" si="60"/>
        <v>12831750</v>
      </c>
      <c r="AA575" s="31">
        <f t="shared" si="61"/>
        <v>9569250</v>
      </c>
    </row>
    <row r="576" spans="1:27" ht="13">
      <c r="A576" s="9">
        <v>574</v>
      </c>
      <c r="B576" s="3" t="s">
        <v>1928</v>
      </c>
      <c r="C576" s="3"/>
      <c r="D576" s="5">
        <v>781</v>
      </c>
      <c r="E576" s="3">
        <v>750</v>
      </c>
      <c r="F576" s="3">
        <v>750</v>
      </c>
      <c r="G576" s="5">
        <v>36</v>
      </c>
      <c r="H576" s="5">
        <v>36</v>
      </c>
      <c r="I576" s="3">
        <v>99500</v>
      </c>
      <c r="J576" s="3">
        <v>8305910000</v>
      </c>
      <c r="K576" s="3">
        <v>22149000</v>
      </c>
      <c r="L576" s="3">
        <v>26323000</v>
      </c>
      <c r="M576" s="3">
        <v>289</v>
      </c>
      <c r="N576" s="5">
        <f t="shared" si="58"/>
        <v>49750</v>
      </c>
      <c r="O576" s="3">
        <v>8305910000</v>
      </c>
      <c r="P576" s="3">
        <v>22149000</v>
      </c>
      <c r="Q576" s="3">
        <v>26323000</v>
      </c>
      <c r="R576" s="5">
        <v>289</v>
      </c>
      <c r="T576" s="3">
        <v>13453730000</v>
      </c>
      <c r="U576" s="4"/>
      <c r="V576" s="5">
        <f t="shared" si="59"/>
        <v>49750</v>
      </c>
      <c r="W576" s="8"/>
      <c r="X576" s="9" t="str">
        <f t="shared" si="64"/>
        <v>a</v>
      </c>
      <c r="Y576" s="9" t="str">
        <f t="shared" si="64"/>
        <v>a</v>
      </c>
      <c r="Z576" s="31">
        <f t="shared" si="60"/>
        <v>13776156</v>
      </c>
      <c r="AA576" s="31">
        <f t="shared" si="61"/>
        <v>13776156</v>
      </c>
    </row>
    <row r="577" spans="1:27" ht="13">
      <c r="A577" s="9">
        <v>575</v>
      </c>
      <c r="B577" s="3" t="s">
        <v>1929</v>
      </c>
      <c r="C577" s="3"/>
      <c r="D577" s="5">
        <v>852</v>
      </c>
      <c r="E577" s="3">
        <v>750</v>
      </c>
      <c r="F577" s="3">
        <v>500</v>
      </c>
      <c r="G577" s="5">
        <v>50</v>
      </c>
      <c r="H577" s="5">
        <v>50</v>
      </c>
      <c r="I577" s="3">
        <v>108600</v>
      </c>
      <c r="J577" s="3">
        <v>7564879999.999999</v>
      </c>
      <c r="K577" s="3">
        <v>20173000</v>
      </c>
      <c r="L577" s="3">
        <v>25709000</v>
      </c>
      <c r="M577" s="3">
        <v>264</v>
      </c>
      <c r="N577" s="5">
        <f t="shared" si="58"/>
        <v>65160</v>
      </c>
      <c r="O577" s="3">
        <v>3974610000</v>
      </c>
      <c r="P577" s="3">
        <v>15898000</v>
      </c>
      <c r="Q577" s="3">
        <v>19326000</v>
      </c>
      <c r="R577" s="5">
        <v>191</v>
      </c>
      <c r="T577" s="3">
        <v>8952350000</v>
      </c>
      <c r="U577" s="4"/>
      <c r="V577" s="5">
        <f t="shared" si="59"/>
        <v>43440</v>
      </c>
      <c r="W577" s="8"/>
      <c r="X577" s="9" t="str">
        <f t="shared" si="64"/>
        <v>a</v>
      </c>
      <c r="Y577" s="9" t="str">
        <f t="shared" si="64"/>
        <v>a</v>
      </c>
      <c r="Z577" s="31">
        <f t="shared" si="60"/>
        <v>14031250</v>
      </c>
      <c r="AA577" s="31">
        <f t="shared" si="61"/>
        <v>10437500</v>
      </c>
    </row>
    <row r="578" spans="1:27" ht="13">
      <c r="A578" s="9">
        <v>576</v>
      </c>
      <c r="B578" s="3" t="s">
        <v>1930</v>
      </c>
      <c r="C578" s="3"/>
      <c r="D578" s="5">
        <v>859</v>
      </c>
      <c r="E578" s="3">
        <v>750</v>
      </c>
      <c r="F578" s="3">
        <v>750</v>
      </c>
      <c r="G578" s="5">
        <v>40</v>
      </c>
      <c r="H578" s="5">
        <v>40</v>
      </c>
      <c r="I578" s="3">
        <v>109500</v>
      </c>
      <c r="J578" s="3">
        <v>9018760000</v>
      </c>
      <c r="K578" s="3">
        <v>24050000</v>
      </c>
      <c r="L578" s="3">
        <v>28764000</v>
      </c>
      <c r="M578" s="3">
        <v>287</v>
      </c>
      <c r="N578" s="5">
        <f t="shared" si="58"/>
        <v>54750</v>
      </c>
      <c r="O578" s="3">
        <v>9018760000</v>
      </c>
      <c r="P578" s="3">
        <v>24050000</v>
      </c>
      <c r="Q578" s="3">
        <v>28764000</v>
      </c>
      <c r="R578" s="5">
        <v>287</v>
      </c>
      <c r="T578" s="3">
        <v>14732070000</v>
      </c>
      <c r="U578" s="4"/>
      <c r="V578" s="5">
        <f t="shared" si="59"/>
        <v>54750</v>
      </c>
      <c r="W578" s="8"/>
      <c r="X578" s="9" t="str">
        <f t="shared" si="64"/>
        <v>a</v>
      </c>
      <c r="Y578" s="9" t="str">
        <f t="shared" si="64"/>
        <v>a</v>
      </c>
      <c r="Z578" s="31">
        <f t="shared" si="60"/>
        <v>15139000</v>
      </c>
      <c r="AA578" s="31">
        <f t="shared" si="61"/>
        <v>15139000</v>
      </c>
    </row>
    <row r="579" spans="1:27" ht="13">
      <c r="A579" s="9">
        <v>577</v>
      </c>
      <c r="B579" s="3" t="s">
        <v>1931</v>
      </c>
      <c r="C579" s="3"/>
      <c r="D579" s="5">
        <v>955</v>
      </c>
      <c r="E579" s="3">
        <v>750</v>
      </c>
      <c r="F579" s="3">
        <v>750</v>
      </c>
      <c r="G579" s="5">
        <v>45</v>
      </c>
      <c r="H579" s="5">
        <v>45</v>
      </c>
      <c r="I579" s="3">
        <v>121700</v>
      </c>
      <c r="J579" s="3">
        <v>9855240000</v>
      </c>
      <c r="K579" s="3">
        <v>26281000</v>
      </c>
      <c r="L579" s="3">
        <v>31683000</v>
      </c>
      <c r="M579" s="3">
        <v>285</v>
      </c>
      <c r="N579" s="5">
        <f t="shared" ref="N579:N584" si="65">I579*E579/(F579+E579)</f>
        <v>60850</v>
      </c>
      <c r="O579" s="3">
        <v>9855240000</v>
      </c>
      <c r="P579" s="3">
        <v>26281000</v>
      </c>
      <c r="Q579" s="3">
        <v>31683000</v>
      </c>
      <c r="R579" s="5">
        <v>285</v>
      </c>
      <c r="T579" s="3">
        <v>16268220000</v>
      </c>
      <c r="U579" s="4"/>
      <c r="V579" s="5">
        <f t="shared" ref="V579:V584" si="66">I579*F579/(E579+F579)</f>
        <v>60850</v>
      </c>
      <c r="W579" s="8"/>
      <c r="X579" s="9" t="str">
        <f t="shared" si="64"/>
        <v>a</v>
      </c>
      <c r="Y579" s="9" t="str">
        <f t="shared" si="64"/>
        <v>a</v>
      </c>
      <c r="Z579" s="31">
        <f t="shared" ref="Z579:Z584" si="67">(H579*(0.5*E579-G579)^2)+(F579*G579)*(0.5*E579-0.5*G579)</f>
        <v>16797375</v>
      </c>
      <c r="AA579" s="31">
        <f t="shared" ref="AA579:AA584" si="68">(H579*(0.5*F579-G579)^2)+(E579*G579)*(0.5*F579-0.5*G579)</f>
        <v>16797375</v>
      </c>
    </row>
    <row r="580" spans="1:27" ht="13">
      <c r="A580" s="9">
        <v>578</v>
      </c>
      <c r="B580" s="3" t="s">
        <v>1932</v>
      </c>
      <c r="C580" s="3"/>
      <c r="D580" s="5">
        <v>1048</v>
      </c>
      <c r="E580" s="3">
        <v>750</v>
      </c>
      <c r="F580" s="3">
        <v>750</v>
      </c>
      <c r="G580" s="5">
        <v>50</v>
      </c>
      <c r="H580" s="5">
        <v>50</v>
      </c>
      <c r="I580" s="3">
        <v>133600</v>
      </c>
      <c r="J580" s="3">
        <v>10632590000</v>
      </c>
      <c r="K580" s="3">
        <v>28354000</v>
      </c>
      <c r="L580" s="3">
        <v>34459000</v>
      </c>
      <c r="M580" s="3">
        <v>282</v>
      </c>
      <c r="N580" s="5">
        <f t="shared" si="65"/>
        <v>66800</v>
      </c>
      <c r="O580" s="3">
        <v>10632590000</v>
      </c>
      <c r="P580" s="3">
        <v>28354000</v>
      </c>
      <c r="Q580" s="3">
        <v>34459000</v>
      </c>
      <c r="R580" s="5">
        <v>282</v>
      </c>
      <c r="T580" s="3">
        <v>17735430000</v>
      </c>
      <c r="U580" s="4"/>
      <c r="V580" s="5">
        <f t="shared" si="66"/>
        <v>66800</v>
      </c>
      <c r="W580" s="8"/>
      <c r="X580" s="9" t="str">
        <f t="shared" si="64"/>
        <v>a</v>
      </c>
      <c r="Y580" s="9" t="str">
        <f t="shared" si="64"/>
        <v>a</v>
      </c>
      <c r="Z580" s="31">
        <f t="shared" si="67"/>
        <v>18406250</v>
      </c>
      <c r="AA580" s="31">
        <f t="shared" si="68"/>
        <v>18406250</v>
      </c>
    </row>
    <row r="581" spans="1:27" ht="13">
      <c r="A581" s="9">
        <v>579</v>
      </c>
      <c r="B581" s="3" t="s">
        <v>1933</v>
      </c>
      <c r="C581" s="3"/>
      <c r="D581" s="5">
        <v>1139</v>
      </c>
      <c r="E581" s="3">
        <v>750</v>
      </c>
      <c r="F581" s="3">
        <v>750</v>
      </c>
      <c r="G581" s="5">
        <v>55</v>
      </c>
      <c r="H581" s="5">
        <v>55</v>
      </c>
      <c r="I581" s="3">
        <v>145100</v>
      </c>
      <c r="J581" s="3">
        <v>11352410000</v>
      </c>
      <c r="K581" s="3">
        <v>30273000</v>
      </c>
      <c r="L581" s="3">
        <v>37092000</v>
      </c>
      <c r="M581" s="3">
        <v>280</v>
      </c>
      <c r="N581" s="5">
        <f t="shared" si="65"/>
        <v>72550</v>
      </c>
      <c r="O581" s="3">
        <v>11352410000</v>
      </c>
      <c r="P581" s="3">
        <v>30273000</v>
      </c>
      <c r="Q581" s="3">
        <v>37092000</v>
      </c>
      <c r="R581" s="5">
        <v>280</v>
      </c>
      <c r="T581" s="3">
        <v>19133350000</v>
      </c>
      <c r="U581" s="4"/>
      <c r="V581" s="5">
        <f t="shared" si="66"/>
        <v>72550</v>
      </c>
      <c r="W581" s="8"/>
      <c r="X581" s="9" t="str">
        <f t="shared" si="64"/>
        <v>a</v>
      </c>
      <c r="Y581" s="9" t="str">
        <f t="shared" si="64"/>
        <v>a</v>
      </c>
      <c r="Z581" s="31">
        <f t="shared" si="67"/>
        <v>19966375</v>
      </c>
      <c r="AA581" s="31">
        <f t="shared" si="68"/>
        <v>19966375</v>
      </c>
    </row>
    <row r="582" spans="1:27" ht="13">
      <c r="A582" s="9">
        <v>580</v>
      </c>
      <c r="B582" s="3" t="s">
        <v>1934</v>
      </c>
      <c r="C582" s="3"/>
      <c r="D582" s="5">
        <v>1227</v>
      </c>
      <c r="E582" s="3">
        <v>750</v>
      </c>
      <c r="F582" s="3">
        <v>750</v>
      </c>
      <c r="G582" s="5">
        <v>60</v>
      </c>
      <c r="H582" s="5">
        <v>60</v>
      </c>
      <c r="I582" s="3">
        <v>156300</v>
      </c>
      <c r="J582" s="3">
        <v>12016289999.999998</v>
      </c>
      <c r="K582" s="3">
        <v>32043000</v>
      </c>
      <c r="L582" s="3">
        <v>39585000</v>
      </c>
      <c r="M582" s="3">
        <v>277</v>
      </c>
      <c r="N582" s="5">
        <f t="shared" si="65"/>
        <v>78150</v>
      </c>
      <c r="O582" s="3">
        <v>12016289999.999998</v>
      </c>
      <c r="P582" s="3">
        <v>32043000</v>
      </c>
      <c r="Q582" s="3">
        <v>39585000</v>
      </c>
      <c r="R582" s="5">
        <v>277</v>
      </c>
      <c r="T582" s="3">
        <v>20461629999.999996</v>
      </c>
      <c r="U582" s="4"/>
      <c r="V582" s="5">
        <f t="shared" si="66"/>
        <v>78150</v>
      </c>
      <c r="W582" s="8"/>
      <c r="X582" s="9" t="str">
        <f t="shared" si="64"/>
        <v>a</v>
      </c>
      <c r="Y582" s="9" t="str">
        <f t="shared" si="64"/>
        <v>a</v>
      </c>
      <c r="Z582" s="31">
        <f t="shared" si="67"/>
        <v>21478500</v>
      </c>
      <c r="AA582" s="31">
        <f t="shared" si="68"/>
        <v>21478500</v>
      </c>
    </row>
    <row r="583" spans="1:27" ht="13">
      <c r="A583" s="9">
        <v>581</v>
      </c>
      <c r="B583" s="3" t="s">
        <v>1935</v>
      </c>
      <c r="C583" s="3"/>
      <c r="D583" s="5">
        <v>1313</v>
      </c>
      <c r="E583" s="3">
        <v>750</v>
      </c>
      <c r="F583" s="3">
        <v>750</v>
      </c>
      <c r="G583" s="5">
        <v>65</v>
      </c>
      <c r="H583" s="5">
        <v>65</v>
      </c>
      <c r="I583" s="3">
        <v>167200</v>
      </c>
      <c r="J583" s="3">
        <v>12625790000</v>
      </c>
      <c r="K583" s="3">
        <v>33669000</v>
      </c>
      <c r="L583" s="3">
        <v>41939000</v>
      </c>
      <c r="M583" s="3">
        <v>275</v>
      </c>
      <c r="N583" s="5">
        <f t="shared" si="65"/>
        <v>83600</v>
      </c>
      <c r="O583" s="3">
        <v>12625790000</v>
      </c>
      <c r="P583" s="3">
        <v>33669000</v>
      </c>
      <c r="Q583" s="3">
        <v>41939000</v>
      </c>
      <c r="R583" s="5">
        <v>275</v>
      </c>
      <c r="T583" s="3">
        <v>21719900000</v>
      </c>
      <c r="U583" s="4"/>
      <c r="V583" s="5">
        <f t="shared" si="66"/>
        <v>83600</v>
      </c>
      <c r="W583" s="8"/>
      <c r="X583" s="9" t="str">
        <f t="shared" si="64"/>
        <v>a</v>
      </c>
      <c r="Y583" s="9" t="str">
        <f t="shared" si="64"/>
        <v>a</v>
      </c>
      <c r="Z583" s="31">
        <f t="shared" si="67"/>
        <v>22943375</v>
      </c>
      <c r="AA583" s="31">
        <f t="shared" si="68"/>
        <v>22943375</v>
      </c>
    </row>
    <row r="584" spans="1:27" ht="13">
      <c r="A584" s="9">
        <v>582</v>
      </c>
      <c r="B584" s="3" t="s">
        <v>1936</v>
      </c>
      <c r="C584" s="3"/>
      <c r="D584" s="5">
        <v>1396</v>
      </c>
      <c r="E584" s="3">
        <v>750</v>
      </c>
      <c r="F584" s="3">
        <v>750</v>
      </c>
      <c r="G584" s="5">
        <v>70</v>
      </c>
      <c r="H584" s="5">
        <v>70</v>
      </c>
      <c r="I584" s="3">
        <v>177800</v>
      </c>
      <c r="J584" s="3">
        <v>13182470000</v>
      </c>
      <c r="K584" s="3">
        <v>35153000</v>
      </c>
      <c r="L584" s="3">
        <v>44157000</v>
      </c>
      <c r="M584" s="3">
        <v>272</v>
      </c>
      <c r="N584" s="5">
        <f t="shared" si="65"/>
        <v>88900</v>
      </c>
      <c r="O584" s="3">
        <v>13182470000</v>
      </c>
      <c r="P584" s="3">
        <v>35153000</v>
      </c>
      <c r="Q584" s="3">
        <v>44157000</v>
      </c>
      <c r="R584" s="5">
        <v>272</v>
      </c>
      <c r="T584" s="3">
        <v>22907820000</v>
      </c>
      <c r="U584" s="4"/>
      <c r="V584" s="5">
        <f t="shared" si="66"/>
        <v>88900</v>
      </c>
      <c r="W584" s="8"/>
      <c r="X584" s="9" t="str">
        <f t="shared" si="64"/>
        <v>a</v>
      </c>
      <c r="Y584" s="9" t="str">
        <f t="shared" si="64"/>
        <v>a</v>
      </c>
      <c r="Z584" s="31">
        <f t="shared" si="67"/>
        <v>24361750</v>
      </c>
      <c r="AA584" s="31">
        <f t="shared" si="68"/>
        <v>24361750</v>
      </c>
    </row>
  </sheetData>
  <phoneticPr fontId="3" type="noConversion"/>
  <pageMargins left="0.78740157499999996" right="0.78740157499999996" top="0.984251969" bottom="0.984251969" header="0.4921259845" footer="0.4921259845"/>
  <headerFooter alignWithMargins="0">
    <oddFooter>&amp;R_x000D_&amp;1#&amp;"Aptos"&amp;10&amp;K000000 Data sensitivity - Public</oddFooter>
  </headerFooter>
  <legacy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euil10"/>
  <dimension ref="A1:AF414"/>
  <sheetViews>
    <sheetView topLeftCell="D1" workbookViewId="0">
      <selection activeCell="G38" sqref="G38"/>
    </sheetView>
  </sheetViews>
  <sheetFormatPr defaultColWidth="10.90625" defaultRowHeight="12.5"/>
  <cols>
    <col min="1" max="1" width="11.453125" style="9"/>
    <col min="12" max="12" width="13.1796875" customWidth="1"/>
    <col min="20" max="20" width="15" customWidth="1"/>
    <col min="22" max="23" width="11.453125" style="9"/>
  </cols>
  <sheetData>
    <row r="1" spans="1:32" ht="13">
      <c r="B1" s="3" t="s">
        <v>195</v>
      </c>
      <c r="C1" s="3"/>
      <c r="D1" s="31" t="s">
        <v>11</v>
      </c>
      <c r="E1" s="31" t="s">
        <v>12</v>
      </c>
      <c r="F1" s="31" t="s">
        <v>13</v>
      </c>
      <c r="G1" s="32" t="s">
        <v>14</v>
      </c>
      <c r="H1" s="32" t="s">
        <v>15</v>
      </c>
      <c r="I1" s="31" t="s">
        <v>16</v>
      </c>
      <c r="J1" s="31" t="s">
        <v>2</v>
      </c>
      <c r="K1" s="31" t="s">
        <v>4</v>
      </c>
      <c r="L1" s="31" t="s">
        <v>17</v>
      </c>
      <c r="M1" s="31" t="s">
        <v>6</v>
      </c>
      <c r="N1" s="31" t="s">
        <v>18</v>
      </c>
      <c r="O1" s="31" t="s">
        <v>7</v>
      </c>
      <c r="P1" s="31" t="s">
        <v>8</v>
      </c>
      <c r="Q1" s="31" t="s">
        <v>19</v>
      </c>
      <c r="R1" s="32" t="s">
        <v>9</v>
      </c>
      <c r="S1" s="31" t="s">
        <v>20</v>
      </c>
      <c r="T1" s="31" t="s">
        <v>10</v>
      </c>
      <c r="U1" s="31" t="s">
        <v>21</v>
      </c>
      <c r="V1" s="31" t="s">
        <v>191</v>
      </c>
      <c r="W1" s="31" t="s">
        <v>211</v>
      </c>
      <c r="X1" s="4" t="s">
        <v>241</v>
      </c>
      <c r="Y1" s="4" t="s">
        <v>243</v>
      </c>
      <c r="Z1" s="31" t="s">
        <v>334</v>
      </c>
      <c r="AA1" s="4" t="s">
        <v>532</v>
      </c>
      <c r="AB1" s="4"/>
      <c r="AC1" s="4"/>
      <c r="AD1" s="4"/>
      <c r="AE1" s="4"/>
      <c r="AF1" s="4"/>
    </row>
    <row r="2" spans="1:32" s="9" customFormat="1" ht="13">
      <c r="A2" s="9" t="s">
        <v>196</v>
      </c>
      <c r="B2" s="59" t="s">
        <v>197</v>
      </c>
      <c r="C2" s="59"/>
      <c r="D2" s="59" t="s">
        <v>22</v>
      </c>
      <c r="E2" s="59" t="s">
        <v>0</v>
      </c>
      <c r="F2" s="59" t="s">
        <v>0</v>
      </c>
      <c r="G2" s="32" t="s">
        <v>0</v>
      </c>
      <c r="H2" s="32" t="s">
        <v>0</v>
      </c>
      <c r="I2" s="59" t="s">
        <v>1</v>
      </c>
      <c r="J2" s="59" t="s">
        <v>3</v>
      </c>
      <c r="K2" s="59" t="s">
        <v>5</v>
      </c>
      <c r="L2" s="59" t="s">
        <v>5</v>
      </c>
      <c r="M2" s="59" t="s">
        <v>0</v>
      </c>
      <c r="N2" s="59" t="s">
        <v>1</v>
      </c>
      <c r="O2" s="59" t="s">
        <v>3</v>
      </c>
      <c r="P2" s="59" t="s">
        <v>5</v>
      </c>
      <c r="Q2" s="59" t="s">
        <v>5</v>
      </c>
      <c r="R2" s="32" t="s">
        <v>0</v>
      </c>
      <c r="S2" s="59" t="s">
        <v>0</v>
      </c>
      <c r="T2" s="59" t="s">
        <v>3</v>
      </c>
      <c r="U2" s="31" t="s">
        <v>23</v>
      </c>
      <c r="V2" s="31" t="s">
        <v>1</v>
      </c>
      <c r="W2" s="31" t="s">
        <v>0</v>
      </c>
      <c r="X2" s="4" t="s">
        <v>242</v>
      </c>
      <c r="Y2" s="4" t="s">
        <v>244</v>
      </c>
      <c r="Z2" s="31" t="s">
        <v>5</v>
      </c>
      <c r="AA2" s="31" t="s">
        <v>0</v>
      </c>
      <c r="AB2" s="31"/>
      <c r="AC2" s="31"/>
      <c r="AD2" s="31"/>
      <c r="AE2" s="31"/>
      <c r="AF2" s="31"/>
    </row>
    <row r="3" spans="1:32" ht="13">
      <c r="A3" s="9">
        <v>1</v>
      </c>
      <c r="B3" s="58" t="s">
        <v>198</v>
      </c>
      <c r="D3" s="4">
        <f>I3/1000000*7850</f>
        <v>1440.2317361117048</v>
      </c>
      <c r="E3" s="4">
        <f>VALUE(LEFT(B3,(FIND("x",B3,1)-1)))</f>
        <v>1500</v>
      </c>
      <c r="F3" s="4">
        <f>E3</f>
        <v>1500</v>
      </c>
      <c r="G3" s="5">
        <f>VALUE(RIGHT(B3,(LEN(B3)-(FIND("x",B3,1)-1)-1)))</f>
        <v>40</v>
      </c>
      <c r="H3" s="5">
        <f>G3</f>
        <v>40</v>
      </c>
      <c r="I3" s="4">
        <f>0.25*PI()*(E3^2-(E3-2*G3)^2)</f>
        <v>183469.01096964392</v>
      </c>
      <c r="J3" s="4">
        <f>PI()*(E3^4-(E3-2*G3)^4)/64</f>
        <v>48922011775.05555</v>
      </c>
      <c r="K3" s="4">
        <f>PI()*(E3^4-(E3-2*G3)^4)/(32*E3)</f>
        <v>65229349.033407398</v>
      </c>
      <c r="L3" s="4">
        <f>(E3^3-(E3-2*G3)^3)/6</f>
        <v>85285333.333333328</v>
      </c>
      <c r="M3" s="4">
        <f>SQRT(J3/I3)</f>
        <v>516.38164181155787</v>
      </c>
      <c r="N3" s="4">
        <f>I3/2</f>
        <v>91734.505484821959</v>
      </c>
      <c r="O3" s="4">
        <f>J3</f>
        <v>48922011775.05555</v>
      </c>
      <c r="P3" s="4">
        <f>K3</f>
        <v>65229349.033407398</v>
      </c>
      <c r="Q3" s="4">
        <f>L3</f>
        <v>85285333.333333328</v>
      </c>
      <c r="R3" s="5">
        <f>M3</f>
        <v>516.38164181155787</v>
      </c>
      <c r="S3" s="4"/>
      <c r="T3" s="4">
        <f>PI()*((E3-G3)^2)*G3/2</f>
        <v>133932378.00784007</v>
      </c>
      <c r="U3" s="4"/>
      <c r="V3" s="31">
        <f>N3</f>
        <v>91734.505484821959</v>
      </c>
      <c r="X3" s="4" t="s">
        <v>80</v>
      </c>
      <c r="Y3" s="4" t="s">
        <v>80</v>
      </c>
      <c r="Z3" s="4"/>
      <c r="AA3" s="4"/>
      <c r="AB3" s="4"/>
      <c r="AC3" s="4"/>
    </row>
    <row r="4" spans="1:32" ht="13">
      <c r="A4" s="9">
        <v>2</v>
      </c>
      <c r="B4" t="s">
        <v>620</v>
      </c>
      <c r="D4" s="4">
        <f>I4/1000000*7850</f>
        <v>10.5975</v>
      </c>
      <c r="E4">
        <v>50</v>
      </c>
      <c r="F4">
        <v>95</v>
      </c>
      <c r="G4">
        <v>10</v>
      </c>
      <c r="H4">
        <v>10</v>
      </c>
      <c r="I4">
        <f>F4*H4+(E4-H4)*G4</f>
        <v>1350</v>
      </c>
      <c r="J4">
        <v>237176</v>
      </c>
      <c r="K4">
        <v>6309</v>
      </c>
      <c r="L4" s="4">
        <v>11953</v>
      </c>
      <c r="M4">
        <f>SQRT(J4/I4)</f>
        <v>13.254656763791582</v>
      </c>
      <c r="N4" s="4">
        <f>I4/2</f>
        <v>675</v>
      </c>
      <c r="O4">
        <f>1/12*H4*F4^3+1/12*(E4-H4)*G4^3</f>
        <v>717812.5</v>
      </c>
      <c r="P4">
        <v>15111.8</v>
      </c>
      <c r="Q4" s="4">
        <v>23562.5</v>
      </c>
      <c r="R4">
        <f>SQRT(O4/I4)</f>
        <v>23.058902032901802</v>
      </c>
      <c r="T4" s="4">
        <v>40800</v>
      </c>
      <c r="V4" s="31">
        <f>N4</f>
        <v>675</v>
      </c>
      <c r="X4" s="4" t="s">
        <v>80</v>
      </c>
      <c r="Y4" s="4" t="s">
        <v>80</v>
      </c>
      <c r="AA4">
        <f>(F4*H4^2/2+(E4-H4)*G4*(E4/2-H4/2+H4))/I4</f>
        <v>12.407407407407407</v>
      </c>
    </row>
    <row r="5" spans="1:32" ht="13">
      <c r="A5" s="9">
        <v>3</v>
      </c>
      <c r="B5" s="87" t="s">
        <v>617</v>
      </c>
      <c r="D5" s="4">
        <f>I5/1000000*7850</f>
        <v>32.185000000000002</v>
      </c>
      <c r="E5">
        <v>320</v>
      </c>
      <c r="F5">
        <v>100</v>
      </c>
      <c r="G5">
        <v>10</v>
      </c>
      <c r="H5">
        <v>10</v>
      </c>
      <c r="I5">
        <f>F5*H5+(E5-H5)*G5</f>
        <v>4100</v>
      </c>
      <c r="J5">
        <f>1/12*F5*H5^3+H5*F5*(AA5-H5)^2+1/12*G5*(E5-H5)^3+G5*(E5-H5)*(E5/2-H5/2+H5-AA5)^2</f>
        <v>43005508.130081303</v>
      </c>
      <c r="K5">
        <f>J5/MIN(E5-AA5,AA5)</f>
        <v>341379.6385930946</v>
      </c>
      <c r="L5" s="4">
        <f>(E5^3-(E5-2*G5)^3)/6</f>
        <v>961333.33333333337</v>
      </c>
      <c r="M5">
        <f>SQRT(J5/I5)</f>
        <v>102.41654321646516</v>
      </c>
      <c r="N5" s="4">
        <f>I5/2</f>
        <v>2050</v>
      </c>
      <c r="O5">
        <f>1/12*H5*F5^3+1/12*(E5-H5)*G5^3</f>
        <v>859166.66666666663</v>
      </c>
      <c r="P5">
        <f>O5/F5/2</f>
        <v>4295.833333333333</v>
      </c>
      <c r="Q5" s="4">
        <f>L5</f>
        <v>961333.33333333337</v>
      </c>
      <c r="R5">
        <f>SQRT(O5/I5)</f>
        <v>14.475940229513773</v>
      </c>
      <c r="T5" s="4">
        <f>PI()*((E5-G5)^2)*G5/2</f>
        <v>1509535.2700498956</v>
      </c>
      <c r="V5" s="31">
        <f>N5</f>
        <v>2050</v>
      </c>
      <c r="X5" s="4" t="s">
        <v>80</v>
      </c>
      <c r="Y5" s="4" t="s">
        <v>80</v>
      </c>
      <c r="AA5">
        <f>(F5*H5^2/2+(E5-H5)*G5*(E5/2-H5/2+H5))/I5</f>
        <v>125.97560975609755</v>
      </c>
    </row>
    <row r="6" spans="1:32">
      <c r="A6" s="9">
        <v>4</v>
      </c>
      <c r="B6" t="s">
        <v>199</v>
      </c>
    </row>
    <row r="7" spans="1:32" ht="13">
      <c r="A7" s="9">
        <v>3</v>
      </c>
      <c r="B7" s="87" t="s">
        <v>617</v>
      </c>
      <c r="D7" s="4">
        <f>I7/1000000*7850</f>
        <v>32.185000000000002</v>
      </c>
      <c r="E7">
        <v>320</v>
      </c>
      <c r="F7">
        <v>100</v>
      </c>
      <c r="G7">
        <v>10</v>
      </c>
      <c r="H7">
        <v>10</v>
      </c>
      <c r="I7">
        <f>F7*H7+(E7-H7)*G7</f>
        <v>4100</v>
      </c>
      <c r="J7">
        <f>1/12*F7*H7^3+H7*F7*(AA7-H7)^2+1/12*G7*(E7-H7)^3+G7*(E7-H7)*(E7/2-H7/2+H7-AA7)^2</f>
        <v>43005508.130081303</v>
      </c>
      <c r="K7">
        <v>227756</v>
      </c>
      <c r="L7" s="4">
        <v>375250</v>
      </c>
      <c r="M7">
        <v>103.8</v>
      </c>
      <c r="N7" s="4">
        <f>I7/2</f>
        <v>2050</v>
      </c>
      <c r="O7">
        <f>1/12*H7*F7^3+1/12*(E7-H7)*G7^3</f>
        <v>859166.66666666663</v>
      </c>
      <c r="P7">
        <v>17183</v>
      </c>
      <c r="Q7" s="4">
        <v>32750</v>
      </c>
      <c r="R7">
        <f>SQRT(O7/I7)</f>
        <v>14.475940229513773</v>
      </c>
      <c r="T7" s="4">
        <v>132467</v>
      </c>
      <c r="V7" s="31">
        <f>N7</f>
        <v>2050</v>
      </c>
      <c r="X7" s="4" t="s">
        <v>80</v>
      </c>
      <c r="Y7" s="4" t="s">
        <v>80</v>
      </c>
      <c r="AA7">
        <f>(F7*H7^2/2+(E7-H7)*G7*(E7/2-H7/2+H7))/I7</f>
        <v>125.97560975609755</v>
      </c>
    </row>
    <row r="8" spans="1:32">
      <c r="A8" s="9">
        <v>6</v>
      </c>
      <c r="B8" t="s">
        <v>199</v>
      </c>
    </row>
    <row r="9" spans="1:32">
      <c r="A9" s="9">
        <v>7</v>
      </c>
      <c r="B9" t="s">
        <v>199</v>
      </c>
    </row>
    <row r="10" spans="1:32">
      <c r="A10" s="9">
        <v>8</v>
      </c>
      <c r="B10" t="s">
        <v>199</v>
      </c>
    </row>
    <row r="11" spans="1:32" ht="13">
      <c r="A11" s="9">
        <v>9</v>
      </c>
      <c r="B11" s="87" t="s">
        <v>618</v>
      </c>
      <c r="D11" s="4">
        <f>I11/1000000*7850</f>
        <v>51.731500000000004</v>
      </c>
      <c r="E11">
        <v>280</v>
      </c>
      <c r="F11">
        <v>95</v>
      </c>
      <c r="G11">
        <v>10</v>
      </c>
      <c r="H11">
        <v>10</v>
      </c>
      <c r="I11">
        <v>6590</v>
      </c>
      <c r="J11" s="278">
        <v>51270000</v>
      </c>
      <c r="K11">
        <v>321972</v>
      </c>
      <c r="L11" s="4">
        <v>509526</v>
      </c>
      <c r="M11">
        <v>88.2</v>
      </c>
      <c r="N11" s="4">
        <f>I11/2</f>
        <v>3295</v>
      </c>
      <c r="O11" s="278">
        <v>5530000</v>
      </c>
      <c r="P11">
        <v>100819</v>
      </c>
      <c r="Q11" s="4">
        <v>164754</v>
      </c>
      <c r="R11">
        <v>28.98</v>
      </c>
      <c r="T11" s="4">
        <v>11450000</v>
      </c>
      <c r="V11" s="31">
        <f>N11</f>
        <v>3295</v>
      </c>
      <c r="X11" s="4" t="s">
        <v>80</v>
      </c>
      <c r="Y11" s="4" t="s">
        <v>80</v>
      </c>
      <c r="AA11">
        <v>121</v>
      </c>
    </row>
    <row r="12" spans="1:32">
      <c r="A12" s="9">
        <v>10</v>
      </c>
      <c r="B12" t="s">
        <v>199</v>
      </c>
    </row>
    <row r="13" spans="1:32">
      <c r="A13" s="9">
        <v>11</v>
      </c>
      <c r="B13" t="s">
        <v>199</v>
      </c>
    </row>
    <row r="14" spans="1:32">
      <c r="A14" s="9">
        <v>12</v>
      </c>
      <c r="B14" t="s">
        <v>199</v>
      </c>
    </row>
    <row r="15" spans="1:32">
      <c r="A15" s="9">
        <v>13</v>
      </c>
      <c r="B15" t="s">
        <v>199</v>
      </c>
    </row>
    <row r="16" spans="1:32" ht="13">
      <c r="A16" s="9">
        <v>14</v>
      </c>
      <c r="B16" s="87" t="s">
        <v>619</v>
      </c>
      <c r="D16" s="4">
        <f>I16/1000000*7850</f>
        <v>70.359549999999999</v>
      </c>
      <c r="E16">
        <v>400</v>
      </c>
      <c r="F16">
        <v>95</v>
      </c>
      <c r="G16">
        <v>10</v>
      </c>
      <c r="H16">
        <v>10</v>
      </c>
      <c r="I16">
        <v>8963</v>
      </c>
      <c r="J16" s="278">
        <v>138200000</v>
      </c>
      <c r="K16">
        <v>627716</v>
      </c>
      <c r="L16" s="4">
        <v>971449</v>
      </c>
      <c r="M16">
        <v>124.1</v>
      </c>
      <c r="N16" s="4">
        <f>I16/2</f>
        <v>4481.5</v>
      </c>
      <c r="O16" s="278">
        <v>7530000</v>
      </c>
      <c r="P16">
        <v>137090</v>
      </c>
      <c r="Q16" s="4">
        <v>224076</v>
      </c>
      <c r="R16">
        <v>28.99</v>
      </c>
      <c r="T16" s="4">
        <v>17400000000</v>
      </c>
      <c r="V16" s="31">
        <f>N16</f>
        <v>4481.5</v>
      </c>
      <c r="X16" s="4" t="s">
        <v>80</v>
      </c>
      <c r="Y16" s="4" t="s">
        <v>80</v>
      </c>
      <c r="AA16">
        <v>180</v>
      </c>
    </row>
    <row r="17" spans="1:22">
      <c r="A17" s="9">
        <v>15</v>
      </c>
      <c r="B17" t="s">
        <v>199</v>
      </c>
    </row>
    <row r="18" spans="1:22">
      <c r="A18" s="9">
        <v>16</v>
      </c>
      <c r="B18" t="s">
        <v>199</v>
      </c>
    </row>
    <row r="19" spans="1:22">
      <c r="A19" s="9">
        <v>17</v>
      </c>
      <c r="B19" t="s">
        <v>199</v>
      </c>
    </row>
    <row r="20" spans="1:22">
      <c r="A20" s="9">
        <v>18</v>
      </c>
      <c r="B20" t="s">
        <v>199</v>
      </c>
    </row>
    <row r="21" spans="1:22" ht="13">
      <c r="A21" s="9">
        <v>19</v>
      </c>
      <c r="B21" t="s">
        <v>640</v>
      </c>
      <c r="D21" s="385">
        <f>I21*7850/10^6</f>
        <v>402.3125</v>
      </c>
      <c r="E21">
        <v>750</v>
      </c>
      <c r="F21">
        <v>350</v>
      </c>
      <c r="G21">
        <v>25</v>
      </c>
      <c r="H21">
        <v>50</v>
      </c>
      <c r="I21">
        <f>F21*H21*2+(E21-2*H21)*G21</f>
        <v>51250</v>
      </c>
      <c r="J21" s="278">
        <f>F21^3*E21/12-(F21^3-G21^3)*(E21-2*H21)/12</f>
        <v>358138020.83333349</v>
      </c>
      <c r="K21">
        <f>F21^2*E21/2-(E21-2*H21)*F21*(F21-G21)/2</f>
        <v>8968750</v>
      </c>
      <c r="L21">
        <f>F21*H21*(E21/2-H21/2)*2</f>
        <v>12250000</v>
      </c>
      <c r="M21" s="386">
        <f>SQRT(J21/I21)</f>
        <v>83.594610729935425</v>
      </c>
      <c r="N21" s="386">
        <f>I21/2</f>
        <v>25625</v>
      </c>
      <c r="O21" s="278">
        <f>F21*E21^3/12-(F21-G21)*(E21-2*H21)^3/12</f>
        <v>4866927083.333333</v>
      </c>
      <c r="P21">
        <f>F21*E21^2/2-(E21-2*H21)*E21*(F21-G21)/2</f>
        <v>19218750</v>
      </c>
      <c r="Q21">
        <f>H21*F21^2/2+E21*G21^2/4</f>
        <v>3179687.5</v>
      </c>
      <c r="R21" s="385">
        <f>SQRT(O21/I21)</f>
        <v>308.16299403774775</v>
      </c>
      <c r="T21" s="4">
        <f>PI()*((E21-G21)^2)*G21/2</f>
        <v>20641245.481789187</v>
      </c>
      <c r="V21" s="387">
        <f>N21</f>
        <v>25625</v>
      </c>
    </row>
    <row r="22" spans="1:22" ht="13">
      <c r="A22" s="9">
        <v>20</v>
      </c>
      <c r="B22" t="s">
        <v>641</v>
      </c>
      <c r="D22" s="385">
        <f>I22*7850/10^6</f>
        <v>251.2</v>
      </c>
      <c r="E22">
        <v>650</v>
      </c>
      <c r="F22">
        <v>250</v>
      </c>
      <c r="G22">
        <v>25</v>
      </c>
      <c r="H22">
        <v>35</v>
      </c>
      <c r="I22">
        <f>F22*H22*2+(E22-2*H22)*G22</f>
        <v>32000</v>
      </c>
      <c r="J22" s="278">
        <f>F22^3*E22/12-(F22^3-G22^3)*(E22-2*H22)/12</f>
        <v>91901041.666666627</v>
      </c>
      <c r="K22">
        <f>F22^2*E22/2-(E22-2*H22)*F22*(F22-G22)/2</f>
        <v>4000000</v>
      </c>
      <c r="L22">
        <f>F22*H22*(E22/2-H22/2)*2</f>
        <v>5381250</v>
      </c>
      <c r="M22" s="386">
        <f>SQRT(J22/I22)</f>
        <v>53.590181489553963</v>
      </c>
      <c r="N22" s="386">
        <f>I22/2</f>
        <v>16000</v>
      </c>
      <c r="O22" s="278">
        <f>F22*E22^3/12-(F22-G22)*(E22-2*H22)^3/12</f>
        <v>2063004166.666667</v>
      </c>
      <c r="P22">
        <f>F22*E22^2/2-(E22-2*H22)*E22*(F22-G22)/2</f>
        <v>10400000</v>
      </c>
      <c r="Q22">
        <f>H22*F22^2/2+E22*G22^2/4</f>
        <v>1195312.5</v>
      </c>
      <c r="R22" s="385">
        <f>SQRT(O22/I22)</f>
        <v>253.90722756222073</v>
      </c>
      <c r="T22" s="4">
        <f>PI()*((E22-G22)^2)*G22/2</f>
        <v>15339807.878856411</v>
      </c>
      <c r="V22" s="387">
        <f>N22</f>
        <v>16000</v>
      </c>
    </row>
    <row r="23" spans="1:22">
      <c r="A23" s="9">
        <v>21</v>
      </c>
      <c r="B23" t="s">
        <v>199</v>
      </c>
    </row>
    <row r="24" spans="1:22">
      <c r="A24" s="9">
        <v>22</v>
      </c>
      <c r="B24" t="s">
        <v>660</v>
      </c>
      <c r="D24" s="385">
        <f>I24/1000000*7850</f>
        <v>986.4600932271951</v>
      </c>
      <c r="E24">
        <v>250</v>
      </c>
      <c r="G24">
        <v>150</v>
      </c>
      <c r="I24">
        <f>PI()*(E24^2-(G24)^2)</f>
        <v>125663.70614359173</v>
      </c>
      <c r="J24">
        <f>PI()/64*(E24^4-G24^4)</f>
        <v>166897109.72195777</v>
      </c>
      <c r="K24">
        <f>PI()*(E24^3-G24^3)/32</f>
        <v>1202640.9377023426</v>
      </c>
      <c r="O24">
        <f>PI()/64*(E24^4-G24^4)</f>
        <v>166897109.72195777</v>
      </c>
      <c r="P24">
        <f>PI()*(E24^3-G24^3)/32</f>
        <v>1202640.9377023426</v>
      </c>
      <c r="T24">
        <f>PI()/32*(E24^4-G24^4)</f>
        <v>333794219.44391555</v>
      </c>
    </row>
    <row r="25" spans="1:22">
      <c r="A25" s="9">
        <v>23</v>
      </c>
      <c r="B25" t="s">
        <v>199</v>
      </c>
      <c r="D25" s="385"/>
    </row>
    <row r="26" spans="1:22">
      <c r="A26" s="9">
        <v>24</v>
      </c>
      <c r="B26" t="s">
        <v>658</v>
      </c>
      <c r="D26" s="385">
        <f>I26/1000000*7850</f>
        <v>1541.3438956674922</v>
      </c>
      <c r="E26">
        <v>250</v>
      </c>
      <c r="I26">
        <f>PI()*E26^2</f>
        <v>196349.54084936206</v>
      </c>
      <c r="J26">
        <f>PI()*E26^4/64</f>
        <v>191747598.48570514</v>
      </c>
      <c r="K26">
        <f>PI()*E26^3/32</f>
        <v>1533980.7878856412</v>
      </c>
      <c r="O26">
        <f>PI()*E26^4/64</f>
        <v>191747598.48570514</v>
      </c>
      <c r="P26">
        <f>PI()*E26^3/32</f>
        <v>1533980.7878856412</v>
      </c>
      <c r="T26">
        <f>PI()/32*E26^4</f>
        <v>383495196.97141027</v>
      </c>
    </row>
    <row r="27" spans="1:22">
      <c r="A27" s="9">
        <v>25</v>
      </c>
      <c r="B27" t="s">
        <v>199</v>
      </c>
      <c r="D27" s="385"/>
    </row>
    <row r="28" spans="1:22">
      <c r="A28" s="9">
        <v>26</v>
      </c>
      <c r="B28" t="s">
        <v>659</v>
      </c>
      <c r="D28" s="385">
        <f>I28/1000000*7850</f>
        <v>686.875</v>
      </c>
      <c r="E28">
        <v>350</v>
      </c>
      <c r="F28">
        <v>250</v>
      </c>
      <c r="I28">
        <f>E28*F28</f>
        <v>87500</v>
      </c>
      <c r="J28">
        <f>F28^3*E28/12</f>
        <v>455729166.66666669</v>
      </c>
      <c r="K28">
        <f>E28*F28^2/6</f>
        <v>3645833.3333333335</v>
      </c>
      <c r="O28">
        <f>E28^3*F28/12</f>
        <v>893229166.66666663</v>
      </c>
      <c r="P28">
        <f>F28*E28^2/6</f>
        <v>5104166.666666667</v>
      </c>
    </row>
    <row r="29" spans="1:22">
      <c r="A29" s="9">
        <v>27</v>
      </c>
      <c r="B29" t="s">
        <v>199</v>
      </c>
    </row>
    <row r="30" spans="1:22">
      <c r="A30" s="9">
        <v>28</v>
      </c>
      <c r="B30" t="s">
        <v>199</v>
      </c>
    </row>
    <row r="31" spans="1:22">
      <c r="A31" s="9">
        <v>29</v>
      </c>
      <c r="B31" t="s">
        <v>661</v>
      </c>
      <c r="D31">
        <v>33.200000000000003</v>
      </c>
      <c r="E31">
        <v>240</v>
      </c>
      <c r="F31">
        <v>85</v>
      </c>
      <c r="G31">
        <v>9.5</v>
      </c>
      <c r="H31">
        <v>13</v>
      </c>
      <c r="I31">
        <v>42300</v>
      </c>
      <c r="J31" s="278">
        <v>36000000</v>
      </c>
      <c r="K31">
        <v>300000</v>
      </c>
      <c r="L31">
        <v>358000</v>
      </c>
      <c r="M31">
        <v>92.2</v>
      </c>
      <c r="O31" s="278">
        <v>2480000</v>
      </c>
      <c r="P31">
        <v>39600</v>
      </c>
      <c r="Q31">
        <v>75700</v>
      </c>
      <c r="R31">
        <v>24.2</v>
      </c>
      <c r="T31">
        <v>197000</v>
      </c>
    </row>
    <row r="32" spans="1:22">
      <c r="B32" t="s">
        <v>199</v>
      </c>
    </row>
    <row r="33" spans="2:2">
      <c r="B33" t="s">
        <v>199</v>
      </c>
    </row>
    <row r="34" spans="2:2">
      <c r="B34" t="s">
        <v>199</v>
      </c>
    </row>
    <row r="35" spans="2:2">
      <c r="B35" t="s">
        <v>199</v>
      </c>
    </row>
    <row r="36" spans="2:2">
      <c r="B36" t="s">
        <v>199</v>
      </c>
    </row>
    <row r="37" spans="2:2">
      <c r="B37" t="s">
        <v>199</v>
      </c>
    </row>
    <row r="38" spans="2:2">
      <c r="B38" t="s">
        <v>199</v>
      </c>
    </row>
    <row r="39" spans="2:2">
      <c r="B39" t="s">
        <v>199</v>
      </c>
    </row>
    <row r="40" spans="2:2">
      <c r="B40" t="s">
        <v>199</v>
      </c>
    </row>
    <row r="41" spans="2:2">
      <c r="B41" t="s">
        <v>199</v>
      </c>
    </row>
    <row r="42" spans="2:2">
      <c r="B42" t="s">
        <v>199</v>
      </c>
    </row>
    <row r="43" spans="2:2">
      <c r="B43" t="s">
        <v>199</v>
      </c>
    </row>
    <row r="44" spans="2:2">
      <c r="B44" t="s">
        <v>199</v>
      </c>
    </row>
    <row r="45" spans="2:2">
      <c r="B45" t="s">
        <v>199</v>
      </c>
    </row>
    <row r="46" spans="2:2">
      <c r="B46" t="s">
        <v>199</v>
      </c>
    </row>
    <row r="47" spans="2:2">
      <c r="B47" t="s">
        <v>199</v>
      </c>
    </row>
    <row r="48" spans="2:2">
      <c r="B48" t="s">
        <v>199</v>
      </c>
    </row>
    <row r="49" spans="2:2">
      <c r="B49" t="s">
        <v>199</v>
      </c>
    </row>
    <row r="50" spans="2:2">
      <c r="B50" t="s">
        <v>199</v>
      </c>
    </row>
    <row r="51" spans="2:2">
      <c r="B51" t="s">
        <v>199</v>
      </c>
    </row>
    <row r="52" spans="2:2">
      <c r="B52" t="s">
        <v>199</v>
      </c>
    </row>
    <row r="53" spans="2:2">
      <c r="B53" t="s">
        <v>199</v>
      </c>
    </row>
    <row r="54" spans="2:2">
      <c r="B54" t="s">
        <v>199</v>
      </c>
    </row>
    <row r="55" spans="2:2">
      <c r="B55" t="s">
        <v>199</v>
      </c>
    </row>
    <row r="56" spans="2:2">
      <c r="B56" t="s">
        <v>199</v>
      </c>
    </row>
    <row r="57" spans="2:2">
      <c r="B57" t="s">
        <v>199</v>
      </c>
    </row>
    <row r="58" spans="2:2">
      <c r="B58" t="s">
        <v>199</v>
      </c>
    </row>
    <row r="59" spans="2:2">
      <c r="B59" t="s">
        <v>199</v>
      </c>
    </row>
    <row r="60" spans="2:2">
      <c r="B60" t="s">
        <v>199</v>
      </c>
    </row>
    <row r="61" spans="2:2">
      <c r="B61" t="s">
        <v>199</v>
      </c>
    </row>
    <row r="62" spans="2:2">
      <c r="B62" t="s">
        <v>199</v>
      </c>
    </row>
    <row r="63" spans="2:2">
      <c r="B63" t="s">
        <v>199</v>
      </c>
    </row>
    <row r="64" spans="2:2">
      <c r="B64" t="s">
        <v>199</v>
      </c>
    </row>
    <row r="65" spans="2:2">
      <c r="B65" t="s">
        <v>199</v>
      </c>
    </row>
    <row r="66" spans="2:2">
      <c r="B66" t="s">
        <v>199</v>
      </c>
    </row>
    <row r="67" spans="2:2">
      <c r="B67" t="s">
        <v>199</v>
      </c>
    </row>
    <row r="68" spans="2:2">
      <c r="B68" t="s">
        <v>199</v>
      </c>
    </row>
    <row r="69" spans="2:2">
      <c r="B69" t="s">
        <v>199</v>
      </c>
    </row>
    <row r="70" spans="2:2">
      <c r="B70" t="s">
        <v>199</v>
      </c>
    </row>
    <row r="71" spans="2:2">
      <c r="B71" t="s">
        <v>199</v>
      </c>
    </row>
    <row r="72" spans="2:2">
      <c r="B72" t="s">
        <v>199</v>
      </c>
    </row>
    <row r="73" spans="2:2">
      <c r="B73" t="s">
        <v>199</v>
      </c>
    </row>
    <row r="74" spans="2:2">
      <c r="B74" t="s">
        <v>199</v>
      </c>
    </row>
    <row r="75" spans="2:2">
      <c r="B75" t="s">
        <v>199</v>
      </c>
    </row>
    <row r="76" spans="2:2">
      <c r="B76" t="s">
        <v>199</v>
      </c>
    </row>
    <row r="77" spans="2:2">
      <c r="B77" t="s">
        <v>199</v>
      </c>
    </row>
    <row r="78" spans="2:2">
      <c r="B78" t="s">
        <v>199</v>
      </c>
    </row>
    <row r="79" spans="2:2">
      <c r="B79" t="s">
        <v>199</v>
      </c>
    </row>
    <row r="80" spans="2:2">
      <c r="B80" t="s">
        <v>199</v>
      </c>
    </row>
    <row r="81" spans="2:2">
      <c r="B81" t="s">
        <v>199</v>
      </c>
    </row>
    <row r="82" spans="2:2">
      <c r="B82" t="s">
        <v>199</v>
      </c>
    </row>
    <row r="83" spans="2:2">
      <c r="B83" t="s">
        <v>199</v>
      </c>
    </row>
    <row r="84" spans="2:2">
      <c r="B84" t="s">
        <v>199</v>
      </c>
    </row>
    <row r="85" spans="2:2">
      <c r="B85" t="s">
        <v>199</v>
      </c>
    </row>
    <row r="86" spans="2:2">
      <c r="B86" t="s">
        <v>199</v>
      </c>
    </row>
    <row r="87" spans="2:2">
      <c r="B87" t="s">
        <v>199</v>
      </c>
    </row>
    <row r="88" spans="2:2">
      <c r="B88" t="s">
        <v>199</v>
      </c>
    </row>
    <row r="89" spans="2:2">
      <c r="B89" t="s">
        <v>199</v>
      </c>
    </row>
    <row r="90" spans="2:2">
      <c r="B90" t="s">
        <v>199</v>
      </c>
    </row>
    <row r="91" spans="2:2">
      <c r="B91" t="s">
        <v>199</v>
      </c>
    </row>
    <row r="92" spans="2:2">
      <c r="B92" t="s">
        <v>199</v>
      </c>
    </row>
    <row r="93" spans="2:2">
      <c r="B93" t="s">
        <v>199</v>
      </c>
    </row>
    <row r="94" spans="2:2">
      <c r="B94" t="s">
        <v>199</v>
      </c>
    </row>
    <row r="95" spans="2:2">
      <c r="B95" t="s">
        <v>199</v>
      </c>
    </row>
    <row r="96" spans="2:2">
      <c r="B96" t="s">
        <v>199</v>
      </c>
    </row>
    <row r="97" spans="2:2">
      <c r="B97" t="s">
        <v>199</v>
      </c>
    </row>
    <row r="98" spans="2:2">
      <c r="B98" t="s">
        <v>199</v>
      </c>
    </row>
    <row r="99" spans="2:2">
      <c r="B99" t="s">
        <v>199</v>
      </c>
    </row>
    <row r="100" spans="2:2">
      <c r="B100" t="s">
        <v>199</v>
      </c>
    </row>
    <row r="101" spans="2:2">
      <c r="B101" t="s">
        <v>199</v>
      </c>
    </row>
    <row r="102" spans="2:2">
      <c r="B102" t="s">
        <v>199</v>
      </c>
    </row>
    <row r="103" spans="2:2">
      <c r="B103" t="s">
        <v>199</v>
      </c>
    </row>
    <row r="104" spans="2:2">
      <c r="B104" t="s">
        <v>199</v>
      </c>
    </row>
    <row r="105" spans="2:2">
      <c r="B105" t="s">
        <v>199</v>
      </c>
    </row>
    <row r="106" spans="2:2">
      <c r="B106" t="s">
        <v>199</v>
      </c>
    </row>
    <row r="107" spans="2:2">
      <c r="B107" t="s">
        <v>199</v>
      </c>
    </row>
    <row r="108" spans="2:2">
      <c r="B108" t="s">
        <v>199</v>
      </c>
    </row>
    <row r="109" spans="2:2">
      <c r="B109" t="s">
        <v>199</v>
      </c>
    </row>
    <row r="110" spans="2:2">
      <c r="B110" t="s">
        <v>199</v>
      </c>
    </row>
    <row r="111" spans="2:2">
      <c r="B111" t="s">
        <v>199</v>
      </c>
    </row>
    <row r="112" spans="2:2">
      <c r="B112" t="s">
        <v>199</v>
      </c>
    </row>
    <row r="113" spans="2:2">
      <c r="B113" t="s">
        <v>199</v>
      </c>
    </row>
    <row r="114" spans="2:2">
      <c r="B114" t="s">
        <v>199</v>
      </c>
    </row>
    <row r="115" spans="2:2">
      <c r="B115" t="s">
        <v>199</v>
      </c>
    </row>
    <row r="116" spans="2:2">
      <c r="B116" t="s">
        <v>199</v>
      </c>
    </row>
    <row r="117" spans="2:2">
      <c r="B117" t="s">
        <v>199</v>
      </c>
    </row>
    <row r="118" spans="2:2">
      <c r="B118" t="s">
        <v>199</v>
      </c>
    </row>
    <row r="119" spans="2:2">
      <c r="B119" t="s">
        <v>199</v>
      </c>
    </row>
    <row r="120" spans="2:2">
      <c r="B120" t="s">
        <v>199</v>
      </c>
    </row>
    <row r="121" spans="2:2">
      <c r="B121" t="s">
        <v>199</v>
      </c>
    </row>
    <row r="122" spans="2:2">
      <c r="B122" t="s">
        <v>199</v>
      </c>
    </row>
    <row r="123" spans="2:2">
      <c r="B123" t="s">
        <v>199</v>
      </c>
    </row>
    <row r="124" spans="2:2">
      <c r="B124" t="s">
        <v>199</v>
      </c>
    </row>
    <row r="125" spans="2:2">
      <c r="B125" t="s">
        <v>199</v>
      </c>
    </row>
    <row r="126" spans="2:2">
      <c r="B126" t="s">
        <v>199</v>
      </c>
    </row>
    <row r="127" spans="2:2">
      <c r="B127" t="s">
        <v>199</v>
      </c>
    </row>
    <row r="128" spans="2:2">
      <c r="B128" t="s">
        <v>199</v>
      </c>
    </row>
    <row r="129" spans="2:2">
      <c r="B129" t="s">
        <v>199</v>
      </c>
    </row>
    <row r="130" spans="2:2">
      <c r="B130" t="s">
        <v>199</v>
      </c>
    </row>
    <row r="131" spans="2:2">
      <c r="B131" t="s">
        <v>199</v>
      </c>
    </row>
    <row r="132" spans="2:2">
      <c r="B132" t="s">
        <v>199</v>
      </c>
    </row>
    <row r="133" spans="2:2">
      <c r="B133" t="s">
        <v>199</v>
      </c>
    </row>
    <row r="134" spans="2:2">
      <c r="B134" t="s">
        <v>199</v>
      </c>
    </row>
    <row r="135" spans="2:2">
      <c r="B135" t="s">
        <v>199</v>
      </c>
    </row>
    <row r="136" spans="2:2">
      <c r="B136" t="s">
        <v>199</v>
      </c>
    </row>
    <row r="137" spans="2:2">
      <c r="B137" t="s">
        <v>199</v>
      </c>
    </row>
    <row r="138" spans="2:2">
      <c r="B138" t="s">
        <v>199</v>
      </c>
    </row>
    <row r="139" spans="2:2">
      <c r="B139" t="s">
        <v>199</v>
      </c>
    </row>
    <row r="140" spans="2:2">
      <c r="B140" t="s">
        <v>199</v>
      </c>
    </row>
    <row r="141" spans="2:2">
      <c r="B141" t="s">
        <v>199</v>
      </c>
    </row>
    <row r="142" spans="2:2">
      <c r="B142" t="s">
        <v>199</v>
      </c>
    </row>
    <row r="143" spans="2:2">
      <c r="B143" t="s">
        <v>199</v>
      </c>
    </row>
    <row r="144" spans="2:2">
      <c r="B144" t="s">
        <v>199</v>
      </c>
    </row>
    <row r="145" spans="2:2">
      <c r="B145" t="s">
        <v>199</v>
      </c>
    </row>
    <row r="146" spans="2:2">
      <c r="B146" t="s">
        <v>199</v>
      </c>
    </row>
    <row r="147" spans="2:2">
      <c r="B147" t="s">
        <v>199</v>
      </c>
    </row>
    <row r="148" spans="2:2">
      <c r="B148" t="s">
        <v>199</v>
      </c>
    </row>
    <row r="149" spans="2:2">
      <c r="B149" t="s">
        <v>199</v>
      </c>
    </row>
    <row r="150" spans="2:2">
      <c r="B150" t="s">
        <v>199</v>
      </c>
    </row>
    <row r="151" spans="2:2">
      <c r="B151" t="s">
        <v>199</v>
      </c>
    </row>
    <row r="152" spans="2:2">
      <c r="B152" t="s">
        <v>199</v>
      </c>
    </row>
    <row r="153" spans="2:2">
      <c r="B153" t="s">
        <v>199</v>
      </c>
    </row>
    <row r="154" spans="2:2">
      <c r="B154" t="s">
        <v>199</v>
      </c>
    </row>
    <row r="155" spans="2:2">
      <c r="B155" t="s">
        <v>199</v>
      </c>
    </row>
    <row r="156" spans="2:2">
      <c r="B156" t="s">
        <v>199</v>
      </c>
    </row>
    <row r="157" spans="2:2">
      <c r="B157" t="s">
        <v>199</v>
      </c>
    </row>
    <row r="158" spans="2:2">
      <c r="B158" t="s">
        <v>199</v>
      </c>
    </row>
    <row r="159" spans="2:2">
      <c r="B159" t="s">
        <v>199</v>
      </c>
    </row>
    <row r="160" spans="2:2">
      <c r="B160" t="s">
        <v>199</v>
      </c>
    </row>
    <row r="161" spans="2:2">
      <c r="B161" t="s">
        <v>199</v>
      </c>
    </row>
    <row r="162" spans="2:2">
      <c r="B162" t="s">
        <v>199</v>
      </c>
    </row>
    <row r="163" spans="2:2">
      <c r="B163" t="s">
        <v>199</v>
      </c>
    </row>
    <row r="164" spans="2:2">
      <c r="B164" t="s">
        <v>199</v>
      </c>
    </row>
    <row r="165" spans="2:2">
      <c r="B165" t="s">
        <v>199</v>
      </c>
    </row>
    <row r="166" spans="2:2">
      <c r="B166" t="s">
        <v>199</v>
      </c>
    </row>
    <row r="167" spans="2:2">
      <c r="B167" t="s">
        <v>199</v>
      </c>
    </row>
    <row r="168" spans="2:2">
      <c r="B168" t="s">
        <v>199</v>
      </c>
    </row>
    <row r="169" spans="2:2">
      <c r="B169" t="s">
        <v>199</v>
      </c>
    </row>
    <row r="170" spans="2:2">
      <c r="B170" t="s">
        <v>199</v>
      </c>
    </row>
    <row r="171" spans="2:2">
      <c r="B171" t="s">
        <v>199</v>
      </c>
    </row>
    <row r="172" spans="2:2">
      <c r="B172" t="s">
        <v>199</v>
      </c>
    </row>
    <row r="173" spans="2:2">
      <c r="B173" t="s">
        <v>199</v>
      </c>
    </row>
    <row r="174" spans="2:2">
      <c r="B174" t="s">
        <v>199</v>
      </c>
    </row>
    <row r="175" spans="2:2">
      <c r="B175" t="s">
        <v>199</v>
      </c>
    </row>
    <row r="176" spans="2:2">
      <c r="B176" t="s">
        <v>199</v>
      </c>
    </row>
    <row r="177" spans="2:2">
      <c r="B177" t="s">
        <v>199</v>
      </c>
    </row>
    <row r="178" spans="2:2">
      <c r="B178" t="s">
        <v>199</v>
      </c>
    </row>
    <row r="179" spans="2:2">
      <c r="B179" t="s">
        <v>199</v>
      </c>
    </row>
    <row r="180" spans="2:2">
      <c r="B180" t="s">
        <v>199</v>
      </c>
    </row>
    <row r="181" spans="2:2">
      <c r="B181" t="s">
        <v>199</v>
      </c>
    </row>
    <row r="182" spans="2:2">
      <c r="B182" t="s">
        <v>199</v>
      </c>
    </row>
    <row r="183" spans="2:2">
      <c r="B183" t="s">
        <v>199</v>
      </c>
    </row>
    <row r="184" spans="2:2">
      <c r="B184" t="s">
        <v>199</v>
      </c>
    </row>
    <row r="185" spans="2:2">
      <c r="B185" t="s">
        <v>199</v>
      </c>
    </row>
    <row r="186" spans="2:2">
      <c r="B186" t="s">
        <v>199</v>
      </c>
    </row>
    <row r="187" spans="2:2">
      <c r="B187" t="s">
        <v>199</v>
      </c>
    </row>
    <row r="188" spans="2:2">
      <c r="B188" t="s">
        <v>199</v>
      </c>
    </row>
    <row r="189" spans="2:2">
      <c r="B189" t="s">
        <v>199</v>
      </c>
    </row>
    <row r="190" spans="2:2">
      <c r="B190" t="s">
        <v>199</v>
      </c>
    </row>
    <row r="191" spans="2:2">
      <c r="B191" t="s">
        <v>199</v>
      </c>
    </row>
    <row r="192" spans="2:2">
      <c r="B192" t="s">
        <v>199</v>
      </c>
    </row>
    <row r="193" spans="2:2">
      <c r="B193" t="s">
        <v>199</v>
      </c>
    </row>
    <row r="194" spans="2:2">
      <c r="B194" t="s">
        <v>199</v>
      </c>
    </row>
    <row r="195" spans="2:2">
      <c r="B195" t="s">
        <v>199</v>
      </c>
    </row>
    <row r="196" spans="2:2">
      <c r="B196" t="s">
        <v>199</v>
      </c>
    </row>
    <row r="197" spans="2:2">
      <c r="B197" t="s">
        <v>199</v>
      </c>
    </row>
    <row r="198" spans="2:2">
      <c r="B198" t="s">
        <v>199</v>
      </c>
    </row>
    <row r="199" spans="2:2">
      <c r="B199" t="s">
        <v>199</v>
      </c>
    </row>
    <row r="200" spans="2:2">
      <c r="B200" t="s">
        <v>199</v>
      </c>
    </row>
    <row r="201" spans="2:2">
      <c r="B201" t="s">
        <v>199</v>
      </c>
    </row>
    <row r="202" spans="2:2">
      <c r="B202" t="s">
        <v>199</v>
      </c>
    </row>
    <row r="203" spans="2:2">
      <c r="B203" t="s">
        <v>199</v>
      </c>
    </row>
    <row r="204" spans="2:2">
      <c r="B204" t="s">
        <v>199</v>
      </c>
    </row>
    <row r="205" spans="2:2">
      <c r="B205" t="s">
        <v>199</v>
      </c>
    </row>
    <row r="206" spans="2:2">
      <c r="B206" t="s">
        <v>199</v>
      </c>
    </row>
    <row r="207" spans="2:2">
      <c r="B207" t="s">
        <v>199</v>
      </c>
    </row>
    <row r="208" spans="2:2">
      <c r="B208" t="s">
        <v>199</v>
      </c>
    </row>
    <row r="209" spans="2:2">
      <c r="B209" t="s">
        <v>199</v>
      </c>
    </row>
    <row r="210" spans="2:2">
      <c r="B210" t="s">
        <v>199</v>
      </c>
    </row>
    <row r="211" spans="2:2">
      <c r="B211" t="s">
        <v>199</v>
      </c>
    </row>
    <row r="212" spans="2:2">
      <c r="B212" t="s">
        <v>199</v>
      </c>
    </row>
    <row r="213" spans="2:2">
      <c r="B213" t="s">
        <v>199</v>
      </c>
    </row>
    <row r="214" spans="2:2">
      <c r="B214" t="s">
        <v>199</v>
      </c>
    </row>
    <row r="215" spans="2:2">
      <c r="B215" t="s">
        <v>199</v>
      </c>
    </row>
    <row r="216" spans="2:2">
      <c r="B216" t="s">
        <v>199</v>
      </c>
    </row>
    <row r="217" spans="2:2">
      <c r="B217" t="s">
        <v>199</v>
      </c>
    </row>
    <row r="218" spans="2:2">
      <c r="B218" t="s">
        <v>199</v>
      </c>
    </row>
    <row r="219" spans="2:2">
      <c r="B219" t="s">
        <v>199</v>
      </c>
    </row>
    <row r="220" spans="2:2">
      <c r="B220" t="s">
        <v>199</v>
      </c>
    </row>
    <row r="221" spans="2:2">
      <c r="B221" t="s">
        <v>199</v>
      </c>
    </row>
    <row r="222" spans="2:2">
      <c r="B222" t="s">
        <v>199</v>
      </c>
    </row>
    <row r="223" spans="2:2">
      <c r="B223" t="s">
        <v>199</v>
      </c>
    </row>
    <row r="224" spans="2:2">
      <c r="B224" t="s">
        <v>199</v>
      </c>
    </row>
    <row r="225" spans="2:2">
      <c r="B225" t="s">
        <v>199</v>
      </c>
    </row>
    <row r="226" spans="2:2">
      <c r="B226" t="s">
        <v>199</v>
      </c>
    </row>
    <row r="227" spans="2:2">
      <c r="B227" t="s">
        <v>199</v>
      </c>
    </row>
    <row r="228" spans="2:2">
      <c r="B228" t="s">
        <v>199</v>
      </c>
    </row>
    <row r="229" spans="2:2">
      <c r="B229" t="s">
        <v>199</v>
      </c>
    </row>
    <row r="230" spans="2:2">
      <c r="B230" t="s">
        <v>199</v>
      </c>
    </row>
    <row r="231" spans="2:2">
      <c r="B231" t="s">
        <v>199</v>
      </c>
    </row>
    <row r="232" spans="2:2">
      <c r="B232" t="s">
        <v>199</v>
      </c>
    </row>
    <row r="233" spans="2:2">
      <c r="B233" t="s">
        <v>199</v>
      </c>
    </row>
    <row r="234" spans="2:2">
      <c r="B234" t="s">
        <v>199</v>
      </c>
    </row>
    <row r="235" spans="2:2">
      <c r="B235" t="s">
        <v>199</v>
      </c>
    </row>
    <row r="236" spans="2:2">
      <c r="B236" t="s">
        <v>199</v>
      </c>
    </row>
    <row r="237" spans="2:2">
      <c r="B237" t="s">
        <v>199</v>
      </c>
    </row>
    <row r="238" spans="2:2">
      <c r="B238" t="s">
        <v>199</v>
      </c>
    </row>
    <row r="239" spans="2:2">
      <c r="B239" t="s">
        <v>199</v>
      </c>
    </row>
    <row r="240" spans="2:2">
      <c r="B240" t="s">
        <v>199</v>
      </c>
    </row>
    <row r="241" spans="2:2">
      <c r="B241" t="s">
        <v>199</v>
      </c>
    </row>
    <row r="242" spans="2:2">
      <c r="B242" t="s">
        <v>199</v>
      </c>
    </row>
    <row r="243" spans="2:2">
      <c r="B243" t="s">
        <v>199</v>
      </c>
    </row>
    <row r="244" spans="2:2">
      <c r="B244" t="s">
        <v>199</v>
      </c>
    </row>
    <row r="245" spans="2:2">
      <c r="B245" t="s">
        <v>199</v>
      </c>
    </row>
    <row r="246" spans="2:2">
      <c r="B246" t="s">
        <v>199</v>
      </c>
    </row>
    <row r="247" spans="2:2">
      <c r="B247" t="s">
        <v>199</v>
      </c>
    </row>
    <row r="248" spans="2:2">
      <c r="B248" t="s">
        <v>199</v>
      </c>
    </row>
    <row r="249" spans="2:2">
      <c r="B249" t="s">
        <v>199</v>
      </c>
    </row>
    <row r="250" spans="2:2">
      <c r="B250" t="s">
        <v>199</v>
      </c>
    </row>
    <row r="251" spans="2:2">
      <c r="B251" t="s">
        <v>199</v>
      </c>
    </row>
    <row r="252" spans="2:2">
      <c r="B252" t="s">
        <v>199</v>
      </c>
    </row>
    <row r="253" spans="2:2">
      <c r="B253" t="s">
        <v>199</v>
      </c>
    </row>
    <row r="254" spans="2:2">
      <c r="B254" t="s">
        <v>199</v>
      </c>
    </row>
    <row r="255" spans="2:2">
      <c r="B255" t="s">
        <v>199</v>
      </c>
    </row>
    <row r="256" spans="2:2">
      <c r="B256" t="s">
        <v>199</v>
      </c>
    </row>
    <row r="257" spans="2:2">
      <c r="B257" t="s">
        <v>199</v>
      </c>
    </row>
    <row r="258" spans="2:2">
      <c r="B258" t="s">
        <v>199</v>
      </c>
    </row>
    <row r="259" spans="2:2">
      <c r="B259" t="s">
        <v>199</v>
      </c>
    </row>
    <row r="260" spans="2:2">
      <c r="B260" t="s">
        <v>199</v>
      </c>
    </row>
    <row r="261" spans="2:2">
      <c r="B261" t="s">
        <v>199</v>
      </c>
    </row>
    <row r="262" spans="2:2">
      <c r="B262" t="s">
        <v>199</v>
      </c>
    </row>
    <row r="263" spans="2:2">
      <c r="B263" t="s">
        <v>199</v>
      </c>
    </row>
    <row r="264" spans="2:2">
      <c r="B264" t="s">
        <v>199</v>
      </c>
    </row>
    <row r="265" spans="2:2">
      <c r="B265" t="s">
        <v>199</v>
      </c>
    </row>
    <row r="266" spans="2:2">
      <c r="B266" t="s">
        <v>199</v>
      </c>
    </row>
    <row r="267" spans="2:2">
      <c r="B267" t="s">
        <v>199</v>
      </c>
    </row>
    <row r="268" spans="2:2">
      <c r="B268" t="s">
        <v>199</v>
      </c>
    </row>
    <row r="269" spans="2:2">
      <c r="B269" t="s">
        <v>199</v>
      </c>
    </row>
    <row r="270" spans="2:2">
      <c r="B270" t="s">
        <v>199</v>
      </c>
    </row>
    <row r="271" spans="2:2">
      <c r="B271" t="s">
        <v>199</v>
      </c>
    </row>
    <row r="272" spans="2:2">
      <c r="B272" t="s">
        <v>199</v>
      </c>
    </row>
    <row r="273" spans="2:2">
      <c r="B273" t="s">
        <v>199</v>
      </c>
    </row>
    <row r="274" spans="2:2">
      <c r="B274" t="s">
        <v>199</v>
      </c>
    </row>
    <row r="275" spans="2:2">
      <c r="B275" t="s">
        <v>199</v>
      </c>
    </row>
    <row r="276" spans="2:2">
      <c r="B276" t="s">
        <v>199</v>
      </c>
    </row>
    <row r="277" spans="2:2">
      <c r="B277" t="s">
        <v>199</v>
      </c>
    </row>
    <row r="278" spans="2:2">
      <c r="B278" t="s">
        <v>199</v>
      </c>
    </row>
    <row r="279" spans="2:2">
      <c r="B279" t="s">
        <v>199</v>
      </c>
    </row>
    <row r="280" spans="2:2">
      <c r="B280" t="s">
        <v>199</v>
      </c>
    </row>
    <row r="281" spans="2:2">
      <c r="B281" t="s">
        <v>199</v>
      </c>
    </row>
    <row r="282" spans="2:2">
      <c r="B282" t="s">
        <v>199</v>
      </c>
    </row>
    <row r="283" spans="2:2">
      <c r="B283" t="s">
        <v>199</v>
      </c>
    </row>
    <row r="284" spans="2:2">
      <c r="B284" t="s">
        <v>199</v>
      </c>
    </row>
    <row r="285" spans="2:2">
      <c r="B285" t="s">
        <v>199</v>
      </c>
    </row>
    <row r="286" spans="2:2">
      <c r="B286" t="s">
        <v>199</v>
      </c>
    </row>
    <row r="287" spans="2:2">
      <c r="B287" t="s">
        <v>199</v>
      </c>
    </row>
    <row r="288" spans="2:2">
      <c r="B288" t="s">
        <v>199</v>
      </c>
    </row>
    <row r="289" spans="2:2">
      <c r="B289" t="s">
        <v>199</v>
      </c>
    </row>
    <row r="290" spans="2:2">
      <c r="B290" t="s">
        <v>199</v>
      </c>
    </row>
    <row r="291" spans="2:2">
      <c r="B291" t="s">
        <v>199</v>
      </c>
    </row>
    <row r="292" spans="2:2">
      <c r="B292" t="s">
        <v>199</v>
      </c>
    </row>
    <row r="293" spans="2:2">
      <c r="B293" t="s">
        <v>199</v>
      </c>
    </row>
    <row r="294" spans="2:2">
      <c r="B294" t="s">
        <v>199</v>
      </c>
    </row>
    <row r="295" spans="2:2">
      <c r="B295" t="s">
        <v>199</v>
      </c>
    </row>
    <row r="296" spans="2:2">
      <c r="B296" t="s">
        <v>199</v>
      </c>
    </row>
    <row r="297" spans="2:2">
      <c r="B297" t="s">
        <v>199</v>
      </c>
    </row>
    <row r="298" spans="2:2">
      <c r="B298" t="s">
        <v>199</v>
      </c>
    </row>
    <row r="299" spans="2:2">
      <c r="B299" t="s">
        <v>199</v>
      </c>
    </row>
    <row r="300" spans="2:2">
      <c r="B300" t="s">
        <v>199</v>
      </c>
    </row>
    <row r="301" spans="2:2">
      <c r="B301" t="s">
        <v>199</v>
      </c>
    </row>
    <row r="302" spans="2:2">
      <c r="B302" t="s">
        <v>199</v>
      </c>
    </row>
    <row r="303" spans="2:2">
      <c r="B303" t="s">
        <v>199</v>
      </c>
    </row>
    <row r="304" spans="2:2">
      <c r="B304" t="s">
        <v>199</v>
      </c>
    </row>
    <row r="305" spans="2:2">
      <c r="B305" t="s">
        <v>199</v>
      </c>
    </row>
    <row r="306" spans="2:2">
      <c r="B306" t="s">
        <v>199</v>
      </c>
    </row>
    <row r="307" spans="2:2">
      <c r="B307" t="s">
        <v>199</v>
      </c>
    </row>
    <row r="308" spans="2:2">
      <c r="B308" t="s">
        <v>199</v>
      </c>
    </row>
    <row r="309" spans="2:2">
      <c r="B309" t="s">
        <v>199</v>
      </c>
    </row>
    <row r="310" spans="2:2">
      <c r="B310" t="s">
        <v>199</v>
      </c>
    </row>
    <row r="311" spans="2:2">
      <c r="B311" t="s">
        <v>199</v>
      </c>
    </row>
    <row r="312" spans="2:2">
      <c r="B312" t="s">
        <v>199</v>
      </c>
    </row>
    <row r="313" spans="2:2">
      <c r="B313" t="s">
        <v>199</v>
      </c>
    </row>
    <row r="314" spans="2:2">
      <c r="B314" t="s">
        <v>199</v>
      </c>
    </row>
    <row r="315" spans="2:2">
      <c r="B315" t="s">
        <v>199</v>
      </c>
    </row>
    <row r="316" spans="2:2">
      <c r="B316" t="s">
        <v>199</v>
      </c>
    </row>
    <row r="317" spans="2:2">
      <c r="B317" t="s">
        <v>199</v>
      </c>
    </row>
    <row r="318" spans="2:2">
      <c r="B318" t="s">
        <v>199</v>
      </c>
    </row>
    <row r="319" spans="2:2">
      <c r="B319" t="s">
        <v>199</v>
      </c>
    </row>
    <row r="320" spans="2:2">
      <c r="B320" t="s">
        <v>199</v>
      </c>
    </row>
    <row r="321" spans="2:2">
      <c r="B321" t="s">
        <v>199</v>
      </c>
    </row>
    <row r="322" spans="2:2">
      <c r="B322" t="s">
        <v>199</v>
      </c>
    </row>
    <row r="323" spans="2:2">
      <c r="B323" t="s">
        <v>199</v>
      </c>
    </row>
    <row r="324" spans="2:2">
      <c r="B324" t="s">
        <v>199</v>
      </c>
    </row>
    <row r="325" spans="2:2">
      <c r="B325" t="s">
        <v>199</v>
      </c>
    </row>
    <row r="326" spans="2:2">
      <c r="B326" t="s">
        <v>199</v>
      </c>
    </row>
    <row r="327" spans="2:2">
      <c r="B327" t="s">
        <v>199</v>
      </c>
    </row>
    <row r="328" spans="2:2">
      <c r="B328" t="s">
        <v>199</v>
      </c>
    </row>
    <row r="329" spans="2:2">
      <c r="B329" t="s">
        <v>199</v>
      </c>
    </row>
    <row r="330" spans="2:2">
      <c r="B330" t="s">
        <v>199</v>
      </c>
    </row>
    <row r="331" spans="2:2">
      <c r="B331" t="s">
        <v>199</v>
      </c>
    </row>
    <row r="332" spans="2:2">
      <c r="B332" t="s">
        <v>199</v>
      </c>
    </row>
    <row r="333" spans="2:2">
      <c r="B333" t="s">
        <v>199</v>
      </c>
    </row>
    <row r="334" spans="2:2">
      <c r="B334" t="s">
        <v>199</v>
      </c>
    </row>
    <row r="335" spans="2:2">
      <c r="B335" t="s">
        <v>199</v>
      </c>
    </row>
    <row r="336" spans="2:2">
      <c r="B336" t="s">
        <v>199</v>
      </c>
    </row>
    <row r="337" spans="2:2">
      <c r="B337" t="s">
        <v>199</v>
      </c>
    </row>
    <row r="338" spans="2:2">
      <c r="B338" t="s">
        <v>199</v>
      </c>
    </row>
    <row r="339" spans="2:2">
      <c r="B339" t="s">
        <v>199</v>
      </c>
    </row>
    <row r="340" spans="2:2">
      <c r="B340" t="s">
        <v>199</v>
      </c>
    </row>
    <row r="341" spans="2:2">
      <c r="B341" t="s">
        <v>199</v>
      </c>
    </row>
    <row r="342" spans="2:2">
      <c r="B342" t="s">
        <v>199</v>
      </c>
    </row>
    <row r="343" spans="2:2">
      <c r="B343" t="s">
        <v>199</v>
      </c>
    </row>
    <row r="344" spans="2:2">
      <c r="B344" t="s">
        <v>199</v>
      </c>
    </row>
    <row r="345" spans="2:2">
      <c r="B345" t="s">
        <v>199</v>
      </c>
    </row>
    <row r="346" spans="2:2">
      <c r="B346" t="s">
        <v>199</v>
      </c>
    </row>
    <row r="347" spans="2:2">
      <c r="B347" t="s">
        <v>199</v>
      </c>
    </row>
    <row r="348" spans="2:2">
      <c r="B348" t="s">
        <v>199</v>
      </c>
    </row>
    <row r="349" spans="2:2">
      <c r="B349" t="s">
        <v>199</v>
      </c>
    </row>
    <row r="350" spans="2:2">
      <c r="B350" t="s">
        <v>199</v>
      </c>
    </row>
    <row r="351" spans="2:2">
      <c r="B351" t="s">
        <v>199</v>
      </c>
    </row>
    <row r="352" spans="2:2">
      <c r="B352" t="s">
        <v>199</v>
      </c>
    </row>
    <row r="353" spans="2:2">
      <c r="B353" t="s">
        <v>199</v>
      </c>
    </row>
    <row r="354" spans="2:2">
      <c r="B354" t="s">
        <v>199</v>
      </c>
    </row>
    <row r="355" spans="2:2">
      <c r="B355" t="s">
        <v>199</v>
      </c>
    </row>
    <row r="356" spans="2:2">
      <c r="B356" t="s">
        <v>199</v>
      </c>
    </row>
    <row r="357" spans="2:2">
      <c r="B357" t="s">
        <v>199</v>
      </c>
    </row>
    <row r="358" spans="2:2">
      <c r="B358" t="s">
        <v>199</v>
      </c>
    </row>
    <row r="359" spans="2:2">
      <c r="B359" t="s">
        <v>199</v>
      </c>
    </row>
    <row r="360" spans="2:2">
      <c r="B360" t="s">
        <v>199</v>
      </c>
    </row>
    <row r="361" spans="2:2">
      <c r="B361" t="s">
        <v>199</v>
      </c>
    </row>
    <row r="362" spans="2:2">
      <c r="B362" t="s">
        <v>199</v>
      </c>
    </row>
    <row r="363" spans="2:2">
      <c r="B363" t="s">
        <v>199</v>
      </c>
    </row>
    <row r="364" spans="2:2">
      <c r="B364" t="s">
        <v>199</v>
      </c>
    </row>
    <row r="365" spans="2:2">
      <c r="B365" t="s">
        <v>199</v>
      </c>
    </row>
    <row r="366" spans="2:2">
      <c r="B366" t="s">
        <v>199</v>
      </c>
    </row>
    <row r="367" spans="2:2">
      <c r="B367" t="s">
        <v>199</v>
      </c>
    </row>
    <row r="368" spans="2:2">
      <c r="B368" t="s">
        <v>199</v>
      </c>
    </row>
    <row r="369" spans="2:2">
      <c r="B369" t="s">
        <v>199</v>
      </c>
    </row>
    <row r="370" spans="2:2">
      <c r="B370" t="s">
        <v>199</v>
      </c>
    </row>
    <row r="371" spans="2:2">
      <c r="B371" t="s">
        <v>199</v>
      </c>
    </row>
    <row r="372" spans="2:2">
      <c r="B372" t="s">
        <v>199</v>
      </c>
    </row>
    <row r="373" spans="2:2">
      <c r="B373" t="s">
        <v>199</v>
      </c>
    </row>
    <row r="374" spans="2:2">
      <c r="B374" t="s">
        <v>199</v>
      </c>
    </row>
    <row r="375" spans="2:2">
      <c r="B375" t="s">
        <v>199</v>
      </c>
    </row>
    <row r="376" spans="2:2">
      <c r="B376" t="s">
        <v>199</v>
      </c>
    </row>
    <row r="377" spans="2:2">
      <c r="B377" t="s">
        <v>199</v>
      </c>
    </row>
    <row r="378" spans="2:2">
      <c r="B378" t="s">
        <v>199</v>
      </c>
    </row>
    <row r="379" spans="2:2">
      <c r="B379" t="s">
        <v>199</v>
      </c>
    </row>
    <row r="380" spans="2:2">
      <c r="B380" t="s">
        <v>199</v>
      </c>
    </row>
    <row r="381" spans="2:2">
      <c r="B381" t="s">
        <v>199</v>
      </c>
    </row>
    <row r="382" spans="2:2">
      <c r="B382" t="s">
        <v>199</v>
      </c>
    </row>
    <row r="383" spans="2:2">
      <c r="B383" t="s">
        <v>199</v>
      </c>
    </row>
    <row r="384" spans="2:2">
      <c r="B384" t="s">
        <v>199</v>
      </c>
    </row>
    <row r="385" spans="2:2">
      <c r="B385" t="s">
        <v>199</v>
      </c>
    </row>
    <row r="386" spans="2:2">
      <c r="B386" t="s">
        <v>199</v>
      </c>
    </row>
    <row r="387" spans="2:2">
      <c r="B387" t="s">
        <v>199</v>
      </c>
    </row>
    <row r="388" spans="2:2">
      <c r="B388" t="s">
        <v>199</v>
      </c>
    </row>
    <row r="389" spans="2:2">
      <c r="B389" t="s">
        <v>199</v>
      </c>
    </row>
    <row r="390" spans="2:2">
      <c r="B390" t="s">
        <v>199</v>
      </c>
    </row>
    <row r="391" spans="2:2">
      <c r="B391" t="s">
        <v>199</v>
      </c>
    </row>
    <row r="392" spans="2:2">
      <c r="B392" t="s">
        <v>199</v>
      </c>
    </row>
    <row r="393" spans="2:2">
      <c r="B393" t="s">
        <v>199</v>
      </c>
    </row>
    <row r="394" spans="2:2">
      <c r="B394" t="s">
        <v>199</v>
      </c>
    </row>
    <row r="395" spans="2:2">
      <c r="B395" t="s">
        <v>199</v>
      </c>
    </row>
    <row r="396" spans="2:2">
      <c r="B396" t="s">
        <v>199</v>
      </c>
    </row>
    <row r="397" spans="2:2">
      <c r="B397" t="s">
        <v>199</v>
      </c>
    </row>
    <row r="398" spans="2:2">
      <c r="B398" t="s">
        <v>199</v>
      </c>
    </row>
    <row r="399" spans="2:2">
      <c r="B399" t="s">
        <v>199</v>
      </c>
    </row>
    <row r="400" spans="2:2">
      <c r="B400" t="s">
        <v>199</v>
      </c>
    </row>
    <row r="401" spans="2:2">
      <c r="B401" t="s">
        <v>199</v>
      </c>
    </row>
    <row r="402" spans="2:2">
      <c r="B402" t="s">
        <v>199</v>
      </c>
    </row>
    <row r="403" spans="2:2">
      <c r="B403" t="s">
        <v>199</v>
      </c>
    </row>
    <row r="404" spans="2:2">
      <c r="B404" t="s">
        <v>199</v>
      </c>
    </row>
    <row r="405" spans="2:2">
      <c r="B405" t="s">
        <v>199</v>
      </c>
    </row>
    <row r="406" spans="2:2">
      <c r="B406" t="s">
        <v>199</v>
      </c>
    </row>
    <row r="407" spans="2:2">
      <c r="B407" t="s">
        <v>199</v>
      </c>
    </row>
    <row r="408" spans="2:2">
      <c r="B408" t="s">
        <v>199</v>
      </c>
    </row>
    <row r="409" spans="2:2">
      <c r="B409" t="s">
        <v>199</v>
      </c>
    </row>
    <row r="410" spans="2:2">
      <c r="B410" t="s">
        <v>199</v>
      </c>
    </row>
    <row r="411" spans="2:2">
      <c r="B411" t="s">
        <v>199</v>
      </c>
    </row>
    <row r="412" spans="2:2">
      <c r="B412" t="s">
        <v>199</v>
      </c>
    </row>
    <row r="413" spans="2:2">
      <c r="B413" t="s">
        <v>199</v>
      </c>
    </row>
    <row r="414" spans="2:2">
      <c r="B414" t="s">
        <v>199</v>
      </c>
    </row>
  </sheetData>
  <phoneticPr fontId="3" type="noConversion"/>
  <pageMargins left="0.78740157499999996" right="0.78740157499999996" top="0.984251969" bottom="0.984251969" header="0.4921259845" footer="0.4921259845"/>
  <pageSetup paperSize="9" orientation="portrait" r:id="rId1"/>
  <headerFooter alignWithMargins="0">
    <oddFooter>&amp;R_x000D_&amp;1#&amp;"Aptos"&amp;10&amp;K000000 Data sensitivity - Public</oddFooter>
  </headerFooter>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11</vt:i4>
      </vt:variant>
      <vt:variant>
        <vt:lpstr>Named Ranges</vt:lpstr>
      </vt:variant>
      <vt:variant>
        <vt:i4>39</vt:i4>
      </vt:variant>
    </vt:vector>
  </HeadingPairs>
  <TitlesOfParts>
    <vt:vector size="50" baseType="lpstr">
      <vt:lpstr>Suivi modif</vt:lpstr>
      <vt:lpstr>Calcul</vt:lpstr>
      <vt:lpstr>Abaques annexe F</vt:lpstr>
      <vt:lpstr>Calcul classe</vt:lpstr>
      <vt:lpstr>IPE</vt:lpstr>
      <vt:lpstr>IPN</vt:lpstr>
      <vt:lpstr>HD</vt:lpstr>
      <vt:lpstr>HE</vt:lpstr>
      <vt:lpstr>CHS</vt:lpstr>
      <vt:lpstr>RHS</vt:lpstr>
      <vt:lpstr>Custom</vt:lpstr>
      <vt:lpstr>_r</vt:lpstr>
      <vt:lpstr>A</vt:lpstr>
      <vt:lpstr>agy</vt:lpstr>
      <vt:lpstr>agz</vt:lpstr>
      <vt:lpstr>aqy</vt:lpstr>
      <vt:lpstr>aqz</vt:lpstr>
      <vt:lpstr>Avy</vt:lpstr>
      <vt:lpstr>Avz</vt:lpstr>
      <vt:lpstr>b</vt:lpstr>
      <vt:lpstr>bgy</vt:lpstr>
      <vt:lpstr>bgz</vt:lpstr>
      <vt:lpstr>bqy</vt:lpstr>
      <vt:lpstr>bqz</vt:lpstr>
      <vt:lpstr>classe</vt:lpstr>
      <vt:lpstr>E</vt:lpstr>
      <vt:lpstr>fy</vt:lpstr>
      <vt:lpstr>G</vt:lpstr>
      <vt:lpstr>gM0</vt:lpstr>
      <vt:lpstr>gM0.</vt:lpstr>
      <vt:lpstr>h</vt:lpstr>
      <vt:lpstr>It</vt:lpstr>
      <vt:lpstr>Iw</vt:lpstr>
      <vt:lpstr>Iy</vt:lpstr>
      <vt:lpstr>Iz</vt:lpstr>
      <vt:lpstr>k</vt:lpstr>
      <vt:lpstr>kw</vt:lpstr>
      <vt:lpstr>Lo</vt:lpstr>
      <vt:lpstr>Mcr</vt:lpstr>
      <vt:lpstr>Calcul!Print_Area</vt:lpstr>
      <vt:lpstr>IPE!Print_Area</vt:lpstr>
      <vt:lpstr>SVy</vt:lpstr>
      <vt:lpstr>SVz</vt:lpstr>
      <vt:lpstr>tf</vt:lpstr>
      <vt:lpstr>tw</vt:lpstr>
      <vt:lpstr>Wyel</vt:lpstr>
      <vt:lpstr>Wypl</vt:lpstr>
      <vt:lpstr>Wzel</vt:lpstr>
      <vt:lpstr>Wzpl</vt:lpstr>
      <vt:lpstr>zg</vt:lpstr>
    </vt:vector>
  </TitlesOfParts>
  <Company>RFR</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rjs</dc:creator>
  <cp:lastModifiedBy>MORILLOT Maxence</cp:lastModifiedBy>
  <cp:lastPrinted>2012-08-17T09:24:18Z</cp:lastPrinted>
  <dcterms:created xsi:type="dcterms:W3CDTF">2005-09-26T08:09:47Z</dcterms:created>
  <dcterms:modified xsi:type="dcterms:W3CDTF">2026-08-04T13:45:28Z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4a30d458-cd10-4a48-9232-50530e63d4a6_Enabled">
    <vt:lpwstr>true</vt:lpwstr>
  </property>
  <property fmtid="{D5CDD505-2E9C-101B-9397-08002B2CF9AE}" pid="3" name="MSIP_Label_4a30d458-cd10-4a48-9232-50530e63d4a6_SetDate">
    <vt:lpwstr>2026-08-04T13:43:47Z</vt:lpwstr>
  </property>
  <property fmtid="{D5CDD505-2E9C-101B-9397-08002B2CF9AE}" pid="4" name="MSIP_Label_4a30d458-cd10-4a48-9232-50530e63d4a6_Method">
    <vt:lpwstr>Privileged</vt:lpwstr>
  </property>
  <property fmtid="{D5CDD505-2E9C-101B-9397-08002B2CF9AE}" pid="5" name="MSIP_Label_4a30d458-cd10-4a48-9232-50530e63d4a6_Name">
    <vt:lpwstr>l0_public</vt:lpwstr>
  </property>
  <property fmtid="{D5CDD505-2E9C-101B-9397-08002B2CF9AE}" pid="6" name="MSIP_Label_4a30d458-cd10-4a48-9232-50530e63d4a6_SiteId">
    <vt:lpwstr>a5877034-8d6a-496a-8cf8-ceb5e3451109</vt:lpwstr>
  </property>
  <property fmtid="{D5CDD505-2E9C-101B-9397-08002B2CF9AE}" pid="7" name="MSIP_Label_4a30d458-cd10-4a48-9232-50530e63d4a6_ActionId">
    <vt:lpwstr>1ff20a07-7304-46d1-8039-5a88fa7c280f</vt:lpwstr>
  </property>
  <property fmtid="{D5CDD505-2E9C-101B-9397-08002B2CF9AE}" pid="8" name="MSIP_Label_4a30d458-cd10-4a48-9232-50530e63d4a6_ContentBits">
    <vt:lpwstr>2</vt:lpwstr>
  </property>
  <property fmtid="{D5CDD505-2E9C-101B-9397-08002B2CF9AE}" pid="9" name="MSIP_Label_4a30d458-cd10-4a48-9232-50530e63d4a6_Tag">
    <vt:lpwstr>10, 0, 1, 1</vt:lpwstr>
  </property>
</Properties>
</file>